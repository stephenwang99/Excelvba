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ephen.w\Desktop\"/>
    </mc:Choice>
  </mc:AlternateContent>
  <bookViews>
    <workbookView xWindow="0" yWindow="0" windowWidth="28770" windowHeight="9420" activeTab="1"/>
  </bookViews>
  <sheets>
    <sheet name="main" sheetId="1" r:id="rId1"/>
    <sheet name="Magic" sheetId="9" r:id="rId2"/>
    <sheet name="cash" sheetId="7" r:id="rId3"/>
    <sheet name="eftpos" sheetId="8" r:id="rId4"/>
    <sheet name="Amex" sheetId="11" r:id="rId5"/>
    <sheet name="Coin" sheetId="13" r:id="rId6"/>
    <sheet name="pm005" sheetId="4" r:id="rId7"/>
    <sheet name="Bankcsv" sheetId="5" r:id="rId8"/>
    <sheet name="index" sheetId="6" r:id="rId9"/>
  </sheets>
  <functionGroups builtInGroupCount="18"/>
  <definedNames>
    <definedName name="_xlnm._FilterDatabase" localSheetId="7" hidden="1">Bankcsv!#REF!</definedName>
    <definedName name="_xlnm._FilterDatabase" localSheetId="2" hidden="1">cash!$A$1:$F$1985</definedName>
    <definedName name="_xlnm._FilterDatabase" localSheetId="3" hidden="1">eftpos!$A$1:$F$697</definedName>
    <definedName name="_xlnm._FilterDatabase" localSheetId="1" hidden="1">Magic!$A$1:$V$944</definedName>
    <definedName name="pubhtml?gid_652224666_single_true" localSheetId="5">Coin!#REF!</definedName>
    <definedName name="pubhtml?gid_652224666_single_true_1" localSheetId="5">Coin!$A$1:$E$13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20" i="9" l="1"/>
  <c r="G919" i="9"/>
  <c r="G917" i="9"/>
  <c r="E2013" i="7" l="1"/>
  <c r="E2012" i="7"/>
  <c r="E2011" i="7"/>
  <c r="E2010" i="7"/>
  <c r="E2009" i="7"/>
  <c r="E2008" i="7"/>
  <c r="E2007" i="7"/>
  <c r="E2006" i="7"/>
  <c r="E2005" i="7"/>
  <c r="E2004" i="7"/>
  <c r="E2003" i="7"/>
  <c r="E2002" i="7"/>
  <c r="E2001" i="7"/>
  <c r="E2000" i="7"/>
  <c r="E1999" i="7"/>
  <c r="E1998" i="7"/>
  <c r="E1997" i="7"/>
  <c r="E1996" i="7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Q944" i="9"/>
  <c r="E944" i="9" s="1"/>
  <c r="Q943" i="9"/>
  <c r="E943" i="9" s="1"/>
  <c r="Q942" i="9"/>
  <c r="E942" i="9" s="1"/>
  <c r="Q941" i="9"/>
  <c r="E941" i="9" s="1"/>
  <c r="Q940" i="9"/>
  <c r="E940" i="9" s="1"/>
  <c r="Q939" i="9"/>
  <c r="E939" i="9" s="1"/>
  <c r="E938" i="9"/>
  <c r="G938" i="9" s="1"/>
  <c r="A944" i="9"/>
  <c r="A943" i="9"/>
  <c r="A942" i="9"/>
  <c r="A941" i="9"/>
  <c r="A940" i="9"/>
  <c r="A939" i="9"/>
  <c r="A938" i="9"/>
  <c r="I917" i="9" l="1"/>
  <c r="E1995" i="7" l="1"/>
  <c r="E1994" i="7"/>
  <c r="E1993" i="7"/>
  <c r="E1992" i="7"/>
  <c r="E1991" i="7"/>
  <c r="E1990" i="7"/>
  <c r="E1989" i="7"/>
  <c r="E1988" i="7"/>
  <c r="E1987" i="7"/>
  <c r="Q937" i="9"/>
  <c r="E937" i="9" s="1"/>
  <c r="G937" i="9" s="1"/>
  <c r="Q936" i="9"/>
  <c r="E936" i="9" s="1"/>
  <c r="G936" i="9" s="1"/>
  <c r="Q935" i="9"/>
  <c r="E935" i="9" s="1"/>
  <c r="G935" i="9" s="1"/>
  <c r="Q934" i="9"/>
  <c r="E934" i="9" s="1"/>
  <c r="G934" i="9" s="1"/>
  <c r="Q933" i="9"/>
  <c r="E933" i="9" s="1"/>
  <c r="G933" i="9" s="1"/>
  <c r="Q932" i="9"/>
  <c r="E932" i="9" s="1"/>
  <c r="G932" i="9" s="1"/>
  <c r="E931" i="9"/>
  <c r="G931" i="9" s="1"/>
  <c r="A937" i="9"/>
  <c r="A936" i="9"/>
  <c r="A935" i="9"/>
  <c r="A934" i="9"/>
  <c r="A933" i="9"/>
  <c r="A932" i="9"/>
  <c r="A931" i="9"/>
  <c r="Q930" i="9"/>
  <c r="E930" i="9" s="1"/>
  <c r="G930" i="9" s="1"/>
  <c r="Q929" i="9"/>
  <c r="E929" i="9" s="1"/>
  <c r="G929" i="9" s="1"/>
  <c r="Q928" i="9"/>
  <c r="E928" i="9" s="1"/>
  <c r="G928" i="9" s="1"/>
  <c r="Q927" i="9"/>
  <c r="E927" i="9" s="1"/>
  <c r="G927" i="9" s="1"/>
  <c r="Q926" i="9"/>
  <c r="E926" i="9" s="1"/>
  <c r="G926" i="9" s="1"/>
  <c r="Q925" i="9"/>
  <c r="E925" i="9" s="1"/>
  <c r="G925" i="9" s="1"/>
  <c r="Q924" i="9"/>
  <c r="E924" i="9" s="1"/>
  <c r="G924" i="9" s="1"/>
  <c r="A930" i="9"/>
  <c r="A929" i="9"/>
  <c r="A928" i="9"/>
  <c r="A927" i="9"/>
  <c r="A926" i="9"/>
  <c r="A925" i="9"/>
  <c r="A924" i="9"/>
  <c r="Q923" i="9"/>
  <c r="E923" i="9" s="1"/>
  <c r="G923" i="9" s="1"/>
  <c r="Q922" i="9"/>
  <c r="E922" i="9" s="1"/>
  <c r="G922" i="9" s="1"/>
  <c r="Q921" i="9"/>
  <c r="E921" i="9" s="1"/>
  <c r="G921" i="9" s="1"/>
  <c r="Q920" i="9"/>
  <c r="E920" i="9" s="1"/>
  <c r="Q919" i="9"/>
  <c r="E919" i="9" s="1"/>
  <c r="Q918" i="9"/>
  <c r="E918" i="9" s="1"/>
  <c r="G918" i="9" s="1"/>
  <c r="Q917" i="9"/>
  <c r="E917" i="9" s="1"/>
  <c r="A923" i="9"/>
  <c r="A922" i="9"/>
  <c r="A921" i="9"/>
  <c r="A920" i="9"/>
  <c r="A919" i="9"/>
  <c r="A918" i="9"/>
  <c r="A917" i="9"/>
  <c r="E1986" i="7" l="1"/>
  <c r="E1985" i="7"/>
  <c r="E1984" i="7"/>
  <c r="E1983" i="7"/>
  <c r="E1982" i="7"/>
  <c r="E1981" i="7"/>
  <c r="Q916" i="9"/>
  <c r="E916" i="9" s="1"/>
  <c r="G916" i="9" s="1"/>
  <c r="Q915" i="9"/>
  <c r="E915" i="9" s="1"/>
  <c r="Q914" i="9"/>
  <c r="E914" i="9" s="1"/>
  <c r="G914" i="9" s="1"/>
  <c r="Q913" i="9"/>
  <c r="E913" i="9" s="1"/>
  <c r="G913" i="9" s="1"/>
  <c r="Q912" i="9"/>
  <c r="E912" i="9" s="1"/>
  <c r="G912" i="9" s="1"/>
  <c r="Q911" i="9"/>
  <c r="E911" i="9" s="1"/>
  <c r="G911" i="9" s="1"/>
  <c r="Q910" i="9"/>
  <c r="E910" i="9" s="1"/>
  <c r="G910" i="9" s="1"/>
  <c r="A916" i="9"/>
  <c r="A915" i="9"/>
  <c r="A914" i="9"/>
  <c r="A913" i="9"/>
  <c r="A912" i="9"/>
  <c r="A911" i="9"/>
  <c r="A910" i="9"/>
  <c r="E1978" i="7" l="1"/>
  <c r="E1979" i="7"/>
  <c r="E1980" i="7"/>
  <c r="E1974" i="7"/>
  <c r="E1973" i="7"/>
  <c r="E1972" i="7"/>
  <c r="E1971" i="7"/>
  <c r="E1970" i="7"/>
  <c r="E1969" i="7"/>
  <c r="E1968" i="7"/>
  <c r="E1967" i="7"/>
  <c r="E1966" i="7"/>
  <c r="E1965" i="7"/>
  <c r="E1964" i="7"/>
  <c r="E1963" i="7"/>
  <c r="E1962" i="7"/>
  <c r="E1961" i="7"/>
  <c r="E1960" i="7"/>
  <c r="E1959" i="7"/>
  <c r="E1958" i="7"/>
  <c r="E1957" i="7"/>
  <c r="E1956" i="7"/>
  <c r="E1955" i="7"/>
  <c r="E1954" i="7"/>
  <c r="E1953" i="7"/>
  <c r="E1952" i="7"/>
  <c r="E1951" i="7"/>
  <c r="Q909" i="9"/>
  <c r="E909" i="9" s="1"/>
  <c r="G909" i="9" s="1"/>
  <c r="Q908" i="9"/>
  <c r="E908" i="9" s="1"/>
  <c r="Q907" i="9"/>
  <c r="E907" i="9" s="1"/>
  <c r="G907" i="9" s="1"/>
  <c r="Q906" i="9"/>
  <c r="E906" i="9" s="1"/>
  <c r="Q905" i="9"/>
  <c r="E905" i="9" s="1"/>
  <c r="G905" i="9" s="1"/>
  <c r="Q904" i="9"/>
  <c r="E904" i="9" s="1"/>
  <c r="G904" i="9" s="1"/>
  <c r="E903" i="9"/>
  <c r="G903" i="9" s="1"/>
  <c r="A909" i="9"/>
  <c r="A908" i="9"/>
  <c r="A907" i="9"/>
  <c r="A906" i="9"/>
  <c r="A905" i="9"/>
  <c r="A904" i="9"/>
  <c r="A903" i="9"/>
  <c r="Q902" i="9"/>
  <c r="E902" i="9" s="1"/>
  <c r="G902" i="9" s="1"/>
  <c r="Q901" i="9"/>
  <c r="E901" i="9" s="1"/>
  <c r="G901" i="9" s="1"/>
  <c r="Q900" i="9"/>
  <c r="E900" i="9" s="1"/>
  <c r="G900" i="9" s="1"/>
  <c r="Q899" i="9"/>
  <c r="E899" i="9" s="1"/>
  <c r="G899" i="9" s="1"/>
  <c r="Q898" i="9"/>
  <c r="E898" i="9" s="1"/>
  <c r="G898" i="9" s="1"/>
  <c r="Q897" i="9"/>
  <c r="E897" i="9" s="1"/>
  <c r="G897" i="9" s="1"/>
  <c r="E896" i="9"/>
  <c r="G896" i="9" s="1"/>
  <c r="A902" i="9"/>
  <c r="A901" i="9"/>
  <c r="A900" i="9"/>
  <c r="A899" i="9"/>
  <c r="A898" i="9"/>
  <c r="A897" i="9"/>
  <c r="A896" i="9"/>
  <c r="Q895" i="9"/>
  <c r="E895" i="9" s="1"/>
  <c r="G895" i="9" s="1"/>
  <c r="Q894" i="9"/>
  <c r="E894" i="9" s="1"/>
  <c r="G894" i="9" s="1"/>
  <c r="Q893" i="9"/>
  <c r="E893" i="9" s="1"/>
  <c r="G893" i="9" s="1"/>
  <c r="Q892" i="9"/>
  <c r="E892" i="9" s="1"/>
  <c r="G892" i="9" s="1"/>
  <c r="Q891" i="9"/>
  <c r="E891" i="9" s="1"/>
  <c r="G891" i="9" s="1"/>
  <c r="E890" i="9"/>
  <c r="G890" i="9" s="1"/>
  <c r="E889" i="9"/>
  <c r="G889" i="9" s="1"/>
  <c r="A895" i="9"/>
  <c r="A894" i="9"/>
  <c r="A893" i="9"/>
  <c r="A892" i="9"/>
  <c r="A891" i="9"/>
  <c r="A890" i="9"/>
  <c r="A889" i="9"/>
  <c r="E1950" i="7" l="1"/>
  <c r="E1949" i="7"/>
  <c r="E1948" i="7"/>
  <c r="E1947" i="7"/>
  <c r="E1946" i="7"/>
  <c r="E1945" i="7"/>
  <c r="E1944" i="7"/>
  <c r="E1943" i="7"/>
  <c r="E1942" i="7"/>
  <c r="E1941" i="7"/>
  <c r="Q888" i="9"/>
  <c r="E888" i="9" s="1"/>
  <c r="G888" i="9" s="1"/>
  <c r="E887" i="9"/>
  <c r="Q886" i="9"/>
  <c r="E886" i="9" s="1"/>
  <c r="G886" i="9" s="1"/>
  <c r="Q885" i="9"/>
  <c r="E885" i="9" s="1"/>
  <c r="Q884" i="9"/>
  <c r="E884" i="9" s="1"/>
  <c r="Q883" i="9"/>
  <c r="E883" i="9" s="1"/>
  <c r="G883" i="9" s="1"/>
  <c r="E882" i="9"/>
  <c r="G882" i="9" s="1"/>
  <c r="A888" i="9"/>
  <c r="A887" i="9"/>
  <c r="A886" i="9"/>
  <c r="A885" i="9"/>
  <c r="A884" i="9"/>
  <c r="A883" i="9"/>
  <c r="A882" i="9"/>
  <c r="Q881" i="9"/>
  <c r="E881" i="9" s="1"/>
  <c r="G881" i="9" s="1"/>
  <c r="Q880" i="9"/>
  <c r="E880" i="9" s="1"/>
  <c r="G880" i="9" s="1"/>
  <c r="Q879" i="9"/>
  <c r="E879" i="9" s="1"/>
  <c r="G879" i="9" s="1"/>
  <c r="Q878" i="9"/>
  <c r="E878" i="9" s="1"/>
  <c r="Q877" i="9"/>
  <c r="E877" i="9" s="1"/>
  <c r="Q876" i="9"/>
  <c r="E876" i="9" s="1"/>
  <c r="G876" i="9" s="1"/>
  <c r="E875" i="9"/>
  <c r="G875" i="9" s="1"/>
  <c r="A881" i="9"/>
  <c r="A880" i="9"/>
  <c r="A879" i="9"/>
  <c r="A878" i="9"/>
  <c r="A877" i="9"/>
  <c r="A876" i="9"/>
  <c r="A875" i="9"/>
  <c r="Q874" i="9"/>
  <c r="E874" i="9" s="1"/>
  <c r="G874" i="9" s="1"/>
  <c r="Q873" i="9"/>
  <c r="E873" i="9" s="1"/>
  <c r="G873" i="9" s="1"/>
  <c r="Q872" i="9"/>
  <c r="E872" i="9" s="1"/>
  <c r="G872" i="9" s="1"/>
  <c r="Q871" i="9"/>
  <c r="E871" i="9" s="1"/>
  <c r="Q870" i="9"/>
  <c r="E870" i="9" s="1"/>
  <c r="Q869" i="9"/>
  <c r="E869" i="9" s="1"/>
  <c r="G869" i="9" s="1"/>
  <c r="E868" i="9"/>
  <c r="G868" i="9" s="1"/>
  <c r="A874" i="9"/>
  <c r="A873" i="9"/>
  <c r="A872" i="9"/>
  <c r="A871" i="9"/>
  <c r="A870" i="9"/>
  <c r="A869" i="9"/>
  <c r="A868" i="9"/>
  <c r="E1940" i="7" l="1"/>
  <c r="E1939" i="7"/>
  <c r="E1938" i="7"/>
  <c r="E1937" i="7"/>
  <c r="E1936" i="7"/>
  <c r="E1935" i="7"/>
  <c r="E1934" i="7"/>
  <c r="Q867" i="9"/>
  <c r="E867" i="9" s="1"/>
  <c r="G867" i="9" s="1"/>
  <c r="Q866" i="9"/>
  <c r="E866" i="9" s="1"/>
  <c r="G866" i="9" s="1"/>
  <c r="E865" i="9"/>
  <c r="G865" i="9" s="1"/>
  <c r="Q864" i="9"/>
  <c r="E864" i="9" s="1"/>
  <c r="G864" i="9" s="1"/>
  <c r="Q863" i="9"/>
  <c r="E863" i="9" s="1"/>
  <c r="G863" i="9" s="1"/>
  <c r="Q862" i="9"/>
  <c r="E862" i="9" s="1"/>
  <c r="G862" i="9" s="1"/>
  <c r="E861" i="9"/>
  <c r="G861" i="9" s="1"/>
  <c r="A867" i="9"/>
  <c r="A866" i="9"/>
  <c r="A865" i="9"/>
  <c r="A864" i="9"/>
  <c r="A863" i="9"/>
  <c r="A862" i="9"/>
  <c r="A861" i="9"/>
  <c r="E1933" i="7" l="1"/>
  <c r="E1932" i="7"/>
  <c r="E1931" i="7"/>
  <c r="E1930" i="7"/>
  <c r="E1929" i="7"/>
  <c r="E1928" i="7"/>
  <c r="E1927" i="7"/>
  <c r="E1926" i="7"/>
  <c r="E1925" i="7"/>
  <c r="Q860" i="9"/>
  <c r="E860" i="9" s="1"/>
  <c r="G860" i="9" s="1"/>
  <c r="Q859" i="9"/>
  <c r="E859" i="9" s="1"/>
  <c r="G859" i="9" s="1"/>
  <c r="Q858" i="9"/>
  <c r="E858" i="9" s="1"/>
  <c r="G858" i="9" s="1"/>
  <c r="Q857" i="9"/>
  <c r="E857" i="9" s="1"/>
  <c r="G857" i="9" s="1"/>
  <c r="Q856" i="9"/>
  <c r="E856" i="9" s="1"/>
  <c r="G856" i="9" s="1"/>
  <c r="Q855" i="9"/>
  <c r="E855" i="9" s="1"/>
  <c r="G855" i="9" s="1"/>
  <c r="E854" i="9"/>
  <c r="G854" i="9" s="1"/>
  <c r="A860" i="9"/>
  <c r="A859" i="9"/>
  <c r="A858" i="9"/>
  <c r="A857" i="9"/>
  <c r="A856" i="9"/>
  <c r="A855" i="9"/>
  <c r="A854" i="9"/>
  <c r="E1924" i="7" l="1"/>
  <c r="E1923" i="7"/>
  <c r="E1922" i="7"/>
  <c r="E1921" i="7"/>
  <c r="E1920" i="7"/>
  <c r="E1919" i="7"/>
  <c r="Q853" i="9"/>
  <c r="E853" i="9" s="1"/>
  <c r="G853" i="9" s="1"/>
  <c r="Q852" i="9"/>
  <c r="E852" i="9" s="1"/>
  <c r="E851" i="9"/>
  <c r="G851" i="9" s="1"/>
  <c r="Q850" i="9"/>
  <c r="E850" i="9" s="1"/>
  <c r="G850" i="9" s="1"/>
  <c r="Q849" i="9"/>
  <c r="E849" i="9" s="1"/>
  <c r="G849" i="9" s="1"/>
  <c r="E848" i="9"/>
  <c r="G848" i="9" s="1"/>
  <c r="E847" i="9"/>
  <c r="G847" i="9" s="1"/>
  <c r="A853" i="9"/>
  <c r="A852" i="9"/>
  <c r="A851" i="9"/>
  <c r="A850" i="9"/>
  <c r="A849" i="9"/>
  <c r="A848" i="9"/>
  <c r="A847" i="9"/>
  <c r="E1918" i="7" l="1"/>
  <c r="E1917" i="7"/>
  <c r="E1916" i="7"/>
  <c r="E1915" i="7"/>
  <c r="E1914" i="7"/>
  <c r="E1913" i="7"/>
  <c r="E1912" i="7"/>
  <c r="E1911" i="7"/>
  <c r="E1910" i="7"/>
  <c r="E1909" i="7"/>
  <c r="E1908" i="7"/>
  <c r="E1907" i="7"/>
  <c r="E1906" i="7"/>
  <c r="E1905" i="7"/>
  <c r="E1904" i="7"/>
  <c r="E1903" i="7"/>
  <c r="E1902" i="7"/>
  <c r="E1901" i="7"/>
  <c r="E1900" i="7"/>
  <c r="E1899" i="7"/>
  <c r="Q846" i="9"/>
  <c r="E846" i="9" s="1"/>
  <c r="G846" i="9" s="1"/>
  <c r="Q845" i="9"/>
  <c r="E845" i="9" s="1"/>
  <c r="G845" i="9" s="1"/>
  <c r="Q844" i="9"/>
  <c r="E844" i="9" s="1"/>
  <c r="G844" i="9" s="1"/>
  <c r="Q843" i="9"/>
  <c r="E843" i="9" s="1"/>
  <c r="G843" i="9" s="1"/>
  <c r="Q842" i="9"/>
  <c r="E842" i="9" s="1"/>
  <c r="G842" i="9" s="1"/>
  <c r="Q841" i="9"/>
  <c r="E841" i="9" s="1"/>
  <c r="G841" i="9" s="1"/>
  <c r="E840" i="9"/>
  <c r="G840" i="9" s="1"/>
  <c r="A846" i="9"/>
  <c r="A845" i="9"/>
  <c r="A844" i="9"/>
  <c r="A843" i="9"/>
  <c r="A842" i="9"/>
  <c r="A841" i="9"/>
  <c r="A840" i="9"/>
  <c r="Q839" i="9" l="1"/>
  <c r="E839" i="9" s="1"/>
  <c r="G839" i="9" s="1"/>
  <c r="E838" i="9"/>
  <c r="G838" i="9" s="1"/>
  <c r="Q837" i="9"/>
  <c r="E837" i="9" s="1"/>
  <c r="G837" i="9" s="1"/>
  <c r="Q836" i="9"/>
  <c r="E836" i="9" s="1"/>
  <c r="G836" i="9" s="1"/>
  <c r="Q835" i="9"/>
  <c r="E835" i="9" s="1"/>
  <c r="G835" i="9" s="1"/>
  <c r="Q834" i="9"/>
  <c r="E834" i="9" s="1"/>
  <c r="G834" i="9" s="1"/>
  <c r="E833" i="9"/>
  <c r="G833" i="9" s="1"/>
  <c r="A839" i="9"/>
  <c r="A838" i="9"/>
  <c r="A837" i="9"/>
  <c r="A836" i="9"/>
  <c r="A835" i="9"/>
  <c r="A834" i="9"/>
  <c r="A833" i="9"/>
  <c r="Q832" i="9"/>
  <c r="E832" i="9" s="1"/>
  <c r="G832" i="9" s="1"/>
  <c r="Q831" i="9"/>
  <c r="E831" i="9" s="1"/>
  <c r="G831" i="9" s="1"/>
  <c r="Q830" i="9"/>
  <c r="E830" i="9" s="1"/>
  <c r="G830" i="9" s="1"/>
  <c r="Q829" i="9"/>
  <c r="E829" i="9" s="1"/>
  <c r="G829" i="9" s="1"/>
  <c r="Q828" i="9"/>
  <c r="E828" i="9" s="1"/>
  <c r="G828" i="9" s="1"/>
  <c r="Q827" i="9"/>
  <c r="E827" i="9" s="1"/>
  <c r="G827" i="9" s="1"/>
  <c r="E826" i="9"/>
  <c r="G826" i="9" s="1"/>
  <c r="A832" i="9"/>
  <c r="A831" i="9"/>
  <c r="A830" i="9"/>
  <c r="A829" i="9"/>
  <c r="A828" i="9"/>
  <c r="A827" i="9"/>
  <c r="A826" i="9"/>
  <c r="E1898" i="7"/>
  <c r="E1897" i="7"/>
  <c r="E1896" i="7"/>
  <c r="E1895" i="7"/>
  <c r="E1894" i="7"/>
  <c r="E1893" i="7"/>
  <c r="E1892" i="7"/>
  <c r="E1891" i="7"/>
  <c r="E1890" i="7"/>
  <c r="E1889" i="7"/>
  <c r="E1888" i="7"/>
  <c r="E1887" i="7"/>
  <c r="E1886" i="7"/>
  <c r="Q825" i="9"/>
  <c r="E825" i="9" s="1"/>
  <c r="G825" i="9" s="1"/>
  <c r="Q824" i="9"/>
  <c r="E824" i="9" s="1"/>
  <c r="G824" i="9" s="1"/>
  <c r="Q823" i="9"/>
  <c r="E823" i="9" s="1"/>
  <c r="G823" i="9" s="1"/>
  <c r="Q822" i="9"/>
  <c r="E822" i="9" s="1"/>
  <c r="G822" i="9" s="1"/>
  <c r="Q821" i="9"/>
  <c r="E821" i="9" s="1"/>
  <c r="Q820" i="9"/>
  <c r="E820" i="9" s="1"/>
  <c r="G820" i="9" s="1"/>
  <c r="E819" i="9"/>
  <c r="G819" i="9" s="1"/>
  <c r="A825" i="9"/>
  <c r="A824" i="9"/>
  <c r="A823" i="9"/>
  <c r="A822" i="9"/>
  <c r="A821" i="9"/>
  <c r="A820" i="9"/>
  <c r="A819" i="9"/>
  <c r="E1885" i="7" l="1"/>
  <c r="E1884" i="7"/>
  <c r="E1883" i="7"/>
  <c r="E1882" i="7"/>
  <c r="E1881" i="7"/>
  <c r="E1880" i="7"/>
  <c r="E1879" i="7"/>
  <c r="E1878" i="7"/>
  <c r="Q818" i="9"/>
  <c r="E818" i="9" s="1"/>
  <c r="G818" i="9" s="1"/>
  <c r="E817" i="9"/>
  <c r="G817" i="9" s="1"/>
  <c r="Q816" i="9"/>
  <c r="E816" i="9" s="1"/>
  <c r="G816" i="9" s="1"/>
  <c r="Q815" i="9"/>
  <c r="E815" i="9" s="1"/>
  <c r="G815" i="9" s="1"/>
  <c r="Q814" i="9"/>
  <c r="E814" i="9" s="1"/>
  <c r="G814" i="9" s="1"/>
  <c r="E813" i="9"/>
  <c r="G813" i="9" s="1"/>
  <c r="E812" i="9"/>
  <c r="G812" i="9" s="1"/>
  <c r="A818" i="9"/>
  <c r="A817" i="9"/>
  <c r="A816" i="9"/>
  <c r="A815" i="9"/>
  <c r="A814" i="9"/>
  <c r="A813" i="9"/>
  <c r="A812" i="9"/>
  <c r="E1877" i="7" l="1"/>
  <c r="E1876" i="7"/>
  <c r="E1875" i="7"/>
  <c r="E1874" i="7"/>
  <c r="E1873" i="7"/>
  <c r="E1872" i="7"/>
  <c r="E1871" i="7"/>
  <c r="E1870" i="7"/>
  <c r="E1869" i="7"/>
  <c r="Q811" i="9"/>
  <c r="E811" i="9" s="1"/>
  <c r="G811" i="9" s="1"/>
  <c r="E810" i="9"/>
  <c r="G810" i="9" s="1"/>
  <c r="Q809" i="9"/>
  <c r="E809" i="9" s="1"/>
  <c r="G809" i="9" s="1"/>
  <c r="Q808" i="9"/>
  <c r="E808" i="9" s="1"/>
  <c r="G808" i="9" s="1"/>
  <c r="Q807" i="9"/>
  <c r="E807" i="9" s="1"/>
  <c r="G807" i="9" s="1"/>
  <c r="Q806" i="9"/>
  <c r="E806" i="9" s="1"/>
  <c r="G806" i="9" s="1"/>
  <c r="E805" i="9"/>
  <c r="G805" i="9" s="1"/>
  <c r="A811" i="9"/>
  <c r="A810" i="9"/>
  <c r="A809" i="9"/>
  <c r="A808" i="9"/>
  <c r="A807" i="9"/>
  <c r="A806" i="9"/>
  <c r="A805" i="9"/>
  <c r="E1868" i="7" l="1"/>
  <c r="E1867" i="7"/>
  <c r="E1866" i="7"/>
  <c r="E1865" i="7"/>
  <c r="E1864" i="7"/>
  <c r="E1863" i="7"/>
  <c r="E1862" i="7"/>
  <c r="E1861" i="7"/>
  <c r="Q804" i="9"/>
  <c r="E804" i="9" s="1"/>
  <c r="G804" i="9" s="1"/>
  <c r="Q803" i="9"/>
  <c r="E803" i="9" s="1"/>
  <c r="G803" i="9" s="1"/>
  <c r="Q802" i="9"/>
  <c r="E802" i="9" s="1"/>
  <c r="G802" i="9" s="1"/>
  <c r="Q801" i="9"/>
  <c r="E801" i="9" s="1"/>
  <c r="G801" i="9" s="1"/>
  <c r="Q800" i="9"/>
  <c r="E800" i="9" s="1"/>
  <c r="G800" i="9" s="1"/>
  <c r="Q799" i="9"/>
  <c r="E799" i="9" s="1"/>
  <c r="G799" i="9" s="1"/>
  <c r="E798" i="9"/>
  <c r="G798" i="9" s="1"/>
  <c r="A804" i="9"/>
  <c r="A803" i="9"/>
  <c r="A802" i="9"/>
  <c r="A801" i="9"/>
  <c r="A800" i="9"/>
  <c r="A799" i="9"/>
  <c r="A798" i="9"/>
  <c r="E1860" i="7" l="1"/>
  <c r="E1859" i="7"/>
  <c r="E1858" i="7"/>
  <c r="E1857" i="7"/>
  <c r="E1856" i="7"/>
  <c r="E1855" i="7"/>
  <c r="E1854" i="7"/>
  <c r="E1853" i="7"/>
  <c r="E1852" i="7"/>
  <c r="E1851" i="7"/>
  <c r="E1850" i="7"/>
  <c r="E1849" i="7"/>
  <c r="E1848" i="7"/>
  <c r="E1847" i="7"/>
  <c r="E1846" i="7"/>
  <c r="E1845" i="7"/>
  <c r="E1844" i="7"/>
  <c r="E1843" i="7"/>
  <c r="Q797" i="9"/>
  <c r="E797" i="9" s="1"/>
  <c r="G797" i="9" s="1"/>
  <c r="E796" i="9"/>
  <c r="G796" i="9" s="1"/>
  <c r="Q795" i="9"/>
  <c r="E795" i="9" s="1"/>
  <c r="G795" i="9" s="1"/>
  <c r="Q794" i="9"/>
  <c r="E794" i="9" s="1"/>
  <c r="G794" i="9" s="1"/>
  <c r="Q793" i="9"/>
  <c r="E793" i="9" s="1"/>
  <c r="G793" i="9" s="1"/>
  <c r="Q792" i="9"/>
  <c r="E792" i="9" s="1"/>
  <c r="G792" i="9" s="1"/>
  <c r="E791" i="9"/>
  <c r="G791" i="9" s="1"/>
  <c r="A797" i="9"/>
  <c r="A796" i="9"/>
  <c r="A795" i="9"/>
  <c r="A794" i="9"/>
  <c r="A793" i="9"/>
  <c r="A792" i="9"/>
  <c r="A791" i="9"/>
  <c r="E1842" i="7" l="1"/>
  <c r="E1841" i="7"/>
  <c r="E1840" i="7"/>
  <c r="E1839" i="7"/>
  <c r="E1838" i="7"/>
  <c r="E1837" i="7"/>
  <c r="E1836" i="7"/>
  <c r="E1835" i="7"/>
  <c r="E1834" i="7"/>
  <c r="E1833" i="7"/>
  <c r="E1832" i="7"/>
  <c r="E1831" i="7"/>
  <c r="E1830" i="7"/>
  <c r="E1829" i="7"/>
  <c r="Q790" i="9"/>
  <c r="E790" i="9" s="1"/>
  <c r="G790" i="9" s="1"/>
  <c r="Q789" i="9"/>
  <c r="E789" i="9" s="1"/>
  <c r="G789" i="9" s="1"/>
  <c r="Q788" i="9"/>
  <c r="E788" i="9" s="1"/>
  <c r="G788" i="9" s="1"/>
  <c r="Q787" i="9"/>
  <c r="E787" i="9" s="1"/>
  <c r="G787" i="9" s="1"/>
  <c r="Q786" i="9"/>
  <c r="E786" i="9" s="1"/>
  <c r="G786" i="9" s="1"/>
  <c r="Q785" i="9"/>
  <c r="E785" i="9" s="1"/>
  <c r="G785" i="9" s="1"/>
  <c r="Q784" i="9"/>
  <c r="E784" i="9" s="1"/>
  <c r="G784" i="9" s="1"/>
  <c r="A790" i="9"/>
  <c r="A789" i="9"/>
  <c r="A788" i="9"/>
  <c r="A787" i="9"/>
  <c r="A786" i="9"/>
  <c r="A785" i="9"/>
  <c r="A784" i="9"/>
  <c r="E783" i="9"/>
  <c r="G783" i="9" s="1"/>
  <c r="Q782" i="9"/>
  <c r="E782" i="9" s="1"/>
  <c r="G782" i="9" s="1"/>
  <c r="Q781" i="9"/>
  <c r="E781" i="9" s="1"/>
  <c r="G781" i="9" s="1"/>
  <c r="Q780" i="9"/>
  <c r="E780" i="9" s="1"/>
  <c r="G780" i="9" s="1"/>
  <c r="Q779" i="9"/>
  <c r="E779" i="9" s="1"/>
  <c r="G779" i="9" s="1"/>
  <c r="Q778" i="9"/>
  <c r="E778" i="9" s="1"/>
  <c r="G778" i="9" s="1"/>
  <c r="E777" i="9"/>
  <c r="G777" i="9" s="1"/>
  <c r="A783" i="9"/>
  <c r="A782" i="9"/>
  <c r="A781" i="9"/>
  <c r="A780" i="9"/>
  <c r="A779" i="9"/>
  <c r="A778" i="9"/>
  <c r="A777" i="9"/>
  <c r="Q776" i="9"/>
  <c r="E776" i="9" s="1"/>
  <c r="G776" i="9" s="1"/>
  <c r="E775" i="9"/>
  <c r="G775" i="9" s="1"/>
  <c r="Q774" i="9"/>
  <c r="E774" i="9" s="1"/>
  <c r="G774" i="9" s="1"/>
  <c r="Q773" i="9"/>
  <c r="E773" i="9" s="1"/>
  <c r="G773" i="9" s="1"/>
  <c r="Q772" i="9"/>
  <c r="E772" i="9" s="1"/>
  <c r="G772" i="9" s="1"/>
  <c r="Q771" i="9"/>
  <c r="E771" i="9" s="1"/>
  <c r="G771" i="9" s="1"/>
  <c r="E770" i="9"/>
  <c r="G770" i="9" s="1"/>
  <c r="A776" i="9"/>
  <c r="A775" i="9"/>
  <c r="A774" i="9"/>
  <c r="A773" i="9"/>
  <c r="A772" i="9"/>
  <c r="A771" i="9"/>
  <c r="A770" i="9"/>
  <c r="E1828" i="7" l="1"/>
  <c r="E1827" i="7"/>
  <c r="E1826" i="7"/>
  <c r="E1825" i="7"/>
  <c r="E1824" i="7"/>
  <c r="Q769" i="9"/>
  <c r="E769" i="9" s="1"/>
  <c r="G769" i="9" s="1"/>
  <c r="Q768" i="9"/>
  <c r="E768" i="9" s="1"/>
  <c r="G768" i="9" s="1"/>
  <c r="Q767" i="9"/>
  <c r="E767" i="9" s="1"/>
  <c r="Q766" i="9"/>
  <c r="E766" i="9" s="1"/>
  <c r="G766" i="9" s="1"/>
  <c r="Q765" i="9"/>
  <c r="E765" i="9" s="1"/>
  <c r="G765" i="9" s="1"/>
  <c r="E764" i="9"/>
  <c r="G764" i="9" s="1"/>
  <c r="E763" i="9"/>
  <c r="G763" i="9" s="1"/>
  <c r="A769" i="9"/>
  <c r="A768" i="9"/>
  <c r="A767" i="9"/>
  <c r="A766" i="9"/>
  <c r="A765" i="9"/>
  <c r="A764" i="9"/>
  <c r="A763" i="9"/>
  <c r="E1823" i="7" l="1"/>
  <c r="E1822" i="7"/>
  <c r="E1821" i="7"/>
  <c r="E1820" i="7"/>
  <c r="E1819" i="7"/>
  <c r="E1818" i="7"/>
  <c r="E1817" i="7"/>
  <c r="Q762" i="9"/>
  <c r="E762" i="9" s="1"/>
  <c r="G762" i="9" s="1"/>
  <c r="Q761" i="9"/>
  <c r="E761" i="9" s="1"/>
  <c r="G761" i="9" s="1"/>
  <c r="Q760" i="9"/>
  <c r="E760" i="9" s="1"/>
  <c r="G760" i="9" s="1"/>
  <c r="Q759" i="9"/>
  <c r="E759" i="9" s="1"/>
  <c r="G759" i="9" s="1"/>
  <c r="Q758" i="9"/>
  <c r="E758" i="9" s="1"/>
  <c r="G758" i="9" s="1"/>
  <c r="Q757" i="9"/>
  <c r="E757" i="9" s="1"/>
  <c r="G757" i="9" s="1"/>
  <c r="E756" i="9"/>
  <c r="G756" i="9" s="1"/>
  <c r="A762" i="9"/>
  <c r="A761" i="9"/>
  <c r="A760" i="9"/>
  <c r="A759" i="9"/>
  <c r="A758" i="9"/>
  <c r="A757" i="9"/>
  <c r="A756" i="9"/>
  <c r="I751" i="9" l="1"/>
  <c r="E1816" i="7"/>
  <c r="E1815" i="7"/>
  <c r="E1814" i="7"/>
  <c r="E1813" i="7"/>
  <c r="E1812" i="7"/>
  <c r="E1811" i="7"/>
  <c r="E1810" i="7"/>
  <c r="E1809" i="7"/>
  <c r="E1808" i="7"/>
  <c r="Q755" i="9"/>
  <c r="E755" i="9" s="1"/>
  <c r="G755" i="9" s="1"/>
  <c r="Q754" i="9"/>
  <c r="E754" i="9" s="1"/>
  <c r="G754" i="9" s="1"/>
  <c r="Q753" i="9"/>
  <c r="E753" i="9" s="1"/>
  <c r="G753" i="9" s="1"/>
  <c r="Q752" i="9"/>
  <c r="E752" i="9" s="1"/>
  <c r="G752" i="9" s="1"/>
  <c r="Q751" i="9"/>
  <c r="E751" i="9"/>
  <c r="G751" i="9" s="1"/>
  <c r="Q750" i="9"/>
  <c r="E750" i="9" s="1"/>
  <c r="G750" i="9" s="1"/>
  <c r="E749" i="9"/>
  <c r="G749" i="9" s="1"/>
  <c r="A755" i="9"/>
  <c r="A754" i="9"/>
  <c r="A753" i="9"/>
  <c r="A752" i="9"/>
  <c r="A751" i="9"/>
  <c r="A750" i="9"/>
  <c r="A749" i="9"/>
  <c r="E1807" i="7" l="1"/>
  <c r="E1806" i="7"/>
  <c r="E1805" i="7"/>
  <c r="E1804" i="7"/>
  <c r="E1803" i="7"/>
  <c r="E1802" i="7"/>
  <c r="E1801" i="7"/>
  <c r="E1800" i="7"/>
  <c r="E1799" i="7"/>
  <c r="E1798" i="7"/>
  <c r="E1797" i="7"/>
  <c r="E1796" i="7"/>
  <c r="E1795" i="7"/>
  <c r="E1794" i="7"/>
  <c r="E1793" i="7"/>
  <c r="E1792" i="7"/>
  <c r="E1791" i="7"/>
  <c r="E1790" i="7"/>
  <c r="E1789" i="7"/>
  <c r="E748" i="9"/>
  <c r="G748" i="9" s="1"/>
  <c r="E747" i="9"/>
  <c r="G747" i="9" s="1"/>
  <c r="Q746" i="9"/>
  <c r="E746" i="9" s="1"/>
  <c r="G746" i="9" s="1"/>
  <c r="Q745" i="9"/>
  <c r="E745" i="9" s="1"/>
  <c r="G745" i="9" s="1"/>
  <c r="Q744" i="9"/>
  <c r="E744" i="9" s="1"/>
  <c r="G744" i="9" s="1"/>
  <c r="Q743" i="9"/>
  <c r="E743" i="9" s="1"/>
  <c r="G743" i="9" s="1"/>
  <c r="Q742" i="9"/>
  <c r="E742" i="9" s="1"/>
  <c r="G742" i="9" s="1"/>
  <c r="A748" i="9"/>
  <c r="A747" i="9"/>
  <c r="A746" i="9"/>
  <c r="A745" i="9"/>
  <c r="A744" i="9"/>
  <c r="A743" i="9"/>
  <c r="A742" i="9"/>
  <c r="Q741" i="9" l="1"/>
  <c r="E741" i="9" s="1"/>
  <c r="G741" i="9" s="1"/>
  <c r="Q740" i="9"/>
  <c r="E740" i="9" s="1"/>
  <c r="G740" i="9" s="1"/>
  <c r="Q739" i="9"/>
  <c r="E739" i="9" s="1"/>
  <c r="G739" i="9" s="1"/>
  <c r="Q738" i="9"/>
  <c r="E738" i="9" s="1"/>
  <c r="G738" i="9" s="1"/>
  <c r="Q737" i="9"/>
  <c r="E737" i="9" s="1"/>
  <c r="G737" i="9" s="1"/>
  <c r="Q736" i="9"/>
  <c r="E736" i="9" s="1"/>
  <c r="G736" i="9" s="1"/>
  <c r="Q735" i="9"/>
  <c r="E735" i="9" s="1"/>
  <c r="G735" i="9" s="1"/>
  <c r="A741" i="9"/>
  <c r="A740" i="9"/>
  <c r="A739" i="9"/>
  <c r="A738" i="9"/>
  <c r="A737" i="9"/>
  <c r="A736" i="9"/>
  <c r="A735" i="9"/>
  <c r="E734" i="9"/>
  <c r="G734" i="9" s="1"/>
  <c r="Q733" i="9"/>
  <c r="E733" i="9" s="1"/>
  <c r="G733" i="9" s="1"/>
  <c r="Q732" i="9"/>
  <c r="E732" i="9" s="1"/>
  <c r="G732" i="9" s="1"/>
  <c r="Q731" i="9"/>
  <c r="E731" i="9" s="1"/>
  <c r="G731" i="9" s="1"/>
  <c r="Q730" i="9"/>
  <c r="E730" i="9" s="1"/>
  <c r="G730" i="9" s="1"/>
  <c r="E729" i="9"/>
  <c r="G729" i="9" s="1"/>
  <c r="E728" i="9"/>
  <c r="G728" i="9" s="1"/>
  <c r="A734" i="9"/>
  <c r="A733" i="9"/>
  <c r="A732" i="9"/>
  <c r="A731" i="9"/>
  <c r="A730" i="9"/>
  <c r="A729" i="9"/>
  <c r="A728" i="9"/>
  <c r="E1788" i="7"/>
  <c r="E1787" i="7"/>
  <c r="E1786" i="7"/>
  <c r="E1785" i="7"/>
  <c r="E1784" i="7"/>
  <c r="E1783" i="7"/>
  <c r="E1782" i="7"/>
  <c r="E1781" i="7"/>
  <c r="E1780" i="7"/>
  <c r="E1779" i="7"/>
  <c r="E1778" i="7"/>
  <c r="E1777" i="7"/>
  <c r="E727" i="9"/>
  <c r="G727" i="9" s="1"/>
  <c r="E726" i="9"/>
  <c r="G726" i="9" s="1"/>
  <c r="Q725" i="9"/>
  <c r="E725" i="9" s="1"/>
  <c r="G725" i="9" s="1"/>
  <c r="Q724" i="9"/>
  <c r="E724" i="9" s="1"/>
  <c r="G724" i="9" s="1"/>
  <c r="Q723" i="9"/>
  <c r="E723" i="9" s="1"/>
  <c r="G723" i="9" s="1"/>
  <c r="Q722" i="9"/>
  <c r="E722" i="9" s="1"/>
  <c r="G722" i="9" s="1"/>
  <c r="E721" i="9"/>
  <c r="G721" i="9" s="1"/>
  <c r="A727" i="9"/>
  <c r="A726" i="9"/>
  <c r="A725" i="9"/>
  <c r="A724" i="9"/>
  <c r="A723" i="9"/>
  <c r="A722" i="9"/>
  <c r="A721" i="9"/>
  <c r="E1767" i="7" l="1"/>
  <c r="E1768" i="7"/>
  <c r="E1776" i="7"/>
  <c r="E1775" i="7"/>
  <c r="E1774" i="7"/>
  <c r="E1773" i="7"/>
  <c r="E1772" i="7"/>
  <c r="E1771" i="7"/>
  <c r="Q720" i="9"/>
  <c r="E720" i="9" s="1"/>
  <c r="G720" i="9" s="1"/>
  <c r="Q719" i="9"/>
  <c r="E719" i="9" s="1"/>
  <c r="G719" i="9" s="1"/>
  <c r="Q718" i="9"/>
  <c r="E718" i="9" s="1"/>
  <c r="G718" i="9" s="1"/>
  <c r="Q717" i="9"/>
  <c r="E717" i="9" s="1"/>
  <c r="G717" i="9" s="1"/>
  <c r="Q716" i="9"/>
  <c r="E716" i="9" s="1"/>
  <c r="G716" i="9" s="1"/>
  <c r="Q715" i="9"/>
  <c r="E715" i="9" s="1"/>
  <c r="G715" i="9" s="1"/>
  <c r="Q714" i="9"/>
  <c r="E714" i="9" s="1"/>
  <c r="G714" i="9" s="1"/>
  <c r="A720" i="9"/>
  <c r="A719" i="9"/>
  <c r="A718" i="9"/>
  <c r="A717" i="9"/>
  <c r="A716" i="9"/>
  <c r="A715" i="9"/>
  <c r="A714" i="9"/>
  <c r="E1770" i="7" l="1"/>
  <c r="E1769" i="7"/>
  <c r="E1765" i="7"/>
  <c r="E1764" i="7"/>
  <c r="E1763" i="7"/>
  <c r="E1762" i="7"/>
  <c r="Q713" i="9"/>
  <c r="E713" i="9" s="1"/>
  <c r="G713" i="9" s="1"/>
  <c r="Q712" i="9"/>
  <c r="E712" i="9" s="1"/>
  <c r="G712" i="9" s="1"/>
  <c r="Q711" i="9"/>
  <c r="E711" i="9" s="1"/>
  <c r="G711" i="9" s="1"/>
  <c r="Q710" i="9"/>
  <c r="E710" i="9" s="1"/>
  <c r="G710" i="9" s="1"/>
  <c r="Q709" i="9"/>
  <c r="E709" i="9" s="1"/>
  <c r="G709" i="9" s="1"/>
  <c r="E708" i="9"/>
  <c r="G708" i="9" s="1"/>
  <c r="E707" i="9"/>
  <c r="G707" i="9" s="1"/>
  <c r="A713" i="9"/>
  <c r="A712" i="9"/>
  <c r="A711" i="9"/>
  <c r="A710" i="9"/>
  <c r="A709" i="9"/>
  <c r="A708" i="9"/>
  <c r="A707" i="9"/>
  <c r="E1761" i="7" l="1"/>
  <c r="E1760" i="7"/>
  <c r="E1759" i="7"/>
  <c r="E1758" i="7"/>
  <c r="E1757" i="7"/>
  <c r="E1756" i="7"/>
  <c r="Q706" i="9"/>
  <c r="E706" i="9" s="1"/>
  <c r="G706" i="9" s="1"/>
  <c r="E705" i="9"/>
  <c r="Q704" i="9"/>
  <c r="E704" i="9" s="1"/>
  <c r="G704" i="9" s="1"/>
  <c r="Q703" i="9"/>
  <c r="E703" i="9" s="1"/>
  <c r="G703" i="9" s="1"/>
  <c r="Q702" i="9"/>
  <c r="E702" i="9" s="1"/>
  <c r="G702" i="9" s="1"/>
  <c r="Q701" i="9"/>
  <c r="E701" i="9" s="1"/>
  <c r="G701" i="9" s="1"/>
  <c r="E700" i="9"/>
  <c r="G700" i="9" s="1"/>
  <c r="A706" i="9"/>
  <c r="A705" i="9"/>
  <c r="A704" i="9"/>
  <c r="A703" i="9"/>
  <c r="A702" i="9"/>
  <c r="A701" i="9"/>
  <c r="A700" i="9"/>
  <c r="E1744" i="7" l="1"/>
  <c r="E1745" i="7"/>
  <c r="E1754" i="7"/>
  <c r="E1753" i="7"/>
  <c r="E1752" i="7"/>
  <c r="E1751" i="7"/>
  <c r="E1750" i="7"/>
  <c r="E1749" i="7"/>
  <c r="E1748" i="7"/>
  <c r="E1747" i="7"/>
  <c r="E1746" i="7"/>
  <c r="E1742" i="7"/>
  <c r="E1741" i="7"/>
  <c r="E1740" i="7"/>
  <c r="E1739" i="7"/>
  <c r="Q699" i="9"/>
  <c r="E699" i="9" s="1"/>
  <c r="G699" i="9" s="1"/>
  <c r="Q698" i="9"/>
  <c r="E698" i="9" s="1"/>
  <c r="Q697" i="9"/>
  <c r="E697" i="9" s="1"/>
  <c r="G697" i="9" s="1"/>
  <c r="Q696" i="9"/>
  <c r="E696" i="9" s="1"/>
  <c r="Q695" i="9"/>
  <c r="E695" i="9" s="1"/>
  <c r="G695" i="9" s="1"/>
  <c r="Q694" i="9"/>
  <c r="E694" i="9" s="1"/>
  <c r="G694" i="9" s="1"/>
  <c r="E693" i="9"/>
  <c r="G693" i="9" s="1"/>
  <c r="A699" i="9"/>
  <c r="A698" i="9"/>
  <c r="A697" i="9"/>
  <c r="A696" i="9"/>
  <c r="A695" i="9"/>
  <c r="A694" i="9"/>
  <c r="A693" i="9"/>
  <c r="E1738" i="7" l="1"/>
  <c r="E1737" i="7"/>
  <c r="E1736" i="7"/>
  <c r="E1735" i="7"/>
  <c r="E1734" i="7"/>
  <c r="E1733" i="7"/>
  <c r="E1732" i="7"/>
  <c r="E1731" i="7"/>
  <c r="E1730" i="7"/>
  <c r="E1729" i="7"/>
  <c r="E1728" i="7"/>
  <c r="E1727" i="7"/>
  <c r="E1726" i="7"/>
  <c r="E1725" i="7"/>
  <c r="E692" i="9" l="1"/>
  <c r="G692" i="9" s="1"/>
  <c r="Q691" i="9"/>
  <c r="E691" i="9" s="1"/>
  <c r="Q690" i="9"/>
  <c r="E690" i="9" s="1"/>
  <c r="Q689" i="9"/>
  <c r="E689" i="9" s="1"/>
  <c r="G689" i="9" s="1"/>
  <c r="Q688" i="9"/>
  <c r="E688" i="9" s="1"/>
  <c r="G688" i="9" s="1"/>
  <c r="Q687" i="9"/>
  <c r="E687" i="9" s="1"/>
  <c r="G687" i="9" s="1"/>
  <c r="E686" i="9"/>
  <c r="G686" i="9" s="1"/>
  <c r="A692" i="9"/>
  <c r="A691" i="9"/>
  <c r="A690" i="9"/>
  <c r="A689" i="9"/>
  <c r="A688" i="9"/>
  <c r="A687" i="9"/>
  <c r="A686" i="9"/>
  <c r="Q685" i="9"/>
  <c r="E685" i="9" s="1"/>
  <c r="G685" i="9" s="1"/>
  <c r="E684" i="9"/>
  <c r="G684" i="9" s="1"/>
  <c r="Q683" i="9"/>
  <c r="E683" i="9" s="1"/>
  <c r="G683" i="9" s="1"/>
  <c r="Q682" i="9"/>
  <c r="E682" i="9" s="1"/>
  <c r="G682" i="9" s="1"/>
  <c r="Q681" i="9"/>
  <c r="E681" i="9" s="1"/>
  <c r="G681" i="9" s="1"/>
  <c r="Q680" i="9"/>
  <c r="E680" i="9" s="1"/>
  <c r="G680" i="9" s="1"/>
  <c r="E679" i="9"/>
  <c r="G679" i="9" s="1"/>
  <c r="A685" i="9"/>
  <c r="A684" i="9"/>
  <c r="A683" i="9"/>
  <c r="A682" i="9"/>
  <c r="A681" i="9"/>
  <c r="A680" i="9"/>
  <c r="A679" i="9"/>
  <c r="Q678" i="9"/>
  <c r="E678" i="9" s="1"/>
  <c r="G678" i="9" s="1"/>
  <c r="Q677" i="9"/>
  <c r="E677" i="9" s="1"/>
  <c r="G677" i="9" s="1"/>
  <c r="Q676" i="9"/>
  <c r="E676" i="9" s="1"/>
  <c r="G676" i="9" s="1"/>
  <c r="Q675" i="9"/>
  <c r="E675" i="9" s="1"/>
  <c r="G675" i="9" s="1"/>
  <c r="Q674" i="9"/>
  <c r="E674" i="9" s="1"/>
  <c r="G674" i="9" s="1"/>
  <c r="Q673" i="9"/>
  <c r="E673" i="9" s="1"/>
  <c r="G673" i="9" s="1"/>
  <c r="E672" i="9"/>
  <c r="G672" i="9" s="1"/>
  <c r="A678" i="9"/>
  <c r="A677" i="9"/>
  <c r="A676" i="9"/>
  <c r="A675" i="9"/>
  <c r="A674" i="9"/>
  <c r="A673" i="9"/>
  <c r="A672" i="9"/>
  <c r="E1724" i="7" l="1"/>
  <c r="E1723" i="7"/>
  <c r="E1722" i="7"/>
  <c r="E1721" i="7"/>
  <c r="E1720" i="7"/>
  <c r="E1719" i="7"/>
  <c r="Q671" i="9"/>
  <c r="E671" i="9" s="1"/>
  <c r="G671" i="9" s="1"/>
  <c r="Q670" i="9"/>
  <c r="E670" i="9" s="1"/>
  <c r="G670" i="9" s="1"/>
  <c r="Q669" i="9"/>
  <c r="E669" i="9" s="1"/>
  <c r="G669" i="9" s="1"/>
  <c r="Q668" i="9"/>
  <c r="E668" i="9" s="1"/>
  <c r="G668" i="9" s="1"/>
  <c r="Q667" i="9"/>
  <c r="E667" i="9" s="1"/>
  <c r="G667" i="9" s="1"/>
  <c r="E666" i="9"/>
  <c r="G666" i="9" s="1"/>
  <c r="E665" i="9"/>
  <c r="G665" i="9" s="1"/>
  <c r="A671" i="9"/>
  <c r="A670" i="9"/>
  <c r="A669" i="9"/>
  <c r="A668" i="9"/>
  <c r="A667" i="9"/>
  <c r="A666" i="9"/>
  <c r="A665" i="9"/>
  <c r="Q664" i="9" l="1"/>
  <c r="E664" i="9" s="1"/>
  <c r="G664" i="9" s="1"/>
  <c r="E663" i="9"/>
  <c r="G663" i="9" s="1"/>
  <c r="Q662" i="9"/>
  <c r="E662" i="9" s="1"/>
  <c r="G662" i="9" s="1"/>
  <c r="Q661" i="9"/>
  <c r="E661" i="9" s="1"/>
  <c r="G661" i="9" s="1"/>
  <c r="Q660" i="9"/>
  <c r="E660" i="9" s="1"/>
  <c r="G660" i="9" s="1"/>
  <c r="Q659" i="9"/>
  <c r="E659" i="9" s="1"/>
  <c r="G659" i="9" s="1"/>
  <c r="E658" i="9"/>
  <c r="G658" i="9" s="1"/>
  <c r="A664" i="9"/>
  <c r="A663" i="9"/>
  <c r="A662" i="9"/>
  <c r="A661" i="9"/>
  <c r="A660" i="9"/>
  <c r="A659" i="9"/>
  <c r="A658" i="9"/>
  <c r="E1718" i="7"/>
  <c r="E1717" i="7"/>
  <c r="E1716" i="7"/>
  <c r="E1715" i="7"/>
  <c r="E1714" i="7"/>
  <c r="E1713" i="7"/>
  <c r="E1712" i="7"/>
  <c r="E1711" i="7"/>
  <c r="E1710" i="7"/>
  <c r="E1709" i="7"/>
  <c r="E1708" i="7"/>
  <c r="E1707" i="7"/>
  <c r="E1706" i="7"/>
  <c r="E1705" i="7"/>
  <c r="E1704" i="7"/>
  <c r="E1703" i="7"/>
  <c r="E1702" i="7"/>
  <c r="E1701" i="7"/>
  <c r="E1700" i="7"/>
  <c r="Q657" i="9"/>
  <c r="E657" i="9" s="1"/>
  <c r="G657" i="9" s="1"/>
  <c r="Q656" i="9"/>
  <c r="E656" i="9" s="1"/>
  <c r="G656" i="9" s="1"/>
  <c r="Q655" i="9"/>
  <c r="E655" i="9" s="1"/>
  <c r="G655" i="9" s="1"/>
  <c r="Q654" i="9"/>
  <c r="E654" i="9" s="1"/>
  <c r="G654" i="9" s="1"/>
  <c r="Q653" i="9"/>
  <c r="E653" i="9" s="1"/>
  <c r="G653" i="9" s="1"/>
  <c r="E652" i="9"/>
  <c r="G652" i="9" s="1"/>
  <c r="E651" i="9"/>
  <c r="G651" i="9" s="1"/>
  <c r="A657" i="9"/>
  <c r="A656" i="9"/>
  <c r="A655" i="9"/>
  <c r="A654" i="9"/>
  <c r="A653" i="9"/>
  <c r="A652" i="9"/>
  <c r="A651" i="9"/>
  <c r="E1699" i="7" l="1"/>
  <c r="E1698" i="7"/>
  <c r="E1697" i="7"/>
  <c r="E1696" i="7"/>
  <c r="E1695" i="7"/>
  <c r="E1694" i="7"/>
  <c r="E1693" i="7"/>
  <c r="E1692" i="7"/>
  <c r="E1691" i="7"/>
  <c r="E1690" i="7"/>
  <c r="E1689" i="7"/>
  <c r="E1688" i="7"/>
  <c r="E1687" i="7"/>
  <c r="E1686" i="7"/>
  <c r="E1685" i="7"/>
  <c r="Q650" i="9"/>
  <c r="E650" i="9" s="1"/>
  <c r="G650" i="9" s="1"/>
  <c r="Q649" i="9"/>
  <c r="E649" i="9" s="1"/>
  <c r="G649" i="9" s="1"/>
  <c r="Q648" i="9"/>
  <c r="E648" i="9" s="1"/>
  <c r="G648" i="9" s="1"/>
  <c r="Q647" i="9"/>
  <c r="E647" i="9" s="1"/>
  <c r="G647" i="9" s="1"/>
  <c r="Q646" i="9"/>
  <c r="E646" i="9" s="1"/>
  <c r="G646" i="9" s="1"/>
  <c r="E645" i="9"/>
  <c r="G645" i="9" s="1"/>
  <c r="E644" i="9"/>
  <c r="G644" i="9" s="1"/>
  <c r="A650" i="9"/>
  <c r="A649" i="9"/>
  <c r="A648" i="9"/>
  <c r="A647" i="9"/>
  <c r="A646" i="9"/>
  <c r="A645" i="9"/>
  <c r="A644" i="9"/>
  <c r="I635" i="9" l="1"/>
  <c r="L1486" i="8"/>
  <c r="E1684" i="7"/>
  <c r="E1683" i="7"/>
  <c r="E1682" i="7"/>
  <c r="E1681" i="7"/>
  <c r="E1680" i="7"/>
  <c r="E1679" i="7"/>
  <c r="E1678" i="7"/>
  <c r="E1677" i="7"/>
  <c r="E1676" i="7"/>
  <c r="E1675" i="7"/>
  <c r="E1674" i="7"/>
  <c r="Q643" i="9"/>
  <c r="E643" i="9" s="1"/>
  <c r="G643" i="9" s="1"/>
  <c r="Q642" i="9"/>
  <c r="E642" i="9" s="1"/>
  <c r="G642" i="9" s="1"/>
  <c r="Q641" i="9"/>
  <c r="E641" i="9" s="1"/>
  <c r="G641" i="9" s="1"/>
  <c r="Q640" i="9"/>
  <c r="E640" i="9" s="1"/>
  <c r="G640" i="9" s="1"/>
  <c r="Q639" i="9"/>
  <c r="E639" i="9" s="1"/>
  <c r="G639" i="9" s="1"/>
  <c r="Q638" i="9"/>
  <c r="E638" i="9" s="1"/>
  <c r="G638" i="9" s="1"/>
  <c r="E637" i="9"/>
  <c r="G637" i="9" s="1"/>
  <c r="A643" i="9"/>
  <c r="A642" i="9"/>
  <c r="A641" i="9"/>
  <c r="A640" i="9"/>
  <c r="A639" i="9"/>
  <c r="A638" i="9"/>
  <c r="A637" i="9"/>
  <c r="Q636" i="9"/>
  <c r="E636" i="9" s="1"/>
  <c r="G636" i="9" s="1"/>
  <c r="Q635" i="9"/>
  <c r="E635" i="9" s="1"/>
  <c r="G635" i="9" s="1"/>
  <c r="Q634" i="9"/>
  <c r="E634" i="9" s="1"/>
  <c r="G634" i="9" s="1"/>
  <c r="Q633" i="9"/>
  <c r="E633" i="9" s="1"/>
  <c r="G633" i="9" s="1"/>
  <c r="Q632" i="9"/>
  <c r="E632" i="9" s="1"/>
  <c r="G632" i="9" s="1"/>
  <c r="E631" i="9"/>
  <c r="G631" i="9" s="1"/>
  <c r="E630" i="9"/>
  <c r="G630" i="9" s="1"/>
  <c r="A636" i="9"/>
  <c r="A635" i="9"/>
  <c r="A634" i="9"/>
  <c r="A633" i="9"/>
  <c r="A632" i="9"/>
  <c r="A631" i="9"/>
  <c r="A630" i="9"/>
  <c r="Q629" i="9"/>
  <c r="E629" i="9" s="1"/>
  <c r="G629" i="9" s="1"/>
  <c r="Q628" i="9"/>
  <c r="E628" i="9" s="1"/>
  <c r="G628" i="9" s="1"/>
  <c r="Q627" i="9"/>
  <c r="E627" i="9" s="1"/>
  <c r="G627" i="9" s="1"/>
  <c r="Q626" i="9"/>
  <c r="E626" i="9" s="1"/>
  <c r="G626" i="9" s="1"/>
  <c r="Q625" i="9"/>
  <c r="E625" i="9" s="1"/>
  <c r="G625" i="9" s="1"/>
  <c r="E624" i="9"/>
  <c r="G624" i="9" s="1"/>
  <c r="E623" i="9"/>
  <c r="G623" i="9" s="1"/>
  <c r="A629" i="9"/>
  <c r="A628" i="9"/>
  <c r="A627" i="9"/>
  <c r="A626" i="9"/>
  <c r="A625" i="9"/>
  <c r="A624" i="9"/>
  <c r="A623" i="9"/>
  <c r="I622" i="9" l="1"/>
  <c r="I621" i="9"/>
  <c r="E1673" i="7"/>
  <c r="E1672" i="7"/>
  <c r="E1671" i="7"/>
  <c r="E1670" i="7"/>
  <c r="E1669" i="7"/>
  <c r="E1668" i="7"/>
  <c r="E1667" i="7"/>
  <c r="E1666" i="7"/>
  <c r="Q622" i="9"/>
  <c r="E622" i="9" s="1"/>
  <c r="G622" i="9" s="1"/>
  <c r="Q621" i="9"/>
  <c r="E621" i="9" s="1"/>
  <c r="G621" i="9" s="1"/>
  <c r="Q618" i="9"/>
  <c r="E618" i="9" s="1"/>
  <c r="G618" i="9" s="1"/>
  <c r="Q617" i="9"/>
  <c r="E617" i="9" s="1"/>
  <c r="G617" i="9" s="1"/>
  <c r="A622" i="9"/>
  <c r="A621" i="9"/>
  <c r="A620" i="9"/>
  <c r="Q620" i="9" s="1"/>
  <c r="E620" i="9" s="1"/>
  <c r="G620" i="9" s="1"/>
  <c r="A619" i="9"/>
  <c r="Q619" i="9" s="1"/>
  <c r="E619" i="9" s="1"/>
  <c r="G619" i="9" s="1"/>
  <c r="A618" i="9"/>
  <c r="A617" i="9"/>
  <c r="A616" i="9"/>
  <c r="Q616" i="9" s="1"/>
  <c r="E616" i="9" s="1"/>
  <c r="G616" i="9" s="1"/>
  <c r="E1665" i="7" l="1"/>
  <c r="E1664" i="7"/>
  <c r="E1663" i="7"/>
  <c r="E1662" i="7"/>
  <c r="E1661" i="7"/>
  <c r="E1660" i="7"/>
  <c r="E1659" i="7"/>
  <c r="E1658" i="7"/>
  <c r="Q615" i="9"/>
  <c r="E615" i="9" s="1"/>
  <c r="G615" i="9" s="1"/>
  <c r="E614" i="9"/>
  <c r="G614" i="9" s="1"/>
  <c r="Q611" i="9"/>
  <c r="E611" i="9" s="1"/>
  <c r="G611" i="9" s="1"/>
  <c r="E610" i="9"/>
  <c r="G610" i="9" s="1"/>
  <c r="E609" i="9"/>
  <c r="G609" i="9" s="1"/>
  <c r="A615" i="9"/>
  <c r="A614" i="9"/>
  <c r="A613" i="9"/>
  <c r="Q613" i="9" s="1"/>
  <c r="E613" i="9" s="1"/>
  <c r="G613" i="9" s="1"/>
  <c r="A612" i="9"/>
  <c r="Q612" i="9" s="1"/>
  <c r="E612" i="9" s="1"/>
  <c r="G612" i="9" s="1"/>
  <c r="A611" i="9"/>
  <c r="A610" i="9"/>
  <c r="A609" i="9"/>
  <c r="E1657" i="7" l="1"/>
  <c r="E1656" i="7"/>
  <c r="E1655" i="7"/>
  <c r="E1654" i="7"/>
  <c r="E1653" i="7"/>
  <c r="E1652" i="7"/>
  <c r="E1651" i="7"/>
  <c r="E1650" i="7"/>
  <c r="E607" i="9"/>
  <c r="G607" i="9" s="1"/>
  <c r="Q605" i="9"/>
  <c r="E605" i="9" s="1"/>
  <c r="G605" i="9" s="1"/>
  <c r="E602" i="9"/>
  <c r="G602" i="9" s="1"/>
  <c r="A608" i="9"/>
  <c r="Q608" i="9" s="1"/>
  <c r="E608" i="9" s="1"/>
  <c r="G608" i="9" s="1"/>
  <c r="A607" i="9"/>
  <c r="A606" i="9"/>
  <c r="Q606" i="9" s="1"/>
  <c r="E606" i="9" s="1"/>
  <c r="G606" i="9" s="1"/>
  <c r="A605" i="9"/>
  <c r="A604" i="9"/>
  <c r="Q604" i="9" s="1"/>
  <c r="E604" i="9" s="1"/>
  <c r="G604" i="9" s="1"/>
  <c r="A603" i="9"/>
  <c r="Q603" i="9" s="1"/>
  <c r="E603" i="9" s="1"/>
  <c r="G603" i="9" s="1"/>
  <c r="A602" i="9"/>
  <c r="I600" i="9" l="1"/>
  <c r="E1649" i="7"/>
  <c r="E1648" i="7"/>
  <c r="E1647" i="7"/>
  <c r="E1646" i="7"/>
  <c r="E1645" i="7"/>
  <c r="E1644" i="7"/>
  <c r="E1643" i="7"/>
  <c r="E1642" i="7"/>
  <c r="E1641" i="7"/>
  <c r="E1640" i="7"/>
  <c r="E1639" i="7"/>
  <c r="E1638" i="7"/>
  <c r="E1637" i="7"/>
  <c r="E1636" i="7"/>
  <c r="E1635" i="7"/>
  <c r="E1634" i="7"/>
  <c r="E1633" i="7"/>
  <c r="E1632" i="7"/>
  <c r="Q599" i="9"/>
  <c r="E599" i="9" s="1"/>
  <c r="G599" i="9" s="1"/>
  <c r="Q595" i="9"/>
  <c r="E595" i="9" s="1"/>
  <c r="G595" i="9" s="1"/>
  <c r="A601" i="9"/>
  <c r="Q601" i="9" s="1"/>
  <c r="E601" i="9" s="1"/>
  <c r="G601" i="9" s="1"/>
  <c r="A600" i="9"/>
  <c r="Q600" i="9" s="1"/>
  <c r="E600" i="9" s="1"/>
  <c r="G600" i="9" s="1"/>
  <c r="A599" i="9"/>
  <c r="A598" i="9"/>
  <c r="Q598" i="9" s="1"/>
  <c r="E598" i="9" s="1"/>
  <c r="G598" i="9" s="1"/>
  <c r="A597" i="9"/>
  <c r="Q597" i="9" s="1"/>
  <c r="E597" i="9" s="1"/>
  <c r="G597" i="9" s="1"/>
  <c r="A596" i="9"/>
  <c r="Q596" i="9" s="1"/>
  <c r="E596" i="9" s="1"/>
  <c r="G596" i="9" s="1"/>
  <c r="A595" i="9"/>
  <c r="I583" i="9" l="1"/>
  <c r="I576" i="9"/>
  <c r="E1624" i="7"/>
  <c r="E1631" i="7"/>
  <c r="E1630" i="7"/>
  <c r="E1629" i="7"/>
  <c r="E1628" i="7"/>
  <c r="E1627" i="7"/>
  <c r="E1626" i="7"/>
  <c r="E1625" i="7"/>
  <c r="Q594" i="9"/>
  <c r="E594" i="9" s="1"/>
  <c r="G594" i="9" s="1"/>
  <c r="Q593" i="9"/>
  <c r="E593" i="9" s="1"/>
  <c r="G593" i="9" s="1"/>
  <c r="Q590" i="9"/>
  <c r="E590" i="9" s="1"/>
  <c r="G590" i="9" s="1"/>
  <c r="Q589" i="9"/>
  <c r="E589" i="9" s="1"/>
  <c r="G589" i="9" s="1"/>
  <c r="A594" i="9"/>
  <c r="A593" i="9"/>
  <c r="A592" i="9"/>
  <c r="Q592" i="9" s="1"/>
  <c r="E592" i="9" s="1"/>
  <c r="A591" i="9"/>
  <c r="Q591" i="9" s="1"/>
  <c r="E591" i="9" s="1"/>
  <c r="G591" i="9" s="1"/>
  <c r="A590" i="9"/>
  <c r="A589" i="9"/>
  <c r="A588" i="9"/>
  <c r="Q588" i="9" s="1"/>
  <c r="E588" i="9" s="1"/>
  <c r="G588" i="9" s="1"/>
  <c r="E586" i="9"/>
  <c r="G586" i="9" s="1"/>
  <c r="Q585" i="9"/>
  <c r="E585" i="9" s="1"/>
  <c r="G585" i="9" s="1"/>
  <c r="Q584" i="9"/>
  <c r="E584" i="9" s="1"/>
  <c r="G584" i="9" s="1"/>
  <c r="Q581" i="9"/>
  <c r="E581" i="9" s="1"/>
  <c r="G581" i="9" s="1"/>
  <c r="A587" i="9"/>
  <c r="Q587" i="9" s="1"/>
  <c r="E587" i="9" s="1"/>
  <c r="G587" i="9" s="1"/>
  <c r="A586" i="9"/>
  <c r="A585" i="9"/>
  <c r="A584" i="9"/>
  <c r="A583" i="9"/>
  <c r="Q583" i="9" s="1"/>
  <c r="E583" i="9" s="1"/>
  <c r="G583" i="9" s="1"/>
  <c r="A582" i="9"/>
  <c r="Q582" i="9" s="1"/>
  <c r="E582" i="9" s="1"/>
  <c r="G582" i="9" s="1"/>
  <c r="A581" i="9"/>
  <c r="Q580" i="9"/>
  <c r="E580" i="9" s="1"/>
  <c r="G580" i="9" s="1"/>
  <c r="Q579" i="9"/>
  <c r="E579" i="9" s="1"/>
  <c r="G579" i="9" s="1"/>
  <c r="Q576" i="9"/>
  <c r="E576" i="9" s="1"/>
  <c r="G576" i="9" s="1"/>
  <c r="E575" i="9"/>
  <c r="G575" i="9" s="1"/>
  <c r="E574" i="9"/>
  <c r="G574" i="9" s="1"/>
  <c r="A580" i="9"/>
  <c r="A579" i="9"/>
  <c r="A578" i="9"/>
  <c r="Q578" i="9" s="1"/>
  <c r="E578" i="9" s="1"/>
  <c r="G578" i="9" s="1"/>
  <c r="A577" i="9"/>
  <c r="Q577" i="9" s="1"/>
  <c r="E577" i="9" s="1"/>
  <c r="G577" i="9" s="1"/>
  <c r="A576" i="9"/>
  <c r="A575" i="9"/>
  <c r="A574" i="9"/>
  <c r="E1621" i="7" l="1"/>
  <c r="E1620" i="7"/>
  <c r="E1619" i="7"/>
  <c r="E1618" i="7"/>
  <c r="E1617" i="7"/>
  <c r="E1616" i="7"/>
  <c r="E1615" i="7"/>
  <c r="E1614" i="7"/>
  <c r="E1613" i="7"/>
  <c r="E573" i="9"/>
  <c r="G573" i="9" s="1"/>
  <c r="Q572" i="9"/>
  <c r="E572" i="9" s="1"/>
  <c r="G572" i="9" s="1"/>
  <c r="E571" i="9"/>
  <c r="G571" i="9" s="1"/>
  <c r="E570" i="9"/>
  <c r="G570" i="9" s="1"/>
  <c r="E569" i="9"/>
  <c r="G569" i="9" s="1"/>
  <c r="E568" i="9"/>
  <c r="G568" i="9" s="1"/>
  <c r="E567" i="9"/>
  <c r="G567" i="9" s="1"/>
  <c r="A573" i="9"/>
  <c r="A572" i="9"/>
  <c r="A571" i="9"/>
  <c r="A570" i="9"/>
  <c r="A569" i="9"/>
  <c r="A568" i="9"/>
  <c r="A567" i="9"/>
  <c r="E1612" i="7" l="1"/>
  <c r="E1611" i="7"/>
  <c r="E1610" i="7"/>
  <c r="E1609" i="7"/>
  <c r="E1608" i="7"/>
  <c r="E1607" i="7"/>
  <c r="E1606" i="7"/>
  <c r="Q566" i="9"/>
  <c r="E566" i="9" s="1"/>
  <c r="G566" i="9" s="1"/>
  <c r="Q565" i="9"/>
  <c r="E565" i="9" s="1"/>
  <c r="G565" i="9" s="1"/>
  <c r="E564" i="9"/>
  <c r="G564" i="9" s="1"/>
  <c r="Q562" i="9"/>
  <c r="E562" i="9" s="1"/>
  <c r="G562" i="9" s="1"/>
  <c r="Q561" i="9"/>
  <c r="E561" i="9" s="1"/>
  <c r="G561" i="9" s="1"/>
  <c r="E560" i="9"/>
  <c r="G560" i="9" s="1"/>
  <c r="A566" i="9"/>
  <c r="A565" i="9"/>
  <c r="A564" i="9"/>
  <c r="A563" i="9"/>
  <c r="Q563" i="9" s="1"/>
  <c r="E563" i="9" s="1"/>
  <c r="G563" i="9" s="1"/>
  <c r="A562" i="9"/>
  <c r="A561" i="9"/>
  <c r="A560" i="9"/>
  <c r="I550" i="9" l="1"/>
  <c r="E1603" i="7"/>
  <c r="E1605" i="7"/>
  <c r="E1604" i="7"/>
  <c r="E1600" i="7"/>
  <c r="E1599" i="7"/>
  <c r="E1598" i="7"/>
  <c r="E1597" i="7"/>
  <c r="Q558" i="9"/>
  <c r="E558" i="9" s="1"/>
  <c r="G558" i="9" s="1"/>
  <c r="E557" i="9"/>
  <c r="G557" i="9" s="1"/>
  <c r="Q556" i="9"/>
  <c r="E556" i="9" s="1"/>
  <c r="G556" i="9" s="1"/>
  <c r="Q554" i="9"/>
  <c r="E554" i="9" s="1"/>
  <c r="G554" i="9" s="1"/>
  <c r="E553" i="9"/>
  <c r="G553" i="9" s="1"/>
  <c r="A559" i="9"/>
  <c r="Q559" i="9" s="1"/>
  <c r="E559" i="9" s="1"/>
  <c r="G559" i="9" s="1"/>
  <c r="A558" i="9"/>
  <c r="A557" i="9"/>
  <c r="A556" i="9"/>
  <c r="A555" i="9"/>
  <c r="Q555" i="9" s="1"/>
  <c r="E555" i="9" s="1"/>
  <c r="G555" i="9" s="1"/>
  <c r="A554" i="9"/>
  <c r="A553" i="9"/>
  <c r="E1596" i="7" l="1"/>
  <c r="E1595" i="7"/>
  <c r="E1594" i="7"/>
  <c r="E1593" i="7"/>
  <c r="E1592" i="7"/>
  <c r="E1591" i="7"/>
  <c r="E1590" i="7"/>
  <c r="E1589" i="7"/>
  <c r="E1588" i="7"/>
  <c r="E1587" i="7"/>
  <c r="E1586" i="7"/>
  <c r="E1585" i="7"/>
  <c r="E1584" i="7"/>
  <c r="E1583" i="7"/>
  <c r="E1582" i="7"/>
  <c r="Q552" i="9"/>
  <c r="E552" i="9" s="1"/>
  <c r="G552" i="9" s="1"/>
  <c r="E549" i="9"/>
  <c r="G549" i="9" s="1"/>
  <c r="Q548" i="9"/>
  <c r="E548" i="9" s="1"/>
  <c r="G548" i="9" s="1"/>
  <c r="E547" i="9"/>
  <c r="G547" i="9" s="1"/>
  <c r="E546" i="9"/>
  <c r="G546" i="9" s="1"/>
  <c r="A552" i="9"/>
  <c r="A551" i="9"/>
  <c r="Q551" i="9" s="1"/>
  <c r="E551" i="9" s="1"/>
  <c r="G551" i="9" s="1"/>
  <c r="A550" i="9"/>
  <c r="Q550" i="9" s="1"/>
  <c r="E550" i="9" s="1"/>
  <c r="A549" i="9"/>
  <c r="A548" i="9"/>
  <c r="A547" i="9"/>
  <c r="A546" i="9"/>
  <c r="I528" i="9" l="1"/>
  <c r="E1553" i="7"/>
  <c r="E1581" i="7"/>
  <c r="E1580" i="7"/>
  <c r="E1579" i="7"/>
  <c r="E1578" i="7"/>
  <c r="E1577" i="7"/>
  <c r="E1576" i="7"/>
  <c r="E1575" i="7"/>
  <c r="E1574" i="7"/>
  <c r="E1573" i="7"/>
  <c r="E1572" i="7"/>
  <c r="E1571" i="7"/>
  <c r="E1570" i="7"/>
  <c r="E1569" i="7"/>
  <c r="E1568" i="7"/>
  <c r="E1567" i="7"/>
  <c r="E1566" i="7"/>
  <c r="E1565" i="7"/>
  <c r="E545" i="9"/>
  <c r="G545" i="9" s="1"/>
  <c r="Q542" i="9"/>
  <c r="E542" i="9" s="1"/>
  <c r="G542" i="9" s="1"/>
  <c r="Q541" i="9"/>
  <c r="E541" i="9" s="1"/>
  <c r="G541" i="9" s="1"/>
  <c r="A545" i="9"/>
  <c r="A544" i="9"/>
  <c r="Q544" i="9" s="1"/>
  <c r="E544" i="9" s="1"/>
  <c r="G544" i="9" s="1"/>
  <c r="A543" i="9"/>
  <c r="Q543" i="9" s="1"/>
  <c r="E543" i="9" s="1"/>
  <c r="G543" i="9" s="1"/>
  <c r="A542" i="9"/>
  <c r="A541" i="9"/>
  <c r="A540" i="9"/>
  <c r="Q540" i="9" s="1"/>
  <c r="E540" i="9" s="1"/>
  <c r="G540" i="9" s="1"/>
  <c r="A539" i="9"/>
  <c r="Q539" i="9" s="1"/>
  <c r="E539" i="9" s="1"/>
  <c r="G539" i="9" s="1"/>
  <c r="E537" i="9"/>
  <c r="G537" i="9" s="1"/>
  <c r="Q536" i="9"/>
  <c r="E536" i="9" s="1"/>
  <c r="G536" i="9" s="1"/>
  <c r="E533" i="9"/>
  <c r="G533" i="9" s="1"/>
  <c r="Q532" i="9"/>
  <c r="E532" i="9" s="1"/>
  <c r="G532" i="9" s="1"/>
  <c r="A538" i="9"/>
  <c r="Q538" i="9" s="1"/>
  <c r="E538" i="9" s="1"/>
  <c r="G538" i="9" s="1"/>
  <c r="A537" i="9"/>
  <c r="A536" i="9"/>
  <c r="A535" i="9"/>
  <c r="Q535" i="9" s="1"/>
  <c r="E535" i="9" s="1"/>
  <c r="G535" i="9" s="1"/>
  <c r="A534" i="9"/>
  <c r="Q534" i="9" s="1"/>
  <c r="E534" i="9" s="1"/>
  <c r="G534" i="9" s="1"/>
  <c r="A533" i="9"/>
  <c r="A532" i="9"/>
  <c r="Q531" i="9"/>
  <c r="E531" i="9" s="1"/>
  <c r="G531" i="9" s="1"/>
  <c r="E530" i="9"/>
  <c r="G530" i="9" s="1"/>
  <c r="Q528" i="9"/>
  <c r="E528" i="9" s="1"/>
  <c r="G528" i="9" s="1"/>
  <c r="Q527" i="9"/>
  <c r="E527" i="9" s="1"/>
  <c r="G527" i="9" s="1"/>
  <c r="E525" i="9"/>
  <c r="G525" i="9" s="1"/>
  <c r="A531" i="9"/>
  <c r="A530" i="9"/>
  <c r="A529" i="9"/>
  <c r="Q529" i="9" s="1"/>
  <c r="E529" i="9" s="1"/>
  <c r="A528" i="9"/>
  <c r="A527" i="9"/>
  <c r="A526" i="9"/>
  <c r="Q526" i="9" s="1"/>
  <c r="E526" i="9" s="1"/>
  <c r="G526" i="9" s="1"/>
  <c r="A525" i="9"/>
  <c r="Q523" i="9"/>
  <c r="E523" i="9" s="1"/>
  <c r="G523" i="9" s="1"/>
  <c r="Q522" i="9"/>
  <c r="E522" i="9" s="1"/>
  <c r="G522" i="9" s="1"/>
  <c r="E519" i="9"/>
  <c r="G519" i="9" s="1"/>
  <c r="E518" i="9"/>
  <c r="G518" i="9" s="1"/>
  <c r="A524" i="9"/>
  <c r="Q524" i="9" s="1"/>
  <c r="E524" i="9" s="1"/>
  <c r="G524" i="9" s="1"/>
  <c r="A523" i="9"/>
  <c r="A522" i="9"/>
  <c r="A521" i="9"/>
  <c r="Q521" i="9" s="1"/>
  <c r="E521" i="9" s="1"/>
  <c r="G521" i="9" s="1"/>
  <c r="A520" i="9"/>
  <c r="Q520" i="9" s="1"/>
  <c r="E520" i="9" s="1"/>
  <c r="G520" i="9" s="1"/>
  <c r="A519" i="9"/>
  <c r="A518" i="9"/>
  <c r="E1564" i="7" l="1"/>
  <c r="E1563" i="7"/>
  <c r="E1562" i="7"/>
  <c r="E1561" i="7"/>
  <c r="E1560" i="7"/>
  <c r="E1559" i="7"/>
  <c r="E1558" i="7"/>
  <c r="E1557" i="7"/>
  <c r="Q514" i="9"/>
  <c r="E514" i="9" s="1"/>
  <c r="G514" i="9" s="1"/>
  <c r="E511" i="9"/>
  <c r="G511" i="9" s="1"/>
  <c r="A517" i="9"/>
  <c r="Q517" i="9" s="1"/>
  <c r="E517" i="9" s="1"/>
  <c r="G517" i="9" s="1"/>
  <c r="A516" i="9"/>
  <c r="Q516" i="9" s="1"/>
  <c r="E516" i="9" s="1"/>
  <c r="G516" i="9" s="1"/>
  <c r="A515" i="9"/>
  <c r="Q515" i="9" s="1"/>
  <c r="E515" i="9" s="1"/>
  <c r="G515" i="9" s="1"/>
  <c r="A514" i="9"/>
  <c r="A513" i="9"/>
  <c r="Q513" i="9" s="1"/>
  <c r="E513" i="9" s="1"/>
  <c r="G513" i="9" s="1"/>
  <c r="A512" i="9"/>
  <c r="Q512" i="9" s="1"/>
  <c r="E512" i="9" s="1"/>
  <c r="G512" i="9" s="1"/>
  <c r="A511" i="9"/>
  <c r="E1547" i="7" l="1"/>
  <c r="E1548" i="7"/>
  <c r="I506" i="9"/>
  <c r="E1556" i="7"/>
  <c r="E1555" i="7"/>
  <c r="E1554" i="7"/>
  <c r="E1545" i="7"/>
  <c r="E1544" i="7"/>
  <c r="E1543" i="7"/>
  <c r="E1542" i="7"/>
  <c r="E1541" i="7"/>
  <c r="E1540" i="7"/>
  <c r="E1539" i="7"/>
  <c r="E1538" i="7"/>
  <c r="E1537" i="7"/>
  <c r="E1536" i="7"/>
  <c r="E1535" i="7"/>
  <c r="E1534" i="7"/>
  <c r="E1533" i="7"/>
  <c r="Q510" i="9"/>
  <c r="E510" i="9" s="1"/>
  <c r="G510" i="9" s="1"/>
  <c r="Q508" i="9"/>
  <c r="E508" i="9" s="1"/>
  <c r="G508" i="9" s="1"/>
  <c r="Q506" i="9"/>
  <c r="E506" i="9" s="1"/>
  <c r="G506" i="9" s="1"/>
  <c r="E505" i="9"/>
  <c r="G505" i="9" s="1"/>
  <c r="Q504" i="9"/>
  <c r="E504" i="9" s="1"/>
  <c r="G504" i="9" s="1"/>
  <c r="A510" i="9"/>
  <c r="A509" i="9"/>
  <c r="Q509" i="9" s="1"/>
  <c r="E509" i="9" s="1"/>
  <c r="G509" i="9" s="1"/>
  <c r="A508" i="9"/>
  <c r="A507" i="9"/>
  <c r="Q507" i="9" s="1"/>
  <c r="E507" i="9" s="1"/>
  <c r="G507" i="9" s="1"/>
  <c r="A506" i="9"/>
  <c r="A505" i="9"/>
  <c r="A504" i="9"/>
  <c r="E482" i="9" l="1"/>
  <c r="G482" i="9" s="1"/>
  <c r="E489" i="9"/>
  <c r="G489" i="9" s="1"/>
  <c r="E1532" i="7"/>
  <c r="E1531" i="7"/>
  <c r="E1530" i="7"/>
  <c r="E1529" i="7"/>
  <c r="E1528" i="7"/>
  <c r="E1527" i="7"/>
  <c r="E1526" i="7"/>
  <c r="A503" i="9"/>
  <c r="Q503" i="9" s="1"/>
  <c r="E503" i="9" s="1"/>
  <c r="G503" i="9" s="1"/>
  <c r="Q502" i="9"/>
  <c r="E502" i="9" s="1"/>
  <c r="G502" i="9" s="1"/>
  <c r="Q500" i="9"/>
  <c r="E500" i="9" s="1"/>
  <c r="G500" i="9" s="1"/>
  <c r="Q499" i="9"/>
  <c r="E499" i="9" s="1"/>
  <c r="G499" i="9" s="1"/>
  <c r="Q498" i="9"/>
  <c r="E498" i="9" s="1"/>
  <c r="G498" i="9" s="1"/>
  <c r="Q496" i="9"/>
  <c r="E496" i="9" s="1"/>
  <c r="G496" i="9" s="1"/>
  <c r="A502" i="9"/>
  <c r="A501" i="9"/>
  <c r="Q501" i="9" s="1"/>
  <c r="E501" i="9" s="1"/>
  <c r="G501" i="9" s="1"/>
  <c r="A500" i="9"/>
  <c r="A499" i="9"/>
  <c r="A498" i="9"/>
  <c r="A497" i="9"/>
  <c r="Q497" i="9" s="1"/>
  <c r="E497" i="9" s="1"/>
  <c r="G497" i="9" s="1"/>
  <c r="A496" i="9"/>
  <c r="E495" i="9"/>
  <c r="G495" i="9" s="1"/>
  <c r="Q494" i="9"/>
  <c r="E494" i="9" s="1"/>
  <c r="G494" i="9" s="1"/>
  <c r="Q493" i="9"/>
  <c r="E493" i="9" s="1"/>
  <c r="Q490" i="9"/>
  <c r="E490" i="9" s="1"/>
  <c r="G490" i="9" s="1"/>
  <c r="A495" i="9"/>
  <c r="A494" i="9"/>
  <c r="A493" i="9"/>
  <c r="A492" i="9"/>
  <c r="Q492" i="9" s="1"/>
  <c r="E492" i="9" s="1"/>
  <c r="G492" i="9" s="1"/>
  <c r="A491" i="9"/>
  <c r="Q491" i="9" s="1"/>
  <c r="E491" i="9" s="1"/>
  <c r="G491" i="9" s="1"/>
  <c r="A490" i="9"/>
  <c r="Q487" i="9"/>
  <c r="E487" i="9" s="1"/>
  <c r="Q486" i="9"/>
  <c r="E486" i="9" s="1"/>
  <c r="Q483" i="9"/>
  <c r="E483" i="9" s="1"/>
  <c r="G483" i="9" s="1"/>
  <c r="A488" i="9"/>
  <c r="Q488" i="9" s="1"/>
  <c r="E488" i="9" s="1"/>
  <c r="G488" i="9" s="1"/>
  <c r="A487" i="9"/>
  <c r="A486" i="9"/>
  <c r="A485" i="9"/>
  <c r="Q485" i="9" s="1"/>
  <c r="E485" i="9" s="1"/>
  <c r="G485" i="9" s="1"/>
  <c r="A484" i="9"/>
  <c r="Q484" i="9" s="1"/>
  <c r="E484" i="9" s="1"/>
  <c r="G484" i="9" s="1"/>
  <c r="A483" i="9"/>
  <c r="Q479" i="9" l="1"/>
  <c r="E479" i="9" s="1"/>
  <c r="G479" i="9" s="1"/>
  <c r="Q478" i="9"/>
  <c r="E478" i="9" s="1"/>
  <c r="G478" i="9" s="1"/>
  <c r="E475" i="9"/>
  <c r="G475" i="9" s="1"/>
  <c r="A481" i="9"/>
  <c r="Q481" i="9" s="1"/>
  <c r="E481" i="9" s="1"/>
  <c r="G481" i="9" s="1"/>
  <c r="A480" i="9"/>
  <c r="Q480" i="9" s="1"/>
  <c r="E480" i="9" s="1"/>
  <c r="G480" i="9" s="1"/>
  <c r="A479" i="9"/>
  <c r="A478" i="9"/>
  <c r="A477" i="9"/>
  <c r="Q477" i="9" s="1"/>
  <c r="E477" i="9" s="1"/>
  <c r="G477" i="9" s="1"/>
  <c r="A476" i="9"/>
  <c r="Q476" i="9" s="1"/>
  <c r="E476" i="9" s="1"/>
  <c r="G476" i="9" s="1"/>
  <c r="A475" i="9"/>
  <c r="Q474" i="9"/>
  <c r="E474" i="9" s="1"/>
  <c r="G474" i="9" s="1"/>
  <c r="E473" i="9"/>
  <c r="G473" i="9" s="1"/>
  <c r="E472" i="9"/>
  <c r="G472" i="9" s="1"/>
  <c r="Q470" i="9"/>
  <c r="E470" i="9" s="1"/>
  <c r="G470" i="9" s="1"/>
  <c r="E469" i="9"/>
  <c r="G469" i="9" s="1"/>
  <c r="A474" i="9"/>
  <c r="A473" i="9"/>
  <c r="A472" i="9"/>
  <c r="A471" i="9"/>
  <c r="Q471" i="9" s="1"/>
  <c r="E471" i="9" s="1"/>
  <c r="G471" i="9" s="1"/>
  <c r="A470" i="9"/>
  <c r="A469" i="9"/>
  <c r="A468" i="9"/>
  <c r="Q468" i="9" s="1"/>
  <c r="E468" i="9" s="1"/>
  <c r="G468" i="9" s="1"/>
  <c r="E1525" i="7"/>
  <c r="E1524" i="7"/>
  <c r="E1523" i="7"/>
  <c r="E1522" i="7"/>
  <c r="E1521" i="7"/>
  <c r="E1520" i="7"/>
  <c r="E1519" i="7"/>
  <c r="E1518" i="7"/>
  <c r="E1517" i="7" l="1"/>
  <c r="E1516" i="7"/>
  <c r="E1515" i="7"/>
  <c r="E1514" i="7"/>
  <c r="E1513" i="7"/>
  <c r="E1512" i="7"/>
  <c r="I425" i="9" l="1"/>
  <c r="I427" i="9"/>
  <c r="I441" i="9"/>
  <c r="I455" i="9"/>
  <c r="I434" i="9"/>
  <c r="E1511" i="7"/>
  <c r="E1510" i="7"/>
  <c r="E1509" i="7"/>
  <c r="E1508" i="7"/>
  <c r="E1507" i="7"/>
  <c r="E1506" i="7"/>
  <c r="E1505" i="7"/>
  <c r="E1504" i="7"/>
  <c r="E1503" i="7"/>
  <c r="E1502" i="7"/>
  <c r="E1501" i="7"/>
  <c r="E1500" i="7"/>
  <c r="E1499" i="7"/>
  <c r="E1498" i="7"/>
  <c r="E1497" i="7"/>
  <c r="E1496" i="7"/>
  <c r="E1495" i="7"/>
  <c r="E1494" i="7"/>
  <c r="E1493" i="7"/>
  <c r="E1492" i="7"/>
  <c r="E1491" i="7"/>
  <c r="E1490" i="7"/>
  <c r="E1489" i="7"/>
  <c r="E1488" i="7"/>
  <c r="E1487" i="7"/>
  <c r="E1486" i="7"/>
  <c r="E1485" i="7"/>
  <c r="E1484" i="7"/>
  <c r="E1483" i="7"/>
  <c r="E1482" i="7"/>
  <c r="E1481" i="7"/>
  <c r="E1480" i="7"/>
  <c r="E1479" i="7"/>
  <c r="Q462" i="9"/>
  <c r="E462" i="9" s="1"/>
  <c r="G462" i="9" s="1"/>
  <c r="A467" i="9"/>
  <c r="E467" i="9" s="1"/>
  <c r="G467" i="9" s="1"/>
  <c r="A466" i="9"/>
  <c r="Q466" i="9" s="1"/>
  <c r="E466" i="9" s="1"/>
  <c r="G466" i="9" s="1"/>
  <c r="A465" i="9"/>
  <c r="Q465" i="9" s="1"/>
  <c r="E465" i="9" s="1"/>
  <c r="A464" i="9"/>
  <c r="Q464" i="9" s="1"/>
  <c r="E464" i="9" s="1"/>
  <c r="G464" i="9" s="1"/>
  <c r="A463" i="9"/>
  <c r="Q463" i="9" s="1"/>
  <c r="E463" i="9" s="1"/>
  <c r="G463" i="9" s="1"/>
  <c r="A462" i="9"/>
  <c r="A461" i="9"/>
  <c r="Q461" i="9" s="1"/>
  <c r="E461" i="9" s="1"/>
  <c r="G461" i="9" s="1"/>
  <c r="Q457" i="9"/>
  <c r="E457" i="9" s="1"/>
  <c r="G457" i="9" s="1"/>
  <c r="E454" i="9"/>
  <c r="G454" i="9" s="1"/>
  <c r="A460" i="9"/>
  <c r="Q460" i="9" s="1"/>
  <c r="E460" i="9" s="1"/>
  <c r="G460" i="9" s="1"/>
  <c r="A459" i="9"/>
  <c r="Q459" i="9" s="1"/>
  <c r="E459" i="9" s="1"/>
  <c r="G459" i="9" s="1"/>
  <c r="A458" i="9"/>
  <c r="Q458" i="9" s="1"/>
  <c r="E458" i="9" s="1"/>
  <c r="A457" i="9"/>
  <c r="A456" i="9"/>
  <c r="Q456" i="9" s="1"/>
  <c r="E456" i="9" s="1"/>
  <c r="G456" i="9" s="1"/>
  <c r="A455" i="9"/>
  <c r="Q455" i="9" s="1"/>
  <c r="E455" i="9" s="1"/>
  <c r="G455" i="9" s="1"/>
  <c r="A454" i="9"/>
  <c r="A453" i="9"/>
  <c r="Q453" i="9" s="1"/>
  <c r="E453" i="9" s="1"/>
  <c r="G453" i="9" s="1"/>
  <c r="A452" i="9"/>
  <c r="Q452" i="9" s="1"/>
  <c r="E452" i="9" s="1"/>
  <c r="G452" i="9" s="1"/>
  <c r="A451" i="9"/>
  <c r="Q451" i="9" s="1"/>
  <c r="E451" i="9" s="1"/>
  <c r="G451" i="9" s="1"/>
  <c r="A450" i="9"/>
  <c r="Q450" i="9" s="1"/>
  <c r="E450" i="9" s="1"/>
  <c r="G450" i="9" s="1"/>
  <c r="A449" i="9"/>
  <c r="Q449" i="9" s="1"/>
  <c r="E449" i="9" s="1"/>
  <c r="G449" i="9" s="1"/>
  <c r="A448" i="9"/>
  <c r="Q448" i="9" s="1"/>
  <c r="E448" i="9" s="1"/>
  <c r="G448" i="9" s="1"/>
  <c r="A447" i="9"/>
  <c r="Q447" i="9" s="1"/>
  <c r="E447" i="9" s="1"/>
  <c r="G447" i="9" s="1"/>
  <c r="E440" i="9"/>
  <c r="G440" i="9" s="1"/>
  <c r="A446" i="9"/>
  <c r="Q446" i="9" s="1"/>
  <c r="E446" i="9" s="1"/>
  <c r="G446" i="9" s="1"/>
  <c r="A445" i="9"/>
  <c r="Q445" i="9" s="1"/>
  <c r="E445" i="9" s="1"/>
  <c r="G445" i="9" s="1"/>
  <c r="A444" i="9"/>
  <c r="Q444" i="9" s="1"/>
  <c r="E444" i="9" s="1"/>
  <c r="G444" i="9" s="1"/>
  <c r="A443" i="9"/>
  <c r="Q443" i="9" s="1"/>
  <c r="E443" i="9" s="1"/>
  <c r="G443" i="9" s="1"/>
  <c r="A442" i="9"/>
  <c r="Q442" i="9" s="1"/>
  <c r="E442" i="9" s="1"/>
  <c r="G442" i="9" s="1"/>
  <c r="A441" i="9"/>
  <c r="Q441" i="9" s="1"/>
  <c r="E441" i="9" s="1"/>
  <c r="G441" i="9" s="1"/>
  <c r="A440" i="9"/>
  <c r="E438" i="9"/>
  <c r="G438" i="9" s="1"/>
  <c r="E433" i="9"/>
  <c r="G433" i="9" s="1"/>
  <c r="A439" i="9"/>
  <c r="Q439" i="9" s="1"/>
  <c r="E439" i="9" s="1"/>
  <c r="G439" i="9" s="1"/>
  <c r="A438" i="9"/>
  <c r="A437" i="9"/>
  <c r="Q437" i="9" s="1"/>
  <c r="E437" i="9" s="1"/>
  <c r="G437" i="9" s="1"/>
  <c r="A436" i="9"/>
  <c r="Q436" i="9" s="1"/>
  <c r="E436" i="9" s="1"/>
  <c r="G436" i="9" s="1"/>
  <c r="A435" i="9"/>
  <c r="Q435" i="9" s="1"/>
  <c r="E435" i="9" s="1"/>
  <c r="G435" i="9" s="1"/>
  <c r="A434" i="9"/>
  <c r="Q434" i="9" s="1"/>
  <c r="E434" i="9" s="1"/>
  <c r="G434" i="9" s="1"/>
  <c r="A433" i="9"/>
  <c r="E1475" i="7" l="1"/>
  <c r="E1478" i="7" l="1"/>
  <c r="E1477" i="7"/>
  <c r="E1476" i="7"/>
  <c r="E1472" i="7"/>
  <c r="E1471" i="7"/>
  <c r="E1470" i="7"/>
  <c r="E1469" i="7"/>
  <c r="E1468" i="7"/>
  <c r="Q432" i="9"/>
  <c r="E432" i="9" s="1"/>
  <c r="G432" i="9" s="1"/>
  <c r="A432" i="9"/>
  <c r="A431" i="9"/>
  <c r="Q431" i="9" s="1"/>
  <c r="E431" i="9" s="1"/>
  <c r="A430" i="9"/>
  <c r="Q430" i="9" s="1"/>
  <c r="E430" i="9" s="1"/>
  <c r="G430" i="9" s="1"/>
  <c r="A429" i="9"/>
  <c r="Q429" i="9" s="1"/>
  <c r="E429" i="9" s="1"/>
  <c r="G429" i="9" s="1"/>
  <c r="A428" i="9"/>
  <c r="Q428" i="9" s="1"/>
  <c r="E428" i="9" s="1"/>
  <c r="G428" i="9" s="1"/>
  <c r="A427" i="9"/>
  <c r="Q427" i="9" s="1"/>
  <c r="E427" i="9" s="1"/>
  <c r="G427" i="9" s="1"/>
  <c r="A426" i="9"/>
  <c r="Q426" i="9" s="1"/>
  <c r="E426" i="9" s="1"/>
  <c r="G426" i="9" s="1"/>
  <c r="E1467" i="7" l="1"/>
  <c r="E1466" i="7"/>
  <c r="E1465" i="7"/>
  <c r="E1464" i="7"/>
  <c r="E1463" i="7"/>
  <c r="E1462" i="7"/>
  <c r="E1461" i="7"/>
  <c r="E1460" i="7"/>
  <c r="E1459" i="7"/>
  <c r="E424" i="9"/>
  <c r="G424" i="9" s="1"/>
  <c r="Q420" i="9"/>
  <c r="E420" i="9" s="1"/>
  <c r="G420" i="9" s="1"/>
  <c r="E419" i="9"/>
  <c r="G419" i="9" s="1"/>
  <c r="A425" i="9"/>
  <c r="Q425" i="9" s="1"/>
  <c r="E425" i="9" s="1"/>
  <c r="G425" i="9" s="1"/>
  <c r="A424" i="9"/>
  <c r="A423" i="9"/>
  <c r="Q423" i="9" s="1"/>
  <c r="E423" i="9" s="1"/>
  <c r="G423" i="9" s="1"/>
  <c r="A422" i="9"/>
  <c r="Q422" i="9" s="1"/>
  <c r="E422" i="9" s="1"/>
  <c r="G422" i="9" s="1"/>
  <c r="A421" i="9"/>
  <c r="Q421" i="9" s="1"/>
  <c r="E421" i="9" s="1"/>
  <c r="G421" i="9" s="1"/>
  <c r="A420" i="9"/>
  <c r="A419" i="9"/>
  <c r="E1458" i="7" l="1"/>
  <c r="E1457" i="7"/>
  <c r="E1456" i="7"/>
  <c r="E1455" i="7"/>
  <c r="E1454" i="7"/>
  <c r="E1453" i="7"/>
  <c r="E1452" i="7"/>
  <c r="E1451" i="7"/>
  <c r="E1450" i="7"/>
  <c r="E1449" i="7"/>
  <c r="E1448" i="7"/>
  <c r="E1447" i="7"/>
  <c r="E1446" i="7"/>
  <c r="E1445" i="7"/>
  <c r="E1444" i="7"/>
  <c r="E1443" i="7"/>
  <c r="E1442" i="7"/>
  <c r="E1441" i="7"/>
  <c r="E1440" i="7"/>
  <c r="E1439" i="7"/>
  <c r="E1438" i="7"/>
  <c r="E1437" i="7"/>
  <c r="E1436" i="7"/>
  <c r="E1435" i="7"/>
  <c r="E1434" i="7"/>
  <c r="E417" i="9"/>
  <c r="G417" i="9" s="1"/>
  <c r="E416" i="9"/>
  <c r="G416" i="9" s="1"/>
  <c r="Q415" i="9"/>
  <c r="E415" i="9" s="1"/>
  <c r="G415" i="9" s="1"/>
  <c r="E412" i="9"/>
  <c r="G412" i="9" s="1"/>
  <c r="A418" i="9"/>
  <c r="Q418" i="9" s="1"/>
  <c r="E418" i="9" s="1"/>
  <c r="G418" i="9" s="1"/>
  <c r="A417" i="9"/>
  <c r="A416" i="9"/>
  <c r="A415" i="9"/>
  <c r="A414" i="9"/>
  <c r="Q414" i="9" s="1"/>
  <c r="E414" i="9" s="1"/>
  <c r="G414" i="9" s="1"/>
  <c r="A413" i="9"/>
  <c r="Q413" i="9" s="1"/>
  <c r="E413" i="9" s="1"/>
  <c r="G413" i="9" s="1"/>
  <c r="A412" i="9"/>
  <c r="Q408" i="9"/>
  <c r="E408" i="9" s="1"/>
  <c r="G408" i="9" s="1"/>
  <c r="Q406" i="9"/>
  <c r="E406" i="9" s="1"/>
  <c r="G406" i="9" s="1"/>
  <c r="E405" i="9"/>
  <c r="G405" i="9" s="1"/>
  <c r="A411" i="9"/>
  <c r="Q411" i="9" s="1"/>
  <c r="E411" i="9" s="1"/>
  <c r="G411" i="9" s="1"/>
  <c r="A410" i="9"/>
  <c r="Q410" i="9" s="1"/>
  <c r="E410" i="9" s="1"/>
  <c r="G410" i="9" s="1"/>
  <c r="A409" i="9"/>
  <c r="Q409" i="9" s="1"/>
  <c r="E409" i="9" s="1"/>
  <c r="G409" i="9" s="1"/>
  <c r="A408" i="9"/>
  <c r="A407" i="9"/>
  <c r="Q407" i="9" s="1"/>
  <c r="E407" i="9" s="1"/>
  <c r="G407" i="9" s="1"/>
  <c r="A406" i="9"/>
  <c r="A405" i="9"/>
  <c r="I389" i="9" l="1"/>
  <c r="E1433" i="7"/>
  <c r="E1432" i="7"/>
  <c r="E1431" i="7"/>
  <c r="E1430" i="7"/>
  <c r="E1429" i="7"/>
  <c r="E1428" i="7"/>
  <c r="E1427" i="7"/>
  <c r="E399" i="9"/>
  <c r="G399" i="9" s="1"/>
  <c r="A404" i="9"/>
  <c r="Q404" i="9" s="1"/>
  <c r="E404" i="9" s="1"/>
  <c r="G404" i="9" s="1"/>
  <c r="A403" i="9"/>
  <c r="Q403" i="9" s="1"/>
  <c r="E403" i="9" s="1"/>
  <c r="G403" i="9" s="1"/>
  <c r="A402" i="9"/>
  <c r="Q402" i="9" s="1"/>
  <c r="E402" i="9" s="1"/>
  <c r="G402" i="9" s="1"/>
  <c r="A401" i="9"/>
  <c r="Q401" i="9" s="1"/>
  <c r="E401" i="9" s="1"/>
  <c r="G401" i="9" s="1"/>
  <c r="A400" i="9"/>
  <c r="Q400" i="9" s="1"/>
  <c r="E400" i="9" s="1"/>
  <c r="G400" i="9" s="1"/>
  <c r="A399" i="9"/>
  <c r="A398" i="9"/>
  <c r="Q398" i="9" s="1"/>
  <c r="E398" i="9" s="1"/>
  <c r="G398" i="9" s="1"/>
  <c r="E392" i="9"/>
  <c r="G392" i="9" s="1"/>
  <c r="A397" i="9"/>
  <c r="Q397" i="9" s="1"/>
  <c r="E397" i="9" s="1"/>
  <c r="G397" i="9" s="1"/>
  <c r="A396" i="9"/>
  <c r="Q396" i="9" s="1"/>
  <c r="E396" i="9" s="1"/>
  <c r="G396" i="9" s="1"/>
  <c r="A395" i="9"/>
  <c r="Q395" i="9" s="1"/>
  <c r="E395" i="9" s="1"/>
  <c r="G395" i="9" s="1"/>
  <c r="A394" i="9"/>
  <c r="Q394" i="9" s="1"/>
  <c r="E394" i="9" s="1"/>
  <c r="G394" i="9" s="1"/>
  <c r="A393" i="9"/>
  <c r="Q393" i="9" s="1"/>
  <c r="E393" i="9" s="1"/>
  <c r="G393" i="9" s="1"/>
  <c r="A392" i="9"/>
  <c r="A391" i="9"/>
  <c r="Q391" i="9" s="1"/>
  <c r="E391" i="9" s="1"/>
  <c r="G391" i="9" s="1"/>
  <c r="E386" i="9"/>
  <c r="G386" i="9" s="1"/>
  <c r="E384" i="9"/>
  <c r="G384" i="9" s="1"/>
  <c r="A390" i="9"/>
  <c r="Q390" i="9" s="1"/>
  <c r="E390" i="9" s="1"/>
  <c r="G390" i="9" s="1"/>
  <c r="A389" i="9"/>
  <c r="Q389" i="9" s="1"/>
  <c r="E389" i="9" s="1"/>
  <c r="G389" i="9" s="1"/>
  <c r="A388" i="9"/>
  <c r="Q388" i="9" s="1"/>
  <c r="E388" i="9" s="1"/>
  <c r="G388" i="9" s="1"/>
  <c r="A387" i="9"/>
  <c r="Q387" i="9" s="1"/>
  <c r="E387" i="9" s="1"/>
  <c r="G387" i="9" s="1"/>
  <c r="A386" i="9"/>
  <c r="A385" i="9"/>
  <c r="Q385" i="9" s="1"/>
  <c r="E385" i="9" s="1"/>
  <c r="G385" i="9" s="1"/>
  <c r="A384" i="9"/>
  <c r="E1426" i="7" l="1"/>
  <c r="E1425" i="7"/>
  <c r="E1424" i="7"/>
  <c r="E1423" i="7"/>
  <c r="E1422" i="7"/>
  <c r="E1421" i="7"/>
  <c r="E1420" i="7"/>
  <c r="E1419" i="7"/>
  <c r="E1418" i="7"/>
  <c r="E382" i="9"/>
  <c r="G382" i="9" s="1"/>
  <c r="E377" i="9"/>
  <c r="G377" i="9" s="1"/>
  <c r="A383" i="9"/>
  <c r="Q383" i="9" s="1"/>
  <c r="E383" i="9" s="1"/>
  <c r="G383" i="9" s="1"/>
  <c r="A382" i="9"/>
  <c r="A381" i="9"/>
  <c r="Q381" i="9" s="1"/>
  <c r="E381" i="9" s="1"/>
  <c r="G381" i="9" s="1"/>
  <c r="A380" i="9"/>
  <c r="Q380" i="9" s="1"/>
  <c r="E380" i="9" s="1"/>
  <c r="G380" i="9" s="1"/>
  <c r="A379" i="9"/>
  <c r="Q379" i="9" s="1"/>
  <c r="E379" i="9" s="1"/>
  <c r="G379" i="9" s="1"/>
  <c r="A378" i="9"/>
  <c r="Q378" i="9" s="1"/>
  <c r="E378" i="9" s="1"/>
  <c r="G378" i="9" s="1"/>
  <c r="A377" i="9"/>
  <c r="E1417" i="7" l="1"/>
  <c r="E1416" i="7"/>
  <c r="E1415" i="7"/>
  <c r="E1414" i="7"/>
  <c r="E1413" i="7"/>
  <c r="E1412" i="7"/>
  <c r="E1411" i="7"/>
  <c r="E1410" i="7"/>
  <c r="E1409" i="7"/>
  <c r="E1408" i="7"/>
  <c r="E1407" i="7"/>
  <c r="E1406" i="7"/>
  <c r="E1405" i="7"/>
  <c r="E1404" i="7"/>
  <c r="Q375" i="9"/>
  <c r="E375" i="9" s="1"/>
  <c r="G375" i="9" s="1"/>
  <c r="E374" i="9"/>
  <c r="G374" i="9" s="1"/>
  <c r="A376" i="9"/>
  <c r="Q376" i="9" s="1"/>
  <c r="E376" i="9" s="1"/>
  <c r="G376" i="9" s="1"/>
  <c r="A375" i="9"/>
  <c r="A374" i="9"/>
  <c r="A373" i="9"/>
  <c r="Q373" i="9" s="1"/>
  <c r="E373" i="9" s="1"/>
  <c r="G373" i="9" s="1"/>
  <c r="A372" i="9"/>
  <c r="Q372" i="9" s="1"/>
  <c r="E372" i="9" s="1"/>
  <c r="G372" i="9" s="1"/>
  <c r="A371" i="9"/>
  <c r="Q371" i="9" s="1"/>
  <c r="E371" i="9" s="1"/>
  <c r="G371" i="9" s="1"/>
  <c r="A370" i="9"/>
  <c r="Q370" i="9" s="1"/>
  <c r="E370" i="9" s="1"/>
  <c r="G370" i="9" s="1"/>
  <c r="E368" i="9"/>
  <c r="G368" i="9" s="1"/>
  <c r="Q364" i="9"/>
  <c r="E364" i="9" s="1"/>
  <c r="G364" i="9" s="1"/>
  <c r="A369" i="9"/>
  <c r="Q369" i="9" s="1"/>
  <c r="E369" i="9" s="1"/>
  <c r="G369" i="9" s="1"/>
  <c r="A368" i="9"/>
  <c r="A367" i="9"/>
  <c r="Q367" i="9" s="1"/>
  <c r="E367" i="9" s="1"/>
  <c r="G367" i="9" s="1"/>
  <c r="A366" i="9"/>
  <c r="Q366" i="9" s="1"/>
  <c r="E366" i="9" s="1"/>
  <c r="G366" i="9" s="1"/>
  <c r="A365" i="9"/>
  <c r="Q365" i="9" s="1"/>
  <c r="E365" i="9" s="1"/>
  <c r="G365" i="9" s="1"/>
  <c r="A364" i="9"/>
  <c r="A363" i="9"/>
  <c r="Q363" i="9" s="1"/>
  <c r="E363" i="9" s="1"/>
  <c r="G363" i="9" s="1"/>
  <c r="E1403" i="7" l="1"/>
  <c r="E1402" i="7"/>
  <c r="E1401" i="7"/>
  <c r="E1400" i="7"/>
  <c r="E1399" i="7"/>
  <c r="E1398" i="7"/>
  <c r="E1397" i="7"/>
  <c r="E1396" i="7"/>
  <c r="E1395" i="7"/>
  <c r="E1394" i="7"/>
  <c r="E1393" i="7"/>
  <c r="E1392" i="7"/>
  <c r="E1391" i="7"/>
  <c r="E1390" i="7"/>
  <c r="E1389" i="7"/>
  <c r="E1388" i="7"/>
  <c r="E1387" i="7"/>
  <c r="E1386" i="7"/>
  <c r="E1385" i="7"/>
  <c r="E1384" i="7"/>
  <c r="E1383" i="7"/>
  <c r="E1382" i="7"/>
  <c r="Q360" i="9"/>
  <c r="E360" i="9" s="1"/>
  <c r="G360" i="9" s="1"/>
  <c r="Q358" i="9"/>
  <c r="E358" i="9" s="1"/>
  <c r="G358" i="9" s="1"/>
  <c r="E357" i="9"/>
  <c r="G357" i="9" s="1"/>
  <c r="E356" i="9"/>
  <c r="G356" i="9" s="1"/>
  <c r="A362" i="9"/>
  <c r="Q362" i="9" s="1"/>
  <c r="E362" i="9" s="1"/>
  <c r="G362" i="9" s="1"/>
  <c r="A361" i="9"/>
  <c r="Q361" i="9" s="1"/>
  <c r="E361" i="9" s="1"/>
  <c r="G361" i="9" s="1"/>
  <c r="A360" i="9"/>
  <c r="A359" i="9"/>
  <c r="Q359" i="9" s="1"/>
  <c r="E359" i="9" s="1"/>
  <c r="G359" i="9" s="1"/>
  <c r="A358" i="9"/>
  <c r="A357" i="9"/>
  <c r="A356" i="9"/>
  <c r="E1381" i="7" l="1"/>
  <c r="E1380" i="7"/>
  <c r="E1379" i="7"/>
  <c r="E1378" i="7"/>
  <c r="E1377" i="7"/>
  <c r="E1376" i="7"/>
  <c r="E1375" i="7"/>
  <c r="E1374" i="7"/>
  <c r="E1373" i="7"/>
  <c r="E1372" i="7"/>
  <c r="E1371" i="7"/>
  <c r="A355" i="9"/>
  <c r="Q355" i="9" s="1"/>
  <c r="E355" i="9" s="1"/>
  <c r="G355" i="9" s="1"/>
  <c r="A354" i="9"/>
  <c r="Q354" i="9" s="1"/>
  <c r="E354" i="9" s="1"/>
  <c r="G354" i="9" s="1"/>
  <c r="A353" i="9"/>
  <c r="Q353" i="9" s="1"/>
  <c r="E353" i="9" s="1"/>
  <c r="G353" i="9" s="1"/>
  <c r="A352" i="9"/>
  <c r="Q352" i="9" s="1"/>
  <c r="E352" i="9" s="1"/>
  <c r="G352" i="9" s="1"/>
  <c r="A351" i="9"/>
  <c r="Q351" i="9" s="1"/>
  <c r="E351" i="9" s="1"/>
  <c r="G351" i="9" s="1"/>
  <c r="A350" i="9"/>
  <c r="Q350" i="9" s="1"/>
  <c r="E350" i="9" s="1"/>
  <c r="G350" i="9" s="1"/>
  <c r="E348" i="9"/>
  <c r="G348" i="9" s="1"/>
  <c r="Q343" i="9"/>
  <c r="E343" i="9" s="1"/>
  <c r="G343" i="9" s="1"/>
  <c r="A349" i="9"/>
  <c r="Q349" i="9" s="1"/>
  <c r="E349" i="9" s="1"/>
  <c r="G349" i="9" s="1"/>
  <c r="A348" i="9"/>
  <c r="A347" i="9"/>
  <c r="Q347" i="9" s="1"/>
  <c r="E347" i="9" s="1"/>
  <c r="G347" i="9" s="1"/>
  <c r="A346" i="9"/>
  <c r="Q346" i="9" s="1"/>
  <c r="E346" i="9" s="1"/>
  <c r="G346" i="9" s="1"/>
  <c r="A345" i="9"/>
  <c r="Q345" i="9" s="1"/>
  <c r="E345" i="9" s="1"/>
  <c r="G345" i="9" s="1"/>
  <c r="A344" i="9"/>
  <c r="Q344" i="9" s="1"/>
  <c r="E344" i="9" s="1"/>
  <c r="G344" i="9" s="1"/>
  <c r="A343" i="9"/>
  <c r="E341" i="9"/>
  <c r="G341" i="9" s="1"/>
  <c r="E336" i="9"/>
  <c r="G336" i="9" s="1"/>
  <c r="A342" i="9"/>
  <c r="Q342" i="9" s="1"/>
  <c r="E342" i="9" s="1"/>
  <c r="G342" i="9" s="1"/>
  <c r="A341" i="9"/>
  <c r="A340" i="9"/>
  <c r="Q340" i="9" s="1"/>
  <c r="E340" i="9" s="1"/>
  <c r="G340" i="9" s="1"/>
  <c r="A339" i="9"/>
  <c r="Q339" i="9" s="1"/>
  <c r="E339" i="9" s="1"/>
  <c r="G339" i="9" s="1"/>
  <c r="A338" i="9"/>
  <c r="Q338" i="9" s="1"/>
  <c r="E338" i="9" s="1"/>
  <c r="G338" i="9" s="1"/>
  <c r="A337" i="9"/>
  <c r="Q337" i="9" s="1"/>
  <c r="E337" i="9" s="1"/>
  <c r="G337" i="9" s="1"/>
  <c r="A336" i="9"/>
  <c r="E1370" i="7" l="1"/>
  <c r="E1369" i="7"/>
  <c r="E1368" i="7"/>
  <c r="E1367" i="7"/>
  <c r="E1366" i="7"/>
  <c r="E1365" i="7"/>
  <c r="E334" i="9"/>
  <c r="G334" i="9" s="1"/>
  <c r="Q330" i="9"/>
  <c r="E330" i="9" s="1"/>
  <c r="G330" i="9" s="1"/>
  <c r="E329" i="9"/>
  <c r="G329" i="9" s="1"/>
  <c r="A335" i="9"/>
  <c r="Q335" i="9" s="1"/>
  <c r="E335" i="9" s="1"/>
  <c r="A334" i="9"/>
  <c r="A333" i="9"/>
  <c r="Q333" i="9" s="1"/>
  <c r="E333" i="9" s="1"/>
  <c r="G333" i="9" s="1"/>
  <c r="A332" i="9"/>
  <c r="Q332" i="9" s="1"/>
  <c r="E332" i="9" s="1"/>
  <c r="G332" i="9" s="1"/>
  <c r="A331" i="9"/>
  <c r="Q331" i="9" s="1"/>
  <c r="E331" i="9" s="1"/>
  <c r="G331" i="9" s="1"/>
  <c r="A330" i="9"/>
  <c r="A329" i="9"/>
  <c r="E1361" i="7" l="1"/>
  <c r="E1362" i="7"/>
  <c r="E1363" i="7"/>
  <c r="E1364" i="7"/>
  <c r="E1360" i="7" l="1"/>
  <c r="E1359" i="7"/>
  <c r="E1358" i="7"/>
  <c r="E1357" i="7"/>
  <c r="E1356" i="7"/>
  <c r="E1355" i="7"/>
  <c r="E1354" i="7"/>
  <c r="E1353" i="7"/>
  <c r="E326" i="9"/>
  <c r="G326" i="9" s="1"/>
  <c r="E322" i="9"/>
  <c r="G322" i="9" s="1"/>
  <c r="A328" i="9"/>
  <c r="Q328" i="9" s="1"/>
  <c r="E328" i="9" s="1"/>
  <c r="G328" i="9" s="1"/>
  <c r="A327" i="9"/>
  <c r="Q327" i="9" s="1"/>
  <c r="E327" i="9" s="1"/>
  <c r="G327" i="9" s="1"/>
  <c r="A326" i="9"/>
  <c r="A325" i="9"/>
  <c r="Q325" i="9" s="1"/>
  <c r="E325" i="9" s="1"/>
  <c r="G325" i="9" s="1"/>
  <c r="A324" i="9"/>
  <c r="Q324" i="9" s="1"/>
  <c r="E324" i="9" s="1"/>
  <c r="G324" i="9" s="1"/>
  <c r="A323" i="9"/>
  <c r="Q323" i="9" s="1"/>
  <c r="E323" i="9" s="1"/>
  <c r="G323" i="9" s="1"/>
  <c r="A322" i="9"/>
  <c r="E1352" i="7" l="1"/>
  <c r="E1350" i="7" l="1"/>
  <c r="E1349" i="7"/>
  <c r="E1351" i="7"/>
  <c r="E1347" i="7"/>
  <c r="E1346" i="7"/>
  <c r="E1345" i="7"/>
  <c r="E1344" i="7"/>
  <c r="E1343" i="7"/>
  <c r="E1342" i="7"/>
  <c r="E1341" i="7"/>
  <c r="E1340" i="7"/>
  <c r="E1339" i="7"/>
  <c r="E318" i="9"/>
  <c r="G318" i="9" s="1"/>
  <c r="A321" i="9"/>
  <c r="Q321" i="9" s="1"/>
  <c r="E321" i="9" s="1"/>
  <c r="G321" i="9" s="1"/>
  <c r="A320" i="9"/>
  <c r="Q320" i="9" s="1"/>
  <c r="E320" i="9" s="1"/>
  <c r="G320" i="9" s="1"/>
  <c r="A319" i="9"/>
  <c r="Q319" i="9" s="1"/>
  <c r="E319" i="9" s="1"/>
  <c r="G319" i="9" s="1"/>
  <c r="A318" i="9"/>
  <c r="A317" i="9"/>
  <c r="Q317" i="9" s="1"/>
  <c r="E317" i="9" s="1"/>
  <c r="G317" i="9" s="1"/>
  <c r="A316" i="9"/>
  <c r="Q316" i="9" s="1"/>
  <c r="E316" i="9" s="1"/>
  <c r="G316" i="9" s="1"/>
  <c r="A315" i="9"/>
  <c r="Q315" i="9" s="1"/>
  <c r="E315" i="9" s="1"/>
  <c r="G315" i="9" s="1"/>
  <c r="E1338" i="7" l="1"/>
  <c r="E1337" i="7"/>
  <c r="E1336" i="7"/>
  <c r="E1335" i="7"/>
  <c r="E1334" i="7"/>
  <c r="E1333" i="7"/>
  <c r="E1332" i="7"/>
  <c r="E1331" i="7"/>
  <c r="E1330" i="7"/>
  <c r="E1329" i="7"/>
  <c r="E1328" i="7"/>
  <c r="E1327" i="7"/>
  <c r="E1326" i="7"/>
  <c r="E1325" i="7"/>
  <c r="E1324" i="7"/>
  <c r="E1323" i="7"/>
  <c r="E313" i="9"/>
  <c r="G313" i="9" s="1"/>
  <c r="E309" i="9"/>
  <c r="G309" i="9" s="1"/>
  <c r="E308" i="9"/>
  <c r="G308" i="9" s="1"/>
  <c r="A314" i="9"/>
  <c r="Q314" i="9" s="1"/>
  <c r="E314" i="9" s="1"/>
  <c r="G314" i="9" s="1"/>
  <c r="A313" i="9"/>
  <c r="A312" i="9"/>
  <c r="Q312" i="9" s="1"/>
  <c r="E312" i="9" s="1"/>
  <c r="G312" i="9" s="1"/>
  <c r="A311" i="9"/>
  <c r="Q311" i="9" s="1"/>
  <c r="E311" i="9" s="1"/>
  <c r="G311" i="9" s="1"/>
  <c r="A310" i="9"/>
  <c r="Q310" i="9" s="1"/>
  <c r="E310" i="9" s="1"/>
  <c r="G310" i="9" s="1"/>
  <c r="A309" i="9"/>
  <c r="A308" i="9"/>
  <c r="E1322" i="7" l="1"/>
  <c r="A1322" i="7"/>
  <c r="E1321" i="7"/>
  <c r="E1320" i="7"/>
  <c r="E1319" i="7"/>
  <c r="E1318" i="7"/>
  <c r="E1317" i="7"/>
  <c r="E1316" i="7"/>
  <c r="E1315" i="7"/>
  <c r="E1314" i="7"/>
  <c r="E1313" i="7"/>
  <c r="Q304" i="9"/>
  <c r="E304" i="9" s="1"/>
  <c r="G304" i="9" s="1"/>
  <c r="E301" i="9"/>
  <c r="G301" i="9" s="1"/>
  <c r="A307" i="9"/>
  <c r="Q307" i="9" s="1"/>
  <c r="E307" i="9" s="1"/>
  <c r="G307" i="9" s="1"/>
  <c r="A306" i="9"/>
  <c r="Q306" i="9" s="1"/>
  <c r="E306" i="9" s="1"/>
  <c r="G306" i="9" s="1"/>
  <c r="A305" i="9"/>
  <c r="Q305" i="9" s="1"/>
  <c r="E305" i="9" s="1"/>
  <c r="G305" i="9" s="1"/>
  <c r="A304" i="9"/>
  <c r="A303" i="9"/>
  <c r="Q303" i="9" s="1"/>
  <c r="E303" i="9" s="1"/>
  <c r="G303" i="9" s="1"/>
  <c r="A302" i="9"/>
  <c r="Q302" i="9" s="1"/>
  <c r="E302" i="9" s="1"/>
  <c r="G302" i="9" s="1"/>
  <c r="A301" i="9"/>
  <c r="E299" i="9"/>
  <c r="G299" i="9" s="1"/>
  <c r="Q295" i="9"/>
  <c r="E295" i="9" s="1"/>
  <c r="G295" i="9" s="1"/>
  <c r="E294" i="9"/>
  <c r="G294" i="9" s="1"/>
  <c r="A300" i="9"/>
  <c r="Q300" i="9" s="1"/>
  <c r="E300" i="9" s="1"/>
  <c r="G300" i="9" s="1"/>
  <c r="A299" i="9"/>
  <c r="A298" i="9"/>
  <c r="Q298" i="9" s="1"/>
  <c r="E298" i="9" s="1"/>
  <c r="G298" i="9" s="1"/>
  <c r="A297" i="9"/>
  <c r="Q297" i="9" s="1"/>
  <c r="E297" i="9" s="1"/>
  <c r="G297" i="9" s="1"/>
  <c r="A296" i="9"/>
  <c r="Q296" i="9" s="1"/>
  <c r="E296" i="9" s="1"/>
  <c r="G296" i="9" s="1"/>
  <c r="A295" i="9"/>
  <c r="A294" i="9"/>
  <c r="Q288" i="9"/>
  <c r="E288" i="9" s="1"/>
  <c r="G288" i="9" s="1"/>
  <c r="E287" i="9"/>
  <c r="G287" i="9" s="1"/>
  <c r="A293" i="9"/>
  <c r="Q293" i="9" s="1"/>
  <c r="E293" i="9" s="1"/>
  <c r="G293" i="9" s="1"/>
  <c r="A292" i="9"/>
  <c r="Q292" i="9" s="1"/>
  <c r="E292" i="9" s="1"/>
  <c r="G292" i="9" s="1"/>
  <c r="A291" i="9"/>
  <c r="Q291" i="9" s="1"/>
  <c r="E291" i="9" s="1"/>
  <c r="G291" i="9" s="1"/>
  <c r="A290" i="9"/>
  <c r="Q290" i="9" s="1"/>
  <c r="E290" i="9" s="1"/>
  <c r="G290" i="9" s="1"/>
  <c r="A289" i="9"/>
  <c r="Q289" i="9" s="1"/>
  <c r="E289" i="9" s="1"/>
  <c r="G289" i="9" s="1"/>
  <c r="A288" i="9"/>
  <c r="A287" i="9"/>
  <c r="E1306" i="7" l="1"/>
  <c r="E1307" i="7"/>
  <c r="E1312" i="7"/>
  <c r="E1311" i="7"/>
  <c r="E1310" i="7"/>
  <c r="E1309" i="7"/>
  <c r="E1308" i="7"/>
  <c r="E1305" i="7"/>
  <c r="E1304" i="7"/>
  <c r="E1303" i="7"/>
  <c r="E1302" i="7"/>
  <c r="E280" i="9"/>
  <c r="G280" i="9" s="1"/>
  <c r="A286" i="9"/>
  <c r="Q286" i="9" s="1"/>
  <c r="E286" i="9" s="1"/>
  <c r="G286" i="9" s="1"/>
  <c r="A285" i="9"/>
  <c r="Q285" i="9" s="1"/>
  <c r="E285" i="9" s="1"/>
  <c r="G285" i="9" s="1"/>
  <c r="A284" i="9"/>
  <c r="Q284" i="9" s="1"/>
  <c r="E284" i="9" s="1"/>
  <c r="G284" i="9" s="1"/>
  <c r="A283" i="9"/>
  <c r="Q283" i="9" s="1"/>
  <c r="E283" i="9" s="1"/>
  <c r="G283" i="9" s="1"/>
  <c r="A282" i="9"/>
  <c r="Q282" i="9" s="1"/>
  <c r="E282" i="9" s="1"/>
  <c r="G282" i="9" s="1"/>
  <c r="A281" i="9"/>
  <c r="Q281" i="9" s="1"/>
  <c r="E281" i="9" s="1"/>
  <c r="G281" i="9" s="1"/>
  <c r="A280" i="9"/>
  <c r="E1301" i="7" l="1"/>
  <c r="E1300" i="7"/>
  <c r="E1299" i="7"/>
  <c r="E1298" i="7"/>
  <c r="E1297" i="7"/>
  <c r="E1296" i="7"/>
  <c r="E1295" i="7"/>
  <c r="E1294" i="7"/>
  <c r="E1293" i="7"/>
  <c r="E274" i="9"/>
  <c r="G274" i="9" s="1"/>
  <c r="E273" i="9"/>
  <c r="G273" i="9" s="1"/>
  <c r="A279" i="9"/>
  <c r="Q279" i="9" s="1"/>
  <c r="E279" i="9" s="1"/>
  <c r="G279" i="9" s="1"/>
  <c r="A278" i="9"/>
  <c r="Q278" i="9" s="1"/>
  <c r="E278" i="9" s="1"/>
  <c r="G278" i="9" s="1"/>
  <c r="A277" i="9"/>
  <c r="Q277" i="9" s="1"/>
  <c r="E277" i="9" s="1"/>
  <c r="G277" i="9" s="1"/>
  <c r="A276" i="9"/>
  <c r="Q276" i="9" s="1"/>
  <c r="E276" i="9" s="1"/>
  <c r="G276" i="9" s="1"/>
  <c r="A275" i="9"/>
  <c r="Q275" i="9" s="1"/>
  <c r="E275" i="9" s="1"/>
  <c r="G275" i="9" s="1"/>
  <c r="A274" i="9"/>
  <c r="A273" i="9"/>
  <c r="E1292" i="7" l="1"/>
  <c r="E1291" i="7"/>
  <c r="E1290" i="7"/>
  <c r="E1289" i="7"/>
  <c r="E1288" i="7"/>
  <c r="E1287" i="7"/>
  <c r="E1286" i="7"/>
  <c r="E1285" i="7"/>
  <c r="E1284" i="7"/>
  <c r="E1283" i="7"/>
  <c r="E1282" i="7"/>
  <c r="E266" i="9"/>
  <c r="G266" i="9" s="1"/>
  <c r="A272" i="9"/>
  <c r="Q272" i="9" s="1"/>
  <c r="E272" i="9" s="1"/>
  <c r="G272" i="9" s="1"/>
  <c r="A271" i="9"/>
  <c r="Q271" i="9" s="1"/>
  <c r="E271" i="9" s="1"/>
  <c r="G271" i="9" s="1"/>
  <c r="A270" i="9"/>
  <c r="Q270" i="9" s="1"/>
  <c r="E270" i="9" s="1"/>
  <c r="G270" i="9" s="1"/>
  <c r="A269" i="9"/>
  <c r="Q269" i="9" s="1"/>
  <c r="E269" i="9" s="1"/>
  <c r="G269" i="9" s="1"/>
  <c r="A268" i="9"/>
  <c r="Q268" i="9" s="1"/>
  <c r="E268" i="9" s="1"/>
  <c r="G268" i="9" s="1"/>
  <c r="A267" i="9"/>
  <c r="Q267" i="9" s="1"/>
  <c r="E267" i="9" s="1"/>
  <c r="G267" i="9" s="1"/>
  <c r="A266" i="9"/>
  <c r="I261" i="9" l="1"/>
  <c r="E1281" i="7"/>
  <c r="E1280" i="7"/>
  <c r="E1279" i="7"/>
  <c r="E1278" i="7"/>
  <c r="E1277" i="7"/>
  <c r="E1276" i="7"/>
  <c r="E1275" i="7"/>
  <c r="E1274" i="7"/>
  <c r="E1273" i="7"/>
  <c r="E1272" i="7"/>
  <c r="E1271" i="7"/>
  <c r="E1270" i="7"/>
  <c r="E1269" i="7"/>
  <c r="E1268" i="7"/>
  <c r="E1267" i="7"/>
  <c r="E1266" i="7"/>
  <c r="E1265" i="7"/>
  <c r="E1264" i="7"/>
  <c r="E1263" i="7"/>
  <c r="E1262" i="7"/>
  <c r="E264" i="9"/>
  <c r="G264" i="9" s="1"/>
  <c r="E260" i="9"/>
  <c r="G260" i="9" s="1"/>
  <c r="E259" i="9"/>
  <c r="G259" i="9" s="1"/>
  <c r="A265" i="9"/>
  <c r="Q265" i="9" s="1"/>
  <c r="E265" i="9" s="1"/>
  <c r="G265" i="9" s="1"/>
  <c r="A264" i="9"/>
  <c r="A263" i="9"/>
  <c r="Q263" i="9" s="1"/>
  <c r="E263" i="9" s="1"/>
  <c r="G263" i="9" s="1"/>
  <c r="A262" i="9"/>
  <c r="Q262" i="9" s="1"/>
  <c r="E262" i="9" s="1"/>
  <c r="G262" i="9" s="1"/>
  <c r="A261" i="9"/>
  <c r="Q261" i="9" s="1"/>
  <c r="E261" i="9" s="1"/>
  <c r="G261" i="9" s="1"/>
  <c r="A260" i="9"/>
  <c r="A259" i="9"/>
  <c r="E1261" i="7" l="1"/>
  <c r="E1260" i="7"/>
  <c r="E1259" i="7"/>
  <c r="E1258" i="7"/>
  <c r="E1257" i="7"/>
  <c r="E1256" i="7"/>
  <c r="E1255" i="7"/>
  <c r="E1254" i="7"/>
  <c r="E1253" i="7"/>
  <c r="E1252" i="7"/>
  <c r="E252" i="9"/>
  <c r="G252" i="9" s="1"/>
  <c r="A258" i="9"/>
  <c r="Q258" i="9" s="1"/>
  <c r="E258" i="9" s="1"/>
  <c r="G258" i="9" s="1"/>
  <c r="A257" i="9"/>
  <c r="Q257" i="9" s="1"/>
  <c r="E257" i="9" s="1"/>
  <c r="G257" i="9" s="1"/>
  <c r="A256" i="9"/>
  <c r="Q256" i="9" s="1"/>
  <c r="E256" i="9" s="1"/>
  <c r="G256" i="9" s="1"/>
  <c r="A255" i="9"/>
  <c r="Q255" i="9" s="1"/>
  <c r="E255" i="9" s="1"/>
  <c r="G255" i="9" s="1"/>
  <c r="A254" i="9"/>
  <c r="Q254" i="9" s="1"/>
  <c r="E254" i="9" s="1"/>
  <c r="G254" i="9" s="1"/>
  <c r="A253" i="9"/>
  <c r="E253" i="9" s="1"/>
  <c r="G253" i="9" s="1"/>
  <c r="A252" i="9"/>
  <c r="E245" i="9"/>
  <c r="G245" i="9" s="1"/>
  <c r="A251" i="9"/>
  <c r="Q251" i="9" s="1"/>
  <c r="E251" i="9" s="1"/>
  <c r="G251" i="9" s="1"/>
  <c r="A250" i="9"/>
  <c r="E250" i="9" s="1"/>
  <c r="G250" i="9" s="1"/>
  <c r="A249" i="9"/>
  <c r="Q249" i="9" s="1"/>
  <c r="E249" i="9" s="1"/>
  <c r="G249" i="9" s="1"/>
  <c r="A248" i="9"/>
  <c r="Q248" i="9" s="1"/>
  <c r="E248" i="9" s="1"/>
  <c r="G248" i="9" s="1"/>
  <c r="A247" i="9"/>
  <c r="Q247" i="9" s="1"/>
  <c r="E247" i="9" s="1"/>
  <c r="G247" i="9" s="1"/>
  <c r="A246" i="9"/>
  <c r="E246" i="9" s="1"/>
  <c r="G246" i="9" s="1"/>
  <c r="A245" i="9"/>
  <c r="E243" i="9"/>
  <c r="G243" i="9" s="1"/>
  <c r="E238" i="9"/>
  <c r="G238" i="9" s="1"/>
  <c r="A244" i="9"/>
  <c r="Q244" i="9" s="1"/>
  <c r="E244" i="9" s="1"/>
  <c r="G244" i="9" s="1"/>
  <c r="A243" i="9"/>
  <c r="A242" i="9"/>
  <c r="Q242" i="9" s="1"/>
  <c r="E242" i="9" s="1"/>
  <c r="G242" i="9" s="1"/>
  <c r="A241" i="9"/>
  <c r="Q241" i="9" s="1"/>
  <c r="E241" i="9" s="1"/>
  <c r="G241" i="9" s="1"/>
  <c r="A240" i="9"/>
  <c r="Q240" i="9" s="1"/>
  <c r="E240" i="9" s="1"/>
  <c r="G240" i="9" s="1"/>
  <c r="A239" i="9"/>
  <c r="Q239" i="9" s="1"/>
  <c r="E239" i="9" s="1"/>
  <c r="G239" i="9" s="1"/>
  <c r="A238" i="9"/>
  <c r="E1251" i="7" l="1"/>
  <c r="E1250" i="7"/>
  <c r="E1249" i="7"/>
  <c r="E1248" i="7"/>
  <c r="E1247" i="7"/>
  <c r="E1246" i="7"/>
  <c r="E1245" i="7"/>
  <c r="E1244" i="7"/>
  <c r="E1243" i="7"/>
  <c r="E1242" i="7"/>
  <c r="E231" i="9"/>
  <c r="G231" i="9" s="1"/>
  <c r="A237" i="9"/>
  <c r="Q237" i="9" s="1"/>
  <c r="E237" i="9" s="1"/>
  <c r="G237" i="9" s="1"/>
  <c r="A236" i="9"/>
  <c r="Q236" i="9" s="1"/>
  <c r="E236" i="9" s="1"/>
  <c r="G236" i="9" s="1"/>
  <c r="A235" i="9"/>
  <c r="Q235" i="9" s="1"/>
  <c r="E235" i="9" s="1"/>
  <c r="G235" i="9" s="1"/>
  <c r="A234" i="9"/>
  <c r="Q234" i="9" s="1"/>
  <c r="E234" i="9" s="1"/>
  <c r="G234" i="9" s="1"/>
  <c r="A233" i="9"/>
  <c r="Q233" i="9" s="1"/>
  <c r="E233" i="9" s="1"/>
  <c r="G233" i="9" s="1"/>
  <c r="A232" i="9"/>
  <c r="Q232" i="9" s="1"/>
  <c r="E232" i="9" s="1"/>
  <c r="G232" i="9" s="1"/>
  <c r="A231" i="9"/>
  <c r="E1241" i="7" l="1"/>
  <c r="E1240" i="7"/>
  <c r="E1239" i="7"/>
  <c r="E1238" i="7"/>
  <c r="E1237" i="7"/>
  <c r="E1236" i="7"/>
  <c r="E1235" i="7"/>
  <c r="E1234" i="7"/>
  <c r="E1233" i="7"/>
  <c r="E1232" i="7"/>
  <c r="E1231" i="7"/>
  <c r="E1230" i="7"/>
  <c r="E229" i="9"/>
  <c r="G229" i="9" s="1"/>
  <c r="E224" i="9"/>
  <c r="G224" i="9" s="1"/>
  <c r="A230" i="9"/>
  <c r="Q230" i="9" s="1"/>
  <c r="E230" i="9" s="1"/>
  <c r="G230" i="9" s="1"/>
  <c r="A229" i="9"/>
  <c r="A228" i="9"/>
  <c r="Q228" i="9" s="1"/>
  <c r="E228" i="9" s="1"/>
  <c r="G228" i="9" s="1"/>
  <c r="A227" i="9"/>
  <c r="Q227" i="9" s="1"/>
  <c r="E227" i="9" s="1"/>
  <c r="G227" i="9" s="1"/>
  <c r="A226" i="9"/>
  <c r="Q226" i="9" s="1"/>
  <c r="E226" i="9" s="1"/>
  <c r="G226" i="9" s="1"/>
  <c r="A225" i="9"/>
  <c r="Q225" i="9" s="1"/>
  <c r="E225" i="9" s="1"/>
  <c r="G225" i="9" s="1"/>
  <c r="A224" i="9"/>
  <c r="E1229" i="7" l="1"/>
  <c r="E1228" i="7"/>
  <c r="E1227" i="7"/>
  <c r="E1226" i="7"/>
  <c r="E1225" i="7"/>
  <c r="E222" i="9"/>
  <c r="G222" i="9" s="1"/>
  <c r="E219" i="9"/>
  <c r="G219" i="9" s="1"/>
  <c r="E218" i="9"/>
  <c r="G218" i="9" s="1"/>
  <c r="E217" i="9"/>
  <c r="G217" i="9" s="1"/>
  <c r="A223" i="9"/>
  <c r="Q223" i="9" s="1"/>
  <c r="E223" i="9" s="1"/>
  <c r="G223" i="9" s="1"/>
  <c r="A222" i="9"/>
  <c r="A221" i="9"/>
  <c r="Q221" i="9" s="1"/>
  <c r="E221" i="9" s="1"/>
  <c r="G221" i="9" s="1"/>
  <c r="A220" i="9"/>
  <c r="Q220" i="9" s="1"/>
  <c r="E220" i="9" s="1"/>
  <c r="G220" i="9" s="1"/>
  <c r="A219" i="9"/>
  <c r="A218" i="9"/>
  <c r="A217" i="9"/>
  <c r="I208" i="9" l="1"/>
  <c r="I191" i="9"/>
  <c r="I199" i="9"/>
  <c r="E1200" i="7"/>
  <c r="E1201" i="7"/>
  <c r="E1224" i="7"/>
  <c r="E1223" i="7"/>
  <c r="E1222" i="7"/>
  <c r="E1221" i="7"/>
  <c r="E1220" i="7"/>
  <c r="E1219" i="7"/>
  <c r="E1218" i="7"/>
  <c r="E1217" i="7"/>
  <c r="E1216" i="7"/>
  <c r="E1215" i="7"/>
  <c r="E1214" i="7"/>
  <c r="E1213" i="7"/>
  <c r="E1212" i="7"/>
  <c r="E1211" i="7"/>
  <c r="E1210" i="7"/>
  <c r="E1209" i="7"/>
  <c r="E1208" i="7"/>
  <c r="E1207" i="7"/>
  <c r="E1206" i="7"/>
  <c r="E1205" i="7"/>
  <c r="E1204" i="7"/>
  <c r="E1203" i="7"/>
  <c r="E1202" i="7"/>
  <c r="E1198" i="7"/>
  <c r="E1197" i="7"/>
  <c r="E1196" i="7"/>
  <c r="E1195" i="7"/>
  <c r="E1194" i="7"/>
  <c r="E1193" i="7"/>
  <c r="E1192" i="7"/>
  <c r="E1191" i="7"/>
  <c r="E1190" i="7"/>
  <c r="E1189" i="7"/>
  <c r="E216" i="9"/>
  <c r="G216" i="9" s="1"/>
  <c r="E215" i="9"/>
  <c r="G215" i="9" s="1"/>
  <c r="E211" i="9"/>
  <c r="G211" i="9" s="1"/>
  <c r="A216" i="9"/>
  <c r="A215" i="9"/>
  <c r="A214" i="9"/>
  <c r="Q214" i="9" s="1"/>
  <c r="E214" i="9" s="1"/>
  <c r="G214" i="9" s="1"/>
  <c r="A213" i="9"/>
  <c r="Q213" i="9" s="1"/>
  <c r="E213" i="9" s="1"/>
  <c r="G213" i="9" s="1"/>
  <c r="A212" i="9"/>
  <c r="Q212" i="9" s="1"/>
  <c r="E212" i="9" s="1"/>
  <c r="G212" i="9" s="1"/>
  <c r="A211" i="9"/>
  <c r="A210" i="9"/>
  <c r="Q210" i="9" s="1"/>
  <c r="E210" i="9" s="1"/>
  <c r="G210" i="9" s="1"/>
  <c r="E208" i="9"/>
  <c r="G208" i="9" s="1"/>
  <c r="E204" i="9"/>
  <c r="G204" i="9" s="1"/>
  <c r="A209" i="9"/>
  <c r="Q209" i="9" s="1"/>
  <c r="E209" i="9" s="1"/>
  <c r="G209" i="9" s="1"/>
  <c r="A208" i="9"/>
  <c r="A207" i="9"/>
  <c r="Q207" i="9" s="1"/>
  <c r="E207" i="9" s="1"/>
  <c r="G207" i="9" s="1"/>
  <c r="A206" i="9"/>
  <c r="Q206" i="9" s="1"/>
  <c r="E206" i="9" s="1"/>
  <c r="G206" i="9" s="1"/>
  <c r="A205" i="9"/>
  <c r="Q205" i="9" s="1"/>
  <c r="E205" i="9" s="1"/>
  <c r="G205" i="9" s="1"/>
  <c r="A204" i="9"/>
  <c r="A203" i="9"/>
  <c r="Q203" i="9" s="1"/>
  <c r="E203" i="9" s="1"/>
  <c r="G203" i="9" s="1"/>
  <c r="A202" i="9"/>
  <c r="Q202" i="9" s="1"/>
  <c r="E202" i="9" s="1"/>
  <c r="G202" i="9" s="1"/>
  <c r="A201" i="9"/>
  <c r="Q201" i="9" s="1"/>
  <c r="E201" i="9" s="1"/>
  <c r="G201" i="9" s="1"/>
  <c r="A200" i="9"/>
  <c r="Q200" i="9" s="1"/>
  <c r="E200" i="9" s="1"/>
  <c r="G200" i="9" s="1"/>
  <c r="A199" i="9"/>
  <c r="Q199" i="9" s="1"/>
  <c r="E199" i="9" s="1"/>
  <c r="G199" i="9" s="1"/>
  <c r="A198" i="9"/>
  <c r="Q198" i="9" s="1"/>
  <c r="E198" i="9" s="1"/>
  <c r="G198" i="9" s="1"/>
  <c r="A197" i="9"/>
  <c r="Q197" i="9" s="1"/>
  <c r="E197" i="9" s="1"/>
  <c r="G197" i="9" s="1"/>
  <c r="A196" i="9"/>
  <c r="Q196" i="9" s="1"/>
  <c r="E196" i="9" s="1"/>
  <c r="G196" i="9" s="1"/>
  <c r="A195" i="9"/>
  <c r="Q195" i="9" s="1"/>
  <c r="E195" i="9" s="1"/>
  <c r="G195" i="9" s="1"/>
  <c r="E187" i="9"/>
  <c r="G187" i="9" s="1"/>
  <c r="A194" i="9"/>
  <c r="Q194" i="9" s="1"/>
  <c r="E194" i="9" s="1"/>
  <c r="G194" i="9" s="1"/>
  <c r="A193" i="9"/>
  <c r="Q193" i="9" s="1"/>
  <c r="E193" i="9" s="1"/>
  <c r="G193" i="9" s="1"/>
  <c r="A192" i="9"/>
  <c r="Q192" i="9" s="1"/>
  <c r="E192" i="9" s="1"/>
  <c r="G192" i="9" s="1"/>
  <c r="A191" i="9"/>
  <c r="Q191" i="9" s="1"/>
  <c r="E191" i="9" s="1"/>
  <c r="G191" i="9" s="1"/>
  <c r="A190" i="9"/>
  <c r="Q190" i="9" s="1"/>
  <c r="E190" i="9" s="1"/>
  <c r="G190" i="9" s="1"/>
  <c r="A189" i="9"/>
  <c r="Q189" i="9" s="1"/>
  <c r="E189" i="9" s="1"/>
  <c r="G189" i="9" s="1"/>
  <c r="A188" i="9"/>
  <c r="Q188" i="9" s="1"/>
  <c r="E188" i="9" s="1"/>
  <c r="G188" i="9" s="1"/>
  <c r="A187" i="9"/>
  <c r="E1188" i="7" l="1"/>
  <c r="E1187" i="7"/>
  <c r="E1186" i="7"/>
  <c r="E1185" i="7"/>
  <c r="E1184" i="7"/>
  <c r="E1183" i="7"/>
  <c r="E1182" i="7"/>
  <c r="E1181" i="7"/>
  <c r="E185" i="9"/>
  <c r="G185" i="9" s="1"/>
  <c r="A186" i="9"/>
  <c r="Q186" i="9" s="1"/>
  <c r="E186" i="9" s="1"/>
  <c r="G186" i="9" s="1"/>
  <c r="A185" i="9"/>
  <c r="A184" i="9"/>
  <c r="Q184" i="9" s="1"/>
  <c r="E184" i="9" s="1"/>
  <c r="A183" i="9"/>
  <c r="Q183" i="9" s="1"/>
  <c r="E183" i="9" s="1"/>
  <c r="A182" i="9"/>
  <c r="Q182" i="9" s="1"/>
  <c r="E182" i="9" s="1"/>
  <c r="G182" i="9" s="1"/>
  <c r="A181" i="9"/>
  <c r="Q181" i="9" s="1"/>
  <c r="E181" i="9" s="1"/>
  <c r="G181" i="9" s="1"/>
  <c r="A180" i="9"/>
  <c r="Q180" i="9" s="1"/>
  <c r="E180" i="9" s="1"/>
  <c r="G180" i="9" s="1"/>
  <c r="A179" i="9"/>
  <c r="Q179" i="9" s="1"/>
  <c r="E179" i="9" s="1"/>
  <c r="G179" i="9" s="1"/>
  <c r="E1180" i="7" l="1"/>
  <c r="E1179" i="7"/>
  <c r="E1178" i="7"/>
  <c r="E1177" i="7"/>
  <c r="E1176" i="7"/>
  <c r="E1175" i="7"/>
  <c r="E1174" i="7"/>
  <c r="E172" i="9"/>
  <c r="G172" i="9" s="1"/>
  <c r="A178" i="9"/>
  <c r="Q178" i="9" s="1"/>
  <c r="E178" i="9" s="1"/>
  <c r="G178" i="9" s="1"/>
  <c r="A177" i="9"/>
  <c r="Q177" i="9" s="1"/>
  <c r="E177" i="9" s="1"/>
  <c r="G177" i="9" s="1"/>
  <c r="A176" i="9"/>
  <c r="Q176" i="9" s="1"/>
  <c r="E176" i="9" s="1"/>
  <c r="G176" i="9" s="1"/>
  <c r="A175" i="9"/>
  <c r="Q175" i="9" s="1"/>
  <c r="E175" i="9" s="1"/>
  <c r="G175" i="9" s="1"/>
  <c r="A174" i="9"/>
  <c r="Q174" i="9" s="1"/>
  <c r="E174" i="9" s="1"/>
  <c r="G174" i="9" s="1"/>
  <c r="A173" i="9"/>
  <c r="Q173" i="9" s="1"/>
  <c r="E173" i="9" s="1"/>
  <c r="G173" i="9" s="1"/>
  <c r="A172" i="9"/>
  <c r="A171" i="9"/>
  <c r="Q171" i="9" s="1"/>
  <c r="E171" i="9" s="1"/>
  <c r="G171" i="9" s="1"/>
  <c r="E1158" i="7" l="1"/>
  <c r="E1159" i="7"/>
  <c r="E1160" i="7"/>
  <c r="E1161" i="7"/>
  <c r="E1162" i="7"/>
  <c r="E1163" i="7"/>
  <c r="E1173" i="7"/>
  <c r="E1172" i="7"/>
  <c r="E1171" i="7"/>
  <c r="E1170" i="7"/>
  <c r="E1169" i="7"/>
  <c r="E1168" i="7"/>
  <c r="E1167" i="7"/>
  <c r="E1166" i="7"/>
  <c r="E1165" i="7"/>
  <c r="E169" i="9"/>
  <c r="G169" i="9" s="1"/>
  <c r="A170" i="9"/>
  <c r="Q170" i="9" s="1"/>
  <c r="E170" i="9" s="1"/>
  <c r="G170" i="9" s="1"/>
  <c r="A169" i="9"/>
  <c r="A168" i="9"/>
  <c r="Q168" i="9" s="1"/>
  <c r="E168" i="9" s="1"/>
  <c r="G168" i="9" s="1"/>
  <c r="A167" i="9"/>
  <c r="Q167" i="9" s="1"/>
  <c r="E167" i="9" s="1"/>
  <c r="G167" i="9" s="1"/>
  <c r="A166" i="9"/>
  <c r="Q166" i="9" s="1"/>
  <c r="E166" i="9" s="1"/>
  <c r="G166" i="9" s="1"/>
  <c r="A165" i="9"/>
  <c r="Q165" i="9" s="1"/>
  <c r="E165" i="9" s="1"/>
  <c r="G165" i="9" s="1"/>
  <c r="A164" i="9"/>
  <c r="Q164" i="9" s="1"/>
  <c r="E164" i="9" s="1"/>
  <c r="G164" i="9" s="1"/>
  <c r="A163" i="9"/>
  <c r="Q163" i="9" s="1"/>
  <c r="E163" i="9" s="1"/>
  <c r="G163" i="9" s="1"/>
  <c r="A162" i="9"/>
  <c r="Q162" i="9" s="1"/>
  <c r="E162" i="9" s="1"/>
  <c r="G162" i="9" s="1"/>
  <c r="A161" i="9"/>
  <c r="Q161" i="9" s="1"/>
  <c r="E161" i="9" s="1"/>
  <c r="G161" i="9" s="1"/>
  <c r="A160" i="9"/>
  <c r="Q160" i="9" s="1"/>
  <c r="E160" i="9" s="1"/>
  <c r="G160" i="9" s="1"/>
  <c r="A159" i="9"/>
  <c r="Q159" i="9" s="1"/>
  <c r="E159" i="9" s="1"/>
  <c r="G159" i="9" s="1"/>
  <c r="A158" i="9"/>
  <c r="Q158" i="9" s="1"/>
  <c r="E158" i="9" s="1"/>
  <c r="G158" i="9" s="1"/>
  <c r="A157" i="9"/>
  <c r="Q157" i="9" s="1"/>
  <c r="E157" i="9" s="1"/>
  <c r="G157" i="9" s="1"/>
  <c r="A156" i="9"/>
  <c r="Q156" i="9" s="1"/>
  <c r="E156" i="9" s="1"/>
  <c r="G156" i="9" s="1"/>
  <c r="A155" i="9"/>
  <c r="Q155" i="9" s="1"/>
  <c r="E155" i="9" s="1"/>
  <c r="G155" i="9" s="1"/>
  <c r="A154" i="9"/>
  <c r="Q154" i="9" s="1"/>
  <c r="E154" i="9" s="1"/>
  <c r="G154" i="9" s="1"/>
  <c r="A153" i="9"/>
  <c r="Q153" i="9" s="1"/>
  <c r="E153" i="9" s="1"/>
  <c r="G153" i="9" s="1"/>
  <c r="A152" i="9"/>
  <c r="Q152" i="9" s="1"/>
  <c r="E152" i="9" s="1"/>
  <c r="G152" i="9" s="1"/>
  <c r="A151" i="9"/>
  <c r="Q151" i="9" s="1"/>
  <c r="E151" i="9" s="1"/>
  <c r="G151" i="9" s="1"/>
  <c r="A150" i="9"/>
  <c r="Q150" i="9" s="1"/>
  <c r="E150" i="9" s="1"/>
  <c r="G150" i="9" s="1"/>
  <c r="A149" i="9"/>
  <c r="Q149" i="9" s="1"/>
  <c r="E149" i="9" s="1"/>
  <c r="G149" i="9" s="1"/>
  <c r="A148" i="9"/>
  <c r="Q148" i="9" s="1"/>
  <c r="E148" i="9" s="1"/>
  <c r="G148" i="9" s="1"/>
  <c r="E141" i="9"/>
  <c r="G141" i="9" s="1"/>
  <c r="E140" i="9"/>
  <c r="G140" i="9" s="1"/>
  <c r="A147" i="9"/>
  <c r="Q147" i="9" s="1"/>
  <c r="E147" i="9" s="1"/>
  <c r="G147" i="9" s="1"/>
  <c r="A146" i="9"/>
  <c r="Q146" i="9" s="1"/>
  <c r="E146" i="9" s="1"/>
  <c r="G146" i="9" s="1"/>
  <c r="A145" i="9"/>
  <c r="Q145" i="9" s="1"/>
  <c r="E145" i="9" s="1"/>
  <c r="G145" i="9" s="1"/>
  <c r="A144" i="9"/>
  <c r="Q144" i="9" s="1"/>
  <c r="E144" i="9" s="1"/>
  <c r="A143" i="9"/>
  <c r="Q143" i="9" s="1"/>
  <c r="E143" i="9" s="1"/>
  <c r="G143" i="9" s="1"/>
  <c r="A142" i="9"/>
  <c r="Q142" i="9" s="1"/>
  <c r="E142" i="9" s="1"/>
  <c r="G142" i="9" s="1"/>
  <c r="A141" i="9"/>
  <c r="A140" i="9"/>
  <c r="E1156" i="7"/>
  <c r="E1155" i="7"/>
  <c r="E1154" i="7"/>
  <c r="E1153" i="7"/>
  <c r="E1152" i="7"/>
  <c r="E1151" i="7"/>
  <c r="E1150" i="7"/>
  <c r="E1149" i="7"/>
  <c r="E1148" i="7"/>
  <c r="E1147" i="7"/>
  <c r="E1146" i="7"/>
  <c r="E1145" i="7"/>
  <c r="E1144" i="7"/>
  <c r="E1143" i="7"/>
  <c r="E1142" i="7"/>
  <c r="E1141" i="7"/>
  <c r="E1140" i="7"/>
  <c r="E1139" i="7"/>
  <c r="E1138" i="7" l="1"/>
  <c r="E1137" i="7"/>
  <c r="E1136" i="7"/>
  <c r="E1135" i="7"/>
  <c r="E1134" i="7"/>
  <c r="E1133" i="7"/>
  <c r="A139" i="9"/>
  <c r="Q139" i="9" s="1"/>
  <c r="E139" i="9" s="1"/>
  <c r="G139" i="9" s="1"/>
  <c r="A138" i="9"/>
  <c r="Q138" i="9" s="1"/>
  <c r="E138" i="9" s="1"/>
  <c r="G138" i="9" s="1"/>
  <c r="A137" i="9"/>
  <c r="Q137" i="9" s="1"/>
  <c r="E137" i="9" s="1"/>
  <c r="G137" i="9" s="1"/>
  <c r="A136" i="9"/>
  <c r="Q136" i="9" s="1"/>
  <c r="E136" i="9" s="1"/>
  <c r="A135" i="9"/>
  <c r="Q135" i="9" s="1"/>
  <c r="E135" i="9" s="1"/>
  <c r="G135" i="9" s="1"/>
  <c r="A134" i="9"/>
  <c r="Q134" i="9" s="1"/>
  <c r="E134" i="9" s="1"/>
  <c r="G134" i="9" s="1"/>
  <c r="A133" i="9"/>
  <c r="Q133" i="9" s="1"/>
  <c r="E133" i="9" s="1"/>
  <c r="G133" i="9" s="1"/>
  <c r="A132" i="9"/>
  <c r="Q132" i="9" s="1"/>
  <c r="E132" i="9" s="1"/>
  <c r="G132" i="9" s="1"/>
  <c r="E1132" i="7" l="1"/>
  <c r="E1131" i="7"/>
  <c r="E1130" i="7"/>
  <c r="E1129" i="7"/>
  <c r="E1128" i="7"/>
  <c r="E1127" i="7"/>
  <c r="E1126" i="7"/>
  <c r="E1125" i="7"/>
  <c r="A131" i="9"/>
  <c r="Q131" i="9" s="1"/>
  <c r="E131" i="9" s="1"/>
  <c r="G131" i="9" s="1"/>
  <c r="A130" i="9"/>
  <c r="Q130" i="9" s="1"/>
  <c r="E130" i="9" s="1"/>
  <c r="G130" i="9" s="1"/>
  <c r="A129" i="9"/>
  <c r="Q129" i="9" s="1"/>
  <c r="E129" i="9" s="1"/>
  <c r="G129" i="9" s="1"/>
  <c r="A128" i="9"/>
  <c r="Q128" i="9" s="1"/>
  <c r="E128" i="9" s="1"/>
  <c r="A127" i="9"/>
  <c r="Q127" i="9" s="1"/>
  <c r="E127" i="9" s="1"/>
  <c r="G127" i="9" s="1"/>
  <c r="A126" i="9"/>
  <c r="Q126" i="9" s="1"/>
  <c r="E126" i="9" s="1"/>
  <c r="G126" i="9" s="1"/>
  <c r="A125" i="9"/>
  <c r="Q125" i="9" s="1"/>
  <c r="E125" i="9" s="1"/>
  <c r="G125" i="9" s="1"/>
  <c r="A124" i="9"/>
  <c r="Q124" i="9" s="1"/>
  <c r="E124" i="9" s="1"/>
  <c r="G124" i="9" s="1"/>
  <c r="E1124" i="7" l="1"/>
  <c r="E1123" i="7"/>
  <c r="E1122" i="7"/>
  <c r="E1121" i="7"/>
  <c r="E1120" i="7"/>
  <c r="E1119" i="7"/>
  <c r="E1118" i="7"/>
  <c r="E1117" i="7"/>
  <c r="E1116" i="7"/>
  <c r="E1115" i="7"/>
  <c r="E1114" i="7"/>
  <c r="E1113" i="7"/>
  <c r="E1112" i="7"/>
  <c r="E1111" i="7"/>
  <c r="E1110" i="7"/>
  <c r="E1109" i="7"/>
  <c r="E1108" i="7"/>
  <c r="E1107" i="7"/>
  <c r="E1106" i="7"/>
  <c r="E1105" i="7"/>
  <c r="E116" i="9"/>
  <c r="G116" i="9" s="1"/>
  <c r="A123" i="9"/>
  <c r="Q123" i="9" s="1"/>
  <c r="E123" i="9" s="1"/>
  <c r="G123" i="9" s="1"/>
  <c r="A122" i="9"/>
  <c r="Q122" i="9" s="1"/>
  <c r="E122" i="9" s="1"/>
  <c r="G122" i="9" s="1"/>
  <c r="A121" i="9"/>
  <c r="Q121" i="9" s="1"/>
  <c r="E121" i="9" s="1"/>
  <c r="G121" i="9" s="1"/>
  <c r="A120" i="9"/>
  <c r="Q120" i="9" s="1"/>
  <c r="E120" i="9" s="1"/>
  <c r="G120" i="9" s="1"/>
  <c r="A119" i="9"/>
  <c r="Q119" i="9" s="1"/>
  <c r="E119" i="9" s="1"/>
  <c r="G119" i="9" s="1"/>
  <c r="A118" i="9"/>
  <c r="Q118" i="9" s="1"/>
  <c r="E118" i="9" s="1"/>
  <c r="G118" i="9" s="1"/>
  <c r="A117" i="9"/>
  <c r="Q117" i="9" s="1"/>
  <c r="E117" i="9" s="1"/>
  <c r="G117" i="9" s="1"/>
  <c r="A116" i="9"/>
  <c r="E1104" i="7" l="1"/>
  <c r="E1103" i="7"/>
  <c r="E1102" i="7"/>
  <c r="E1101" i="7"/>
  <c r="E1100" i="7"/>
  <c r="E1099" i="7"/>
  <c r="E1098" i="7"/>
  <c r="E1097" i="7"/>
  <c r="A115" i="9"/>
  <c r="Q115" i="9" s="1"/>
  <c r="E115" i="9" s="1"/>
  <c r="G115" i="9" s="1"/>
  <c r="A114" i="9"/>
  <c r="Q114" i="9" s="1"/>
  <c r="E114" i="9" s="1"/>
  <c r="G114" i="9" s="1"/>
  <c r="A113" i="9"/>
  <c r="Q113" i="9" s="1"/>
  <c r="E113" i="9" s="1"/>
  <c r="G113" i="9" s="1"/>
  <c r="A112" i="9"/>
  <c r="Q112" i="9" s="1"/>
  <c r="E112" i="9" s="1"/>
  <c r="G112" i="9" s="1"/>
  <c r="A111" i="9"/>
  <c r="E111" i="9" s="1"/>
  <c r="G111" i="9" s="1"/>
  <c r="A110" i="9"/>
  <c r="Q110" i="9" s="1"/>
  <c r="E110" i="9" s="1"/>
  <c r="G110" i="9" s="1"/>
  <c r="A109" i="9"/>
  <c r="Q109" i="9" s="1"/>
  <c r="E109" i="9" s="1"/>
  <c r="G109" i="9" s="1"/>
  <c r="A108" i="9"/>
  <c r="Q108" i="9" s="1"/>
  <c r="E108" i="9" s="1"/>
  <c r="G108" i="9" s="1"/>
  <c r="A107" i="9"/>
  <c r="Q107" i="9" s="1"/>
  <c r="E107" i="9" s="1"/>
  <c r="G107" i="9" s="1"/>
  <c r="A106" i="9"/>
  <c r="Q106" i="9" s="1"/>
  <c r="E106" i="9" s="1"/>
  <c r="G106" i="9" s="1"/>
  <c r="A105" i="9"/>
  <c r="Q105" i="9" s="1"/>
  <c r="E105" i="9" s="1"/>
  <c r="G105" i="9" s="1"/>
  <c r="A104" i="9"/>
  <c r="Q104" i="9" s="1"/>
  <c r="E104" i="9" s="1"/>
  <c r="G104" i="9" s="1"/>
  <c r="A103" i="9"/>
  <c r="Q103" i="9" s="1"/>
  <c r="E103" i="9" s="1"/>
  <c r="G103" i="9" s="1"/>
  <c r="A102" i="9"/>
  <c r="Q102" i="9" s="1"/>
  <c r="E102" i="9" s="1"/>
  <c r="G102" i="9" s="1"/>
  <c r="A101" i="9"/>
  <c r="Q101" i="9" s="1"/>
  <c r="E101" i="9" s="1"/>
  <c r="A100" i="9"/>
  <c r="Q100" i="9" s="1"/>
  <c r="E100" i="9" s="1"/>
  <c r="G100" i="9" s="1"/>
  <c r="A99" i="9"/>
  <c r="Q99" i="9" s="1"/>
  <c r="E99" i="9" s="1"/>
  <c r="G99" i="9" s="1"/>
  <c r="A98" i="9"/>
  <c r="Q98" i="9" s="1"/>
  <c r="E98" i="9" s="1"/>
  <c r="G98" i="9" s="1"/>
  <c r="A97" i="9"/>
  <c r="E97" i="9" s="1"/>
  <c r="G97" i="9" s="1"/>
  <c r="E1096" i="7" l="1"/>
  <c r="E1095" i="7"/>
  <c r="E1094" i="7"/>
  <c r="E1093" i="7"/>
  <c r="E1092" i="7"/>
  <c r="E1091" i="7"/>
  <c r="E1090" i="7"/>
  <c r="E1089" i="7"/>
  <c r="E1088" i="7"/>
  <c r="E1087" i="7"/>
  <c r="A96" i="9"/>
  <c r="Q96" i="9" s="1"/>
  <c r="E96" i="9" s="1"/>
  <c r="G96" i="9" s="1"/>
  <c r="A95" i="9"/>
  <c r="Q95" i="9" s="1"/>
  <c r="E95" i="9" s="1"/>
  <c r="G95" i="9" s="1"/>
  <c r="A94" i="9"/>
  <c r="Q94" i="9" s="1"/>
  <c r="E94" i="9" s="1"/>
  <c r="G94" i="9" s="1"/>
  <c r="A93" i="9"/>
  <c r="Q93" i="9" s="1"/>
  <c r="E93" i="9" s="1"/>
  <c r="A92" i="9"/>
  <c r="Q92" i="9" s="1"/>
  <c r="E92" i="9" s="1"/>
  <c r="G92" i="9" s="1"/>
  <c r="A91" i="9"/>
  <c r="Q91" i="9" s="1"/>
  <c r="E91" i="9" s="1"/>
  <c r="G91" i="9" s="1"/>
  <c r="A90" i="9"/>
  <c r="E90" i="9" s="1"/>
  <c r="G90" i="9" s="1"/>
  <c r="A89" i="9"/>
  <c r="Q89" i="9" s="1"/>
  <c r="E89" i="9" s="1"/>
  <c r="G89" i="9" s="1"/>
  <c r="E1086" i="7" l="1"/>
  <c r="E1085" i="7"/>
  <c r="E1084" i="7"/>
  <c r="E1083" i="7"/>
  <c r="E1082" i="7"/>
  <c r="E1081" i="7"/>
  <c r="E1080" i="7"/>
  <c r="E1079" i="7"/>
  <c r="E1078" i="7"/>
  <c r="E1077" i="7"/>
  <c r="A88" i="9"/>
  <c r="Q88" i="9" s="1"/>
  <c r="E88" i="9" s="1"/>
  <c r="G88" i="9" s="1"/>
  <c r="A87" i="9"/>
  <c r="Q87" i="9" s="1"/>
  <c r="E87" i="9" s="1"/>
  <c r="G87" i="9" s="1"/>
  <c r="A86" i="9"/>
  <c r="Q86" i="9" s="1"/>
  <c r="E86" i="9" s="1"/>
  <c r="G86" i="9" s="1"/>
  <c r="A85" i="9"/>
  <c r="Q85" i="9" s="1"/>
  <c r="E85" i="9" s="1"/>
  <c r="G85" i="9" s="1"/>
  <c r="A84" i="9"/>
  <c r="Q84" i="9" s="1"/>
  <c r="E84" i="9" s="1"/>
  <c r="G84" i="9" s="1"/>
  <c r="A83" i="9"/>
  <c r="Q83" i="9" s="1"/>
  <c r="E83" i="9" s="1"/>
  <c r="G83" i="9" s="1"/>
  <c r="A82" i="9"/>
  <c r="Q82" i="9" s="1"/>
  <c r="E82" i="9" s="1"/>
  <c r="G82" i="9" s="1"/>
  <c r="A81" i="9"/>
  <c r="Q81" i="9" s="1"/>
  <c r="E81" i="9" s="1"/>
  <c r="G81" i="9" s="1"/>
  <c r="E1076" i="7"/>
  <c r="E1075" i="7"/>
  <c r="E1074" i="7"/>
  <c r="E1073" i="7"/>
  <c r="E1072" i="7"/>
  <c r="E1071" i="7"/>
  <c r="E1070" i="7"/>
  <c r="E1069" i="7"/>
  <c r="E1068" i="7"/>
  <c r="E1067" i="7"/>
  <c r="E1066" i="7"/>
  <c r="E1065" i="7"/>
  <c r="E1064" i="7"/>
  <c r="E1063" i="7"/>
  <c r="E1062" i="7"/>
  <c r="E1061" i="7"/>
  <c r="E1060" i="7"/>
  <c r="E1059" i="7"/>
  <c r="E1058" i="7"/>
  <c r="E1057" i="7"/>
  <c r="E1056" i="7"/>
  <c r="A80" i="9"/>
  <c r="Q80" i="9" s="1"/>
  <c r="E80" i="9" s="1"/>
  <c r="G80" i="9" s="1"/>
  <c r="A79" i="9"/>
  <c r="E79" i="9" s="1"/>
  <c r="G79" i="9" s="1"/>
  <c r="A78" i="9"/>
  <c r="Q78" i="9" s="1"/>
  <c r="E78" i="9" s="1"/>
  <c r="G78" i="9" s="1"/>
  <c r="A77" i="9"/>
  <c r="Q77" i="9" s="1"/>
  <c r="E77" i="9" s="1"/>
  <c r="G77" i="9" s="1"/>
  <c r="A76" i="9"/>
  <c r="Q76" i="9" s="1"/>
  <c r="E76" i="9" s="1"/>
  <c r="G76" i="9" s="1"/>
  <c r="A75" i="9"/>
  <c r="Q75" i="9" s="1"/>
  <c r="E75" i="9" s="1"/>
  <c r="G75" i="9" s="1"/>
  <c r="A74" i="9"/>
  <c r="E74" i="9" s="1"/>
  <c r="G74" i="9" s="1"/>
  <c r="A73" i="9"/>
  <c r="E73" i="9" l="1"/>
  <c r="G73" i="9" s="1"/>
  <c r="E1055" i="7"/>
  <c r="E1054" i="7"/>
  <c r="E1053" i="7"/>
  <c r="E1052" i="7"/>
  <c r="E1051" i="7"/>
  <c r="E1050" i="7"/>
  <c r="E1049" i="7"/>
  <c r="E1048" i="7"/>
  <c r="A72" i="9"/>
  <c r="Q72" i="9" s="1"/>
  <c r="E72" i="9" s="1"/>
  <c r="G72" i="9" s="1"/>
  <c r="A71" i="9"/>
  <c r="Q71" i="9" s="1"/>
  <c r="E71" i="9" s="1"/>
  <c r="G71" i="9" s="1"/>
  <c r="A70" i="9"/>
  <c r="Q70" i="9" s="1"/>
  <c r="E70" i="9" s="1"/>
  <c r="G70" i="9" s="1"/>
  <c r="A69" i="9"/>
  <c r="Q69" i="9" s="1"/>
  <c r="E69" i="9" s="1"/>
  <c r="G69" i="9" s="1"/>
  <c r="A68" i="9"/>
  <c r="Q68" i="9" s="1"/>
  <c r="E68" i="9" s="1"/>
  <c r="G68" i="9" s="1"/>
  <c r="A67" i="9"/>
  <c r="Q67" i="9" s="1"/>
  <c r="E67" i="9" s="1"/>
  <c r="G67" i="9" s="1"/>
  <c r="A66" i="9"/>
  <c r="Q66" i="9" s="1"/>
  <c r="E66" i="9" s="1"/>
  <c r="G66" i="9" s="1"/>
  <c r="A65" i="9"/>
  <c r="Q65" i="9" s="1"/>
  <c r="E65" i="9" s="1"/>
  <c r="G65" i="9" s="1"/>
  <c r="A64" i="9"/>
  <c r="Q64" i="9" s="1"/>
  <c r="E64" i="9" s="1"/>
  <c r="G64" i="9" s="1"/>
  <c r="A63" i="9"/>
  <c r="Q63" i="9" s="1"/>
  <c r="E63" i="9" s="1"/>
  <c r="G63" i="9" s="1"/>
  <c r="A62" i="9"/>
  <c r="Q62" i="9" s="1"/>
  <c r="E62" i="9" s="1"/>
  <c r="A61" i="9"/>
  <c r="Q61" i="9" s="1"/>
  <c r="E61" i="9" s="1"/>
  <c r="G61" i="9" s="1"/>
  <c r="A60" i="9"/>
  <c r="Q60" i="9" s="1"/>
  <c r="E60" i="9" s="1"/>
  <c r="G60" i="9" s="1"/>
  <c r="A59" i="9"/>
  <c r="Q59" i="9" s="1"/>
  <c r="E59" i="9" s="1"/>
  <c r="G59" i="9" s="1"/>
  <c r="A58" i="9"/>
  <c r="Q58" i="9" s="1"/>
  <c r="E58" i="9" s="1"/>
  <c r="G58" i="9" s="1"/>
  <c r="A57" i="9"/>
  <c r="Q57" i="9" s="1"/>
  <c r="E57" i="9" s="1"/>
  <c r="G57" i="9" s="1"/>
  <c r="A56" i="9"/>
  <c r="Q56" i="9" s="1"/>
  <c r="E56" i="9" s="1"/>
  <c r="G56" i="9" s="1"/>
  <c r="A55" i="9"/>
  <c r="Q55" i="9" s="1"/>
  <c r="E55" i="9" s="1"/>
  <c r="G55" i="9" s="1"/>
  <c r="A54" i="9"/>
  <c r="Q54" i="9" s="1"/>
  <c r="E54" i="9" s="1"/>
  <c r="A53" i="9"/>
  <c r="Q53" i="9" s="1"/>
  <c r="E53" i="9" s="1"/>
  <c r="G53" i="9" s="1"/>
  <c r="A52" i="9"/>
  <c r="Q52" i="9" s="1"/>
  <c r="E52" i="9" s="1"/>
  <c r="G52" i="9" s="1"/>
  <c r="A51" i="9"/>
  <c r="Q51" i="9" s="1"/>
  <c r="E51" i="9" s="1"/>
  <c r="G51" i="9" s="1"/>
  <c r="A50" i="9"/>
  <c r="E50" i="9" s="1"/>
  <c r="G50" i="9" s="1"/>
  <c r="I43" i="9" l="1"/>
  <c r="E1047" i="7"/>
  <c r="E1046" i="7"/>
  <c r="E1045" i="7"/>
  <c r="E1044" i="7"/>
  <c r="E1043" i="7"/>
  <c r="E1042" i="7"/>
  <c r="A49" i="9"/>
  <c r="Q49" i="9" s="1"/>
  <c r="E49" i="9" s="1"/>
  <c r="G49" i="9" s="1"/>
  <c r="A48" i="9"/>
  <c r="Q48" i="9" s="1"/>
  <c r="E48" i="9" s="1"/>
  <c r="G48" i="9" s="1"/>
  <c r="A47" i="9"/>
  <c r="Q47" i="9" s="1"/>
  <c r="E47" i="9" s="1"/>
  <c r="G47" i="9" s="1"/>
  <c r="A46" i="9"/>
  <c r="Q46" i="9" s="1"/>
  <c r="E46" i="9" s="1"/>
  <c r="A45" i="9"/>
  <c r="Q45" i="9" s="1"/>
  <c r="E45" i="9" s="1"/>
  <c r="G45" i="9" s="1"/>
  <c r="A44" i="9"/>
  <c r="Q44" i="9" s="1"/>
  <c r="E44" i="9" s="1"/>
  <c r="G44" i="9" s="1"/>
  <c r="A43" i="9"/>
  <c r="Q43" i="9" s="1"/>
  <c r="E43" i="9" s="1"/>
  <c r="G43" i="9" s="1"/>
  <c r="A42" i="9"/>
  <c r="Q42" i="9" s="1"/>
  <c r="E42" i="9" s="1"/>
  <c r="G42" i="9" s="1"/>
  <c r="I30" i="9" l="1"/>
  <c r="E1040" i="7"/>
  <c r="E1041" i="7"/>
  <c r="E1039" i="7"/>
  <c r="E1038" i="7"/>
  <c r="E1037" i="7"/>
  <c r="E1036" i="7"/>
  <c r="E1035" i="7"/>
  <c r="E1034" i="7"/>
  <c r="E1033" i="7"/>
  <c r="E1032" i="7"/>
  <c r="E1031" i="7"/>
  <c r="E1030" i="7"/>
  <c r="E1029" i="7"/>
  <c r="E1028" i="7"/>
  <c r="E1027" i="7"/>
  <c r="E1026" i="7"/>
  <c r="E34" i="9"/>
  <c r="G34" i="9" s="1"/>
  <c r="A41" i="9"/>
  <c r="Q41" i="9" s="1"/>
  <c r="E41" i="9" s="1"/>
  <c r="G41" i="9" s="1"/>
  <c r="A40" i="9"/>
  <c r="Q40" i="9" s="1"/>
  <c r="E40" i="9" s="1"/>
  <c r="G40" i="9" s="1"/>
  <c r="A39" i="9"/>
  <c r="Q39" i="9" s="1"/>
  <c r="E39" i="9" s="1"/>
  <c r="G39" i="9" s="1"/>
  <c r="A38" i="9"/>
  <c r="Q38" i="9" s="1"/>
  <c r="E38" i="9" s="1"/>
  <c r="A37" i="9"/>
  <c r="Q37" i="9" s="1"/>
  <c r="E37" i="9" s="1"/>
  <c r="G37" i="9" s="1"/>
  <c r="A36" i="9"/>
  <c r="Q36" i="9" s="1"/>
  <c r="E36" i="9" s="1"/>
  <c r="G36" i="9" s="1"/>
  <c r="A35" i="9"/>
  <c r="Q35" i="9" s="1"/>
  <c r="E35" i="9" s="1"/>
  <c r="G35" i="9" s="1"/>
  <c r="A34" i="9"/>
  <c r="A33" i="9"/>
  <c r="Q33" i="9" s="1"/>
  <c r="E33" i="9" s="1"/>
  <c r="G33" i="9" s="1"/>
  <c r="A32" i="9"/>
  <c r="Q32" i="9" s="1"/>
  <c r="E32" i="9" s="1"/>
  <c r="G32" i="9" s="1"/>
  <c r="A31" i="9"/>
  <c r="Q31" i="9" s="1"/>
  <c r="E31" i="9" s="1"/>
  <c r="G31" i="9" s="1"/>
  <c r="A30" i="9"/>
  <c r="Q30" i="9" s="1"/>
  <c r="E30" i="9" s="1"/>
  <c r="A29" i="9"/>
  <c r="Q29" i="9" s="1"/>
  <c r="E29" i="9" s="1"/>
  <c r="G29" i="9" s="1"/>
  <c r="A28" i="9"/>
  <c r="Q28" i="9" s="1"/>
  <c r="E28" i="9" s="1"/>
  <c r="G28" i="9" s="1"/>
  <c r="A27" i="9"/>
  <c r="Q27" i="9" s="1"/>
  <c r="E27" i="9" s="1"/>
  <c r="G27" i="9" s="1"/>
  <c r="A26" i="9"/>
  <c r="Q26" i="9" s="1"/>
  <c r="E26" i="9" s="1"/>
  <c r="G26" i="9" s="1"/>
  <c r="E1024" i="7" l="1"/>
  <c r="E1025" i="7"/>
  <c r="E1019" i="7" l="1"/>
  <c r="E1020" i="7"/>
  <c r="E1021" i="7"/>
  <c r="A1021" i="7"/>
  <c r="A1020" i="7"/>
  <c r="A1019" i="7"/>
  <c r="E1018" i="7"/>
  <c r="E1017" i="7"/>
  <c r="E1016" i="7"/>
  <c r="E1015" i="7"/>
  <c r="E1014" i="7"/>
  <c r="E1013" i="7"/>
  <c r="E1012" i="7"/>
  <c r="E1011" i="7"/>
  <c r="E1010" i="7"/>
  <c r="E1009" i="7"/>
  <c r="E1008" i="7"/>
  <c r="E1007" i="7"/>
  <c r="E1006" i="7"/>
  <c r="E1005" i="7"/>
  <c r="E1004" i="7"/>
  <c r="E1003" i="7"/>
  <c r="E1002" i="7"/>
  <c r="E1001" i="7"/>
  <c r="E1000" i="7"/>
  <c r="E999" i="7"/>
  <c r="E18" i="9"/>
  <c r="G18" i="9" s="1"/>
  <c r="A25" i="9"/>
  <c r="Q25" i="9" s="1"/>
  <c r="E25" i="9" s="1"/>
  <c r="G25" i="9" s="1"/>
  <c r="A24" i="9"/>
  <c r="Q24" i="9" s="1"/>
  <c r="E24" i="9" s="1"/>
  <c r="G24" i="9" s="1"/>
  <c r="A23" i="9"/>
  <c r="Q23" i="9" s="1"/>
  <c r="E23" i="9" s="1"/>
  <c r="G23" i="9" s="1"/>
  <c r="A22" i="9"/>
  <c r="Q22" i="9" s="1"/>
  <c r="E22" i="9" s="1"/>
  <c r="G22" i="9" s="1"/>
  <c r="A21" i="9"/>
  <c r="Q21" i="9" s="1"/>
  <c r="E21" i="9" s="1"/>
  <c r="G21" i="9" s="1"/>
  <c r="A20" i="9"/>
  <c r="Q20" i="9" s="1"/>
  <c r="E20" i="9" s="1"/>
  <c r="G20" i="9" s="1"/>
  <c r="A19" i="9"/>
  <c r="Q19" i="9" s="1"/>
  <c r="E19" i="9" s="1"/>
  <c r="G19" i="9" s="1"/>
  <c r="A18" i="9"/>
  <c r="E998" i="7" l="1"/>
  <c r="E997" i="7"/>
  <c r="E996" i="7"/>
  <c r="E995" i="7"/>
  <c r="E994" i="7"/>
  <c r="E993" i="7"/>
  <c r="E992" i="7"/>
  <c r="E991" i="7"/>
  <c r="E990" i="7"/>
  <c r="E989" i="7"/>
  <c r="E988" i="7"/>
  <c r="E987" i="7"/>
  <c r="E986" i="7"/>
  <c r="E985" i="7"/>
  <c r="E984" i="7"/>
  <c r="A17" i="9"/>
  <c r="Q17" i="9" s="1"/>
  <c r="E17" i="9" s="1"/>
  <c r="G17" i="9" s="1"/>
  <c r="A16" i="9"/>
  <c r="Q16" i="9" s="1"/>
  <c r="E16" i="9" s="1"/>
  <c r="G16" i="9" s="1"/>
  <c r="A15" i="9"/>
  <c r="Q15" i="9" s="1"/>
  <c r="E15" i="9" s="1"/>
  <c r="G15" i="9" s="1"/>
  <c r="A14" i="9"/>
  <c r="Q14" i="9" s="1"/>
  <c r="E14" i="9" s="1"/>
  <c r="G14" i="9" s="1"/>
  <c r="A13" i="9"/>
  <c r="Q13" i="9" s="1"/>
  <c r="E13" i="9" s="1"/>
  <c r="G13" i="9" s="1"/>
  <c r="A12" i="9"/>
  <c r="Q12" i="9" s="1"/>
  <c r="E12" i="9" s="1"/>
  <c r="G12" i="9" s="1"/>
  <c r="A11" i="9"/>
  <c r="Q11" i="9" s="1"/>
  <c r="E11" i="9" s="1"/>
  <c r="G11" i="9" s="1"/>
  <c r="A10" i="9"/>
  <c r="Q10" i="9" s="1"/>
  <c r="E10" i="9" s="1"/>
  <c r="G10" i="9" s="1"/>
  <c r="E2" i="9"/>
  <c r="G2" i="9" s="1"/>
  <c r="A9" i="9"/>
  <c r="Q9" i="9" s="1"/>
  <c r="E9" i="9" s="1"/>
  <c r="G9" i="9" s="1"/>
  <c r="A8" i="9"/>
  <c r="Q8" i="9" s="1"/>
  <c r="E8" i="9" s="1"/>
  <c r="G8" i="9" s="1"/>
  <c r="A7" i="9"/>
  <c r="Q7" i="9" s="1"/>
  <c r="E7" i="9" s="1"/>
  <c r="G7" i="9" s="1"/>
  <c r="A6" i="9"/>
  <c r="Q6" i="9" s="1"/>
  <c r="E6" i="9" s="1"/>
  <c r="G6" i="9" s="1"/>
  <c r="A5" i="9"/>
  <c r="Q5" i="9" s="1"/>
  <c r="E5" i="9" s="1"/>
  <c r="G5" i="9" s="1"/>
  <c r="A4" i="9"/>
  <c r="Q4" i="9" s="1"/>
  <c r="E4" i="9" s="1"/>
  <c r="G4" i="9" s="1"/>
  <c r="A3" i="9"/>
  <c r="Q3" i="9" s="1"/>
  <c r="E3" i="9" s="1"/>
  <c r="G3" i="9" s="1"/>
  <c r="A2" i="9"/>
  <c r="E983" i="7" l="1"/>
  <c r="E982" i="7"/>
  <c r="E981" i="7"/>
  <c r="E980" i="7"/>
  <c r="E979" i="7"/>
  <c r="E978" i="7"/>
  <c r="E977" i="7"/>
  <c r="E976" i="7" l="1"/>
  <c r="E975" i="7"/>
  <c r="E974" i="7"/>
  <c r="E973" i="7"/>
  <c r="E972" i="7"/>
  <c r="E971" i="7"/>
  <c r="E970" i="7"/>
  <c r="E969" i="7"/>
  <c r="E966" i="7" l="1"/>
  <c r="E965" i="7"/>
  <c r="E964" i="7"/>
  <c r="E963" i="7"/>
  <c r="E962" i="7"/>
  <c r="E961" i="7"/>
  <c r="E960" i="7"/>
  <c r="E959" i="7"/>
  <c r="E958" i="7"/>
  <c r="E957" i="7"/>
  <c r="E956" i="7" l="1"/>
  <c r="E955" i="7"/>
  <c r="E954" i="7"/>
  <c r="E953" i="7"/>
  <c r="E952" i="7"/>
  <c r="E951" i="7"/>
  <c r="E950" i="7"/>
  <c r="E949" i="7"/>
  <c r="E948" i="7"/>
  <c r="E947" i="7"/>
  <c r="E946" i="7"/>
  <c r="E945" i="7"/>
  <c r="E944" i="7"/>
  <c r="E943" i="7"/>
  <c r="E942" i="7"/>
  <c r="E941" i="7"/>
  <c r="E940" i="7"/>
  <c r="E939" i="7"/>
  <c r="E938" i="7"/>
  <c r="E937" i="7"/>
  <c r="E936" i="7"/>
  <c r="E935" i="7"/>
  <c r="E934" i="7"/>
  <c r="E933" i="7"/>
  <c r="E932" i="7"/>
  <c r="E931" i="7" l="1"/>
  <c r="E930" i="7"/>
  <c r="E929" i="7"/>
  <c r="E928" i="7"/>
  <c r="E927" i="7"/>
  <c r="E926" i="7"/>
  <c r="E925" i="7"/>
  <c r="E924" i="7"/>
  <c r="E923" i="7"/>
  <c r="E922" i="7"/>
  <c r="E921" i="7"/>
  <c r="E920" i="7"/>
  <c r="E919" i="7"/>
  <c r="E918" i="7"/>
  <c r="E917" i="7"/>
  <c r="E916" i="7"/>
  <c r="E915" i="7"/>
  <c r="E914" i="7"/>
  <c r="D914" i="7"/>
  <c r="E910" i="7"/>
  <c r="E909" i="7"/>
  <c r="E908" i="7"/>
  <c r="E907" i="7"/>
  <c r="E906" i="7"/>
  <c r="E905" i="7"/>
  <c r="E904" i="7"/>
  <c r="E903" i="7"/>
  <c r="E902" i="7" l="1"/>
  <c r="E901" i="7"/>
  <c r="E900" i="7"/>
  <c r="E899" i="7"/>
  <c r="E898" i="7"/>
  <c r="E897" i="7"/>
  <c r="E896" i="7"/>
  <c r="E895" i="7"/>
  <c r="E894" i="7"/>
  <c r="E893" i="7" l="1"/>
  <c r="E892" i="7"/>
  <c r="E891" i="7"/>
  <c r="E890" i="7"/>
  <c r="E889" i="7"/>
  <c r="E888" i="7"/>
  <c r="E887" i="7"/>
  <c r="E886" i="7"/>
  <c r="E885" i="7"/>
  <c r="E884" i="7"/>
  <c r="E883" i="7"/>
  <c r="E882" i="7"/>
  <c r="E881" i="7"/>
  <c r="E880" i="7"/>
  <c r="E879" i="7"/>
  <c r="E878" i="7"/>
  <c r="E877" i="7"/>
  <c r="E876" i="7"/>
  <c r="E875" i="7"/>
  <c r="E874" i="7"/>
  <c r="E873" i="7"/>
  <c r="E872" i="7"/>
  <c r="E871" i="7"/>
  <c r="E870" i="7"/>
  <c r="E869" i="7"/>
  <c r="E868" i="7"/>
  <c r="E867" i="7"/>
  <c r="E866" i="7"/>
  <c r="E865" i="7" l="1"/>
  <c r="E864" i="7"/>
  <c r="E863" i="7"/>
  <c r="E862" i="7"/>
  <c r="E861" i="7"/>
  <c r="E860" i="7"/>
  <c r="E859" i="7"/>
  <c r="E858" i="7"/>
  <c r="E857" i="7"/>
  <c r="E856" i="7"/>
  <c r="E855" i="7"/>
  <c r="E854" i="7" l="1"/>
  <c r="E853" i="7"/>
  <c r="E852" i="7"/>
  <c r="E851" i="7"/>
  <c r="E850" i="7"/>
  <c r="E849" i="7"/>
  <c r="E848" i="7"/>
  <c r="E847" i="7"/>
  <c r="E846" i="7" l="1"/>
  <c r="E845" i="7"/>
  <c r="E844" i="7"/>
  <c r="E843" i="7"/>
  <c r="E842" i="7"/>
  <c r="E841" i="7"/>
  <c r="E840" i="7"/>
  <c r="E839" i="7"/>
  <c r="E838" i="7"/>
  <c r="E837" i="7"/>
  <c r="E836" i="7"/>
  <c r="E835" i="7"/>
  <c r="E834" i="7"/>
  <c r="E833" i="7"/>
  <c r="E832" i="7"/>
  <c r="E831" i="7"/>
  <c r="E830" i="7"/>
  <c r="E829" i="7"/>
  <c r="E828" i="7" l="1"/>
  <c r="E827" i="7"/>
  <c r="E826" i="7"/>
  <c r="E825" i="7"/>
  <c r="E824" i="7"/>
  <c r="E823" i="7"/>
  <c r="E822" i="7"/>
  <c r="E821" i="7"/>
  <c r="E820" i="7"/>
  <c r="E819" i="7"/>
  <c r="E818" i="7" l="1"/>
  <c r="E817" i="7"/>
  <c r="E816" i="7"/>
  <c r="E815" i="7"/>
  <c r="E814" i="7"/>
  <c r="E813" i="7"/>
  <c r="E812" i="7"/>
  <c r="E811" i="7"/>
  <c r="E810" i="7"/>
  <c r="E809" i="7"/>
  <c r="E808" i="7"/>
  <c r="E807" i="7"/>
  <c r="E806" i="7"/>
  <c r="E805" i="7"/>
  <c r="E804" i="7"/>
  <c r="E803" i="7"/>
  <c r="E802" i="7"/>
  <c r="E801" i="7"/>
  <c r="E800" i="7"/>
  <c r="E799" i="7"/>
  <c r="E798" i="7"/>
  <c r="E797" i="7" l="1"/>
  <c r="E796" i="7"/>
  <c r="E795" i="7"/>
  <c r="E794" i="7"/>
  <c r="E793" i="7"/>
  <c r="E792" i="7"/>
  <c r="E791" i="7"/>
  <c r="E790" i="7"/>
  <c r="E789" i="7"/>
  <c r="E788" i="7"/>
  <c r="E787" i="7"/>
  <c r="E786" i="7"/>
  <c r="E785" i="7"/>
  <c r="E784" i="7"/>
  <c r="E783" i="7"/>
  <c r="E782" i="7" l="1"/>
  <c r="E781" i="7"/>
  <c r="E780" i="7"/>
  <c r="E779" i="7"/>
  <c r="E778" i="7"/>
  <c r="E777" i="7"/>
  <c r="E776" i="7"/>
  <c r="E775" i="7"/>
  <c r="E774" i="7"/>
  <c r="E773" i="7" l="1"/>
  <c r="E772" i="7"/>
  <c r="E771" i="7"/>
  <c r="E770" i="7"/>
  <c r="E769" i="7"/>
  <c r="E768" i="7"/>
  <c r="E767" i="7"/>
  <c r="E766" i="7"/>
  <c r="E765" i="7" l="1"/>
  <c r="E764" i="7"/>
  <c r="E763" i="7"/>
  <c r="E762" i="7"/>
  <c r="E761" i="7"/>
  <c r="E760" i="7"/>
  <c r="E759" i="7"/>
  <c r="E758" i="7"/>
  <c r="E757" i="7"/>
  <c r="E756" i="7"/>
  <c r="E755" i="7"/>
  <c r="E754" i="7"/>
  <c r="E753" i="7"/>
  <c r="E752" i="7"/>
  <c r="E751" i="7"/>
  <c r="E750" i="7" l="1"/>
  <c r="E749" i="7"/>
  <c r="E748" i="7"/>
  <c r="E747" i="7"/>
  <c r="E746" i="7"/>
  <c r="E745" i="7"/>
  <c r="E744" i="7"/>
  <c r="E743" i="7"/>
  <c r="E742" i="7"/>
  <c r="E741" i="7"/>
  <c r="E740" i="7"/>
  <c r="E739" i="7"/>
  <c r="E738" i="7"/>
  <c r="E737" i="7"/>
  <c r="E736" i="7"/>
  <c r="E735" i="7"/>
  <c r="E734" i="7"/>
  <c r="E733" i="7"/>
  <c r="E732" i="7"/>
  <c r="E731" i="7"/>
  <c r="E730" i="7"/>
  <c r="E729" i="7"/>
  <c r="E728" i="7"/>
  <c r="E727" i="7" l="1"/>
  <c r="E726" i="7"/>
  <c r="E725" i="7"/>
  <c r="E724" i="7"/>
  <c r="E723" i="7"/>
  <c r="E722" i="7"/>
  <c r="E721" i="7"/>
  <c r="E720" i="7"/>
  <c r="E719" i="7"/>
  <c r="E718" i="7"/>
  <c r="E717" i="7"/>
  <c r="E716" i="7"/>
  <c r="E715" i="7"/>
  <c r="E714" i="7"/>
  <c r="E713" i="7"/>
  <c r="E712" i="7"/>
  <c r="E711" i="7"/>
  <c r="E710" i="7"/>
  <c r="E709" i="7"/>
  <c r="E708" i="7"/>
  <c r="E707" i="7"/>
  <c r="E706" i="7"/>
  <c r="E705" i="7"/>
  <c r="E704" i="7" l="1"/>
  <c r="E703" i="7"/>
  <c r="E702" i="7"/>
  <c r="E701" i="7"/>
  <c r="E700" i="7"/>
  <c r="E699" i="7"/>
  <c r="E698" i="7"/>
  <c r="E697" i="7"/>
  <c r="E675" i="7" l="1"/>
  <c r="E676" i="7"/>
  <c r="E677" i="7"/>
  <c r="E678" i="7"/>
  <c r="E696" i="7"/>
  <c r="E695" i="7"/>
  <c r="E694" i="7"/>
  <c r="E693" i="7"/>
  <c r="E692" i="7"/>
  <c r="E691" i="7"/>
  <c r="E690" i="7"/>
  <c r="E689" i="7"/>
  <c r="E688" i="7"/>
  <c r="E684" i="7"/>
  <c r="E683" i="7"/>
  <c r="E682" i="7"/>
  <c r="E681" i="7"/>
  <c r="E680" i="7"/>
  <c r="E679" i="7"/>
  <c r="E673" i="7"/>
  <c r="E672" i="7"/>
  <c r="E671" i="7"/>
  <c r="E670" i="7"/>
  <c r="E669" i="7"/>
  <c r="E668" i="7"/>
  <c r="E667" i="7"/>
  <c r="E666" i="7"/>
  <c r="E665" i="7"/>
  <c r="E664" i="7"/>
  <c r="E663" i="7"/>
  <c r="E662" i="7"/>
  <c r="E661" i="7"/>
  <c r="E660" i="7"/>
  <c r="E659" i="7"/>
  <c r="E658" i="7"/>
  <c r="E657" i="7"/>
  <c r="E656" i="7"/>
  <c r="E655" i="7"/>
  <c r="E654" i="7"/>
  <c r="E653" i="7"/>
  <c r="E652" i="7"/>
  <c r="E651" i="7"/>
  <c r="E650" i="7"/>
  <c r="E649" i="7" l="1"/>
  <c r="E648" i="7"/>
  <c r="E647" i="7"/>
  <c r="E646" i="7"/>
  <c r="E645" i="7"/>
  <c r="E644" i="7"/>
  <c r="E643" i="7"/>
  <c r="E642" i="7"/>
  <c r="E641" i="7"/>
  <c r="E640" i="7"/>
  <c r="E639" i="7"/>
  <c r="E638" i="7"/>
  <c r="E637" i="7"/>
  <c r="E636" i="7"/>
  <c r="E635" i="7"/>
  <c r="E634" i="7"/>
  <c r="E633" i="7"/>
  <c r="D630" i="7" l="1"/>
  <c r="E630" i="7"/>
  <c r="E632" i="7"/>
  <c r="E631" i="7"/>
  <c r="E627" i="7"/>
  <c r="E626" i="7"/>
  <c r="E625" i="7"/>
  <c r="E624" i="7"/>
  <c r="E623" i="7"/>
  <c r="E622" i="7"/>
  <c r="E621" i="7"/>
  <c r="E620" i="7"/>
  <c r="E619" i="7"/>
  <c r="E608" i="7" l="1"/>
  <c r="E618" i="7"/>
  <c r="E617" i="7"/>
  <c r="E616" i="7"/>
  <c r="E615" i="7"/>
  <c r="E614" i="7"/>
  <c r="E613" i="7"/>
  <c r="E612" i="7"/>
  <c r="E611" i="7"/>
  <c r="E610" i="7"/>
  <c r="E609" i="7"/>
  <c r="E605" i="7" l="1"/>
  <c r="E604" i="7"/>
  <c r="E603" i="7"/>
  <c r="E602" i="7"/>
  <c r="E601" i="7"/>
  <c r="E600" i="7"/>
  <c r="E599" i="7"/>
  <c r="E598" i="7"/>
  <c r="E597" i="7"/>
  <c r="E596" i="7"/>
  <c r="E595" i="7"/>
  <c r="E594" i="7"/>
  <c r="E593" i="7"/>
  <c r="E592" i="7" l="1"/>
  <c r="E591" i="7"/>
  <c r="E590" i="7"/>
  <c r="E589" i="7"/>
  <c r="E588" i="7"/>
  <c r="E587" i="7"/>
  <c r="E586" i="7"/>
  <c r="E585" i="7"/>
  <c r="E584" i="7"/>
  <c r="E583" i="7"/>
  <c r="E582" i="7"/>
  <c r="E581" i="7"/>
  <c r="E580" i="7"/>
  <c r="E579" i="7"/>
  <c r="E578" i="7"/>
  <c r="E577" i="7"/>
  <c r="E576" i="7"/>
  <c r="E575" i="7"/>
  <c r="E574" i="7"/>
  <c r="E573" i="7"/>
  <c r="E572" i="7"/>
  <c r="E571" i="7"/>
  <c r="E570" i="7"/>
  <c r="E569" i="7"/>
  <c r="E568" i="7"/>
  <c r="E567" i="7"/>
  <c r="E566" i="7"/>
  <c r="E565" i="7" l="1"/>
  <c r="E564" i="7"/>
  <c r="E563" i="7"/>
  <c r="E562" i="7"/>
  <c r="E561" i="7"/>
  <c r="E560" i="7"/>
  <c r="E559" i="7"/>
  <c r="E558" i="7"/>
  <c r="E557" i="7"/>
  <c r="E556" i="7"/>
  <c r="E555" i="7"/>
  <c r="E554" i="7"/>
  <c r="E553" i="7"/>
  <c r="E552" i="7"/>
  <c r="E551" i="7"/>
  <c r="E550" i="7"/>
  <c r="E549" i="7" l="1"/>
  <c r="E548" i="7"/>
  <c r="E547" i="7"/>
  <c r="E546" i="7"/>
  <c r="E545" i="7"/>
  <c r="E544" i="7"/>
  <c r="E543" i="7"/>
  <c r="E542" i="7"/>
  <c r="E541" i="7"/>
  <c r="E540" i="7"/>
  <c r="E539" i="7"/>
  <c r="E538" i="7"/>
  <c r="E537" i="7"/>
  <c r="E536" i="7"/>
  <c r="E535" i="7"/>
  <c r="E534" i="7"/>
  <c r="E533" i="7"/>
  <c r="E532" i="7"/>
  <c r="E531" i="7"/>
  <c r="E530" i="7" l="1"/>
  <c r="E529" i="7"/>
  <c r="E528" i="7"/>
  <c r="E527" i="7"/>
  <c r="E526" i="7"/>
  <c r="E525" i="7"/>
  <c r="E524" i="7"/>
  <c r="E523" i="7"/>
  <c r="E522" i="7"/>
  <c r="E521" i="7" l="1"/>
  <c r="E520" i="7"/>
  <c r="E519" i="7"/>
  <c r="E518" i="7"/>
  <c r="E517" i="7"/>
  <c r="E516" i="7"/>
  <c r="E515" i="7"/>
  <c r="E514" i="7"/>
  <c r="E513" i="7"/>
  <c r="E512" i="7"/>
  <c r="E511" i="7"/>
  <c r="E510" i="7"/>
  <c r="E509" i="7"/>
  <c r="E508" i="7"/>
  <c r="E507" i="7" l="1"/>
  <c r="E506" i="7"/>
  <c r="E505" i="7"/>
  <c r="E504" i="7"/>
  <c r="E503" i="7"/>
  <c r="E502" i="7"/>
  <c r="E501" i="7"/>
  <c r="E500" i="7"/>
  <c r="E499" i="7"/>
  <c r="E498" i="7"/>
  <c r="E497" i="7"/>
  <c r="E496" i="7"/>
  <c r="E495" i="7"/>
  <c r="E494" i="7"/>
  <c r="E493" i="7"/>
  <c r="E492" i="7"/>
  <c r="E491" i="7"/>
  <c r="E490" i="7"/>
  <c r="E489" i="7"/>
  <c r="E488" i="7"/>
  <c r="E487" i="7"/>
  <c r="E486" i="7"/>
  <c r="E485" i="7"/>
  <c r="E484" i="7"/>
  <c r="E483" i="7"/>
  <c r="E482" i="7"/>
  <c r="E481" i="7" l="1"/>
  <c r="E480" i="7"/>
  <c r="E479" i="7"/>
  <c r="E478" i="7"/>
  <c r="E477" i="7"/>
  <c r="E476" i="7"/>
  <c r="E475" i="7"/>
  <c r="E474" i="7"/>
  <c r="E473" i="7"/>
  <c r="E472" i="7"/>
  <c r="E471" i="7"/>
  <c r="E470" i="7"/>
  <c r="E469" i="7"/>
  <c r="E468" i="7" l="1"/>
  <c r="E467" i="7"/>
  <c r="E466" i="7"/>
  <c r="E465" i="7"/>
  <c r="E464" i="7"/>
  <c r="E463" i="7"/>
  <c r="E462" i="7"/>
  <c r="E461" i="7"/>
  <c r="E460" i="7"/>
  <c r="E459" i="7"/>
  <c r="E458" i="7"/>
  <c r="E457" i="7"/>
  <c r="E456" i="7"/>
  <c r="E455" i="7"/>
  <c r="E454" i="7"/>
  <c r="E453" i="7"/>
  <c r="E452" i="7" l="1"/>
  <c r="E451" i="7"/>
  <c r="E450" i="7"/>
  <c r="E449" i="7"/>
  <c r="E448" i="7"/>
  <c r="E447" i="7"/>
  <c r="E446" i="7"/>
  <c r="E445" i="7"/>
  <c r="E444" i="7"/>
  <c r="E443" i="7"/>
  <c r="E441" i="7"/>
  <c r="E440" i="7" l="1"/>
  <c r="E439" i="7"/>
  <c r="E438" i="7"/>
  <c r="E437" i="7"/>
  <c r="E436" i="7"/>
  <c r="E435" i="7"/>
  <c r="E434" i="7"/>
  <c r="E433" i="7"/>
  <c r="E432" i="7"/>
  <c r="E431" i="7"/>
  <c r="E430" i="7"/>
  <c r="E429" i="7"/>
  <c r="E408" i="7" l="1"/>
  <c r="E407" i="7"/>
  <c r="E406" i="7"/>
  <c r="E428" i="7" l="1"/>
  <c r="E427" i="7" l="1"/>
  <c r="E426" i="7"/>
  <c r="E425" i="7"/>
  <c r="E424" i="7"/>
  <c r="E423" i="7"/>
  <c r="E422" i="7"/>
  <c r="E421" i="7"/>
  <c r="E420" i="7"/>
  <c r="E419" i="7"/>
  <c r="E418" i="7"/>
  <c r="E417" i="7"/>
  <c r="E416" i="7"/>
  <c r="E415" i="7"/>
  <c r="E414" i="7"/>
  <c r="E413" i="7"/>
  <c r="E412" i="7"/>
  <c r="E411" i="7"/>
  <c r="E410" i="7"/>
  <c r="E409" i="7"/>
  <c r="E404" i="7"/>
  <c r="E403" i="7"/>
  <c r="E402" i="7"/>
  <c r="E401" i="7"/>
  <c r="E400" i="7"/>
  <c r="E399" i="7"/>
  <c r="E398" i="7" l="1"/>
  <c r="E397" i="7"/>
  <c r="E396" i="7"/>
  <c r="E395" i="7"/>
  <c r="E394" i="7"/>
  <c r="E393" i="7"/>
  <c r="E392" i="7"/>
  <c r="E391" i="7"/>
  <c r="E390" i="7"/>
  <c r="E389" i="7"/>
  <c r="E388" i="7"/>
  <c r="E387" i="7"/>
  <c r="E386" i="7"/>
  <c r="E385" i="7"/>
  <c r="E384" i="7"/>
  <c r="E383" i="7"/>
  <c r="E382" i="7"/>
  <c r="E381" i="7" l="1"/>
  <c r="E380" i="7"/>
  <c r="E379" i="7"/>
  <c r="E378" i="7"/>
  <c r="E377" i="7"/>
  <c r="E376" i="7"/>
  <c r="E375" i="7"/>
  <c r="E374" i="7"/>
  <c r="E373" i="7"/>
  <c r="E372" i="7"/>
  <c r="E371" i="7" l="1"/>
  <c r="E370" i="7"/>
  <c r="E369" i="7"/>
  <c r="E368" i="7"/>
  <c r="E367" i="7"/>
  <c r="E366" i="7"/>
  <c r="E365" i="7"/>
  <c r="E364" i="7"/>
  <c r="E363" i="7"/>
  <c r="E362" i="7"/>
  <c r="E343" i="7" l="1"/>
  <c r="E321" i="7"/>
  <c r="E320" i="7"/>
  <c r="E319" i="7"/>
  <c r="E347" i="7"/>
  <c r="E361" i="7"/>
  <c r="E357" i="7"/>
  <c r="E356" i="7"/>
  <c r="E355" i="7"/>
  <c r="E354" i="7"/>
  <c r="E353" i="7"/>
  <c r="E352" i="7"/>
  <c r="E351" i="7"/>
  <c r="E350" i="7"/>
  <c r="E349" i="7"/>
  <c r="E348" i="7"/>
  <c r="E342" i="7"/>
  <c r="E341" i="7"/>
  <c r="E340" i="7" l="1"/>
  <c r="E339" i="7"/>
  <c r="E338" i="7"/>
  <c r="E337" i="7"/>
  <c r="E336" i="7"/>
  <c r="E335" i="7"/>
  <c r="E334" i="7"/>
  <c r="E333" i="7"/>
  <c r="E332" i="7"/>
  <c r="E331" i="7"/>
  <c r="E330" i="7"/>
  <c r="E329" i="7"/>
  <c r="E328" i="7"/>
  <c r="E327" i="7"/>
  <c r="E326" i="7"/>
  <c r="E325" i="7"/>
  <c r="E324" i="7"/>
  <c r="E323" i="7"/>
  <c r="E322" i="7"/>
  <c r="E318" i="7"/>
  <c r="E317" i="7"/>
  <c r="E316" i="7"/>
  <c r="E315" i="7"/>
  <c r="E314" i="7"/>
  <c r="E313" i="7" l="1"/>
  <c r="E312" i="7" l="1"/>
  <c r="E311" i="7"/>
  <c r="E310" i="7"/>
  <c r="E309" i="7"/>
  <c r="E308" i="7"/>
  <c r="E307" i="7"/>
  <c r="E306" i="7"/>
  <c r="E305" i="7"/>
  <c r="E304" i="7"/>
  <c r="E303" i="7"/>
  <c r="E302" i="7"/>
  <c r="E301" i="7"/>
  <c r="E300" i="7"/>
  <c r="E299" i="7"/>
  <c r="E298" i="7"/>
  <c r="E297" i="7"/>
  <c r="E296" i="7"/>
  <c r="E295" i="7"/>
  <c r="E294" i="7"/>
  <c r="E293" i="7"/>
  <c r="E292" i="7"/>
  <c r="E291" i="7"/>
  <c r="E290" i="7"/>
  <c r="E289" i="7"/>
  <c r="E288" i="7" l="1"/>
  <c r="E287" i="7"/>
  <c r="E286" i="7"/>
  <c r="E285" i="7"/>
  <c r="E284" i="7"/>
  <c r="E283" i="7"/>
  <c r="E282" i="7"/>
  <c r="E281" i="7"/>
  <c r="E280" i="7"/>
  <c r="E279" i="7"/>
  <c r="E278" i="7"/>
  <c r="E277" i="7" l="1"/>
  <c r="E276" i="7"/>
  <c r="E275" i="7"/>
  <c r="E274" i="7"/>
  <c r="E273" i="7"/>
  <c r="E272" i="7"/>
  <c r="E271" i="7"/>
  <c r="E270" i="7"/>
  <c r="E269" i="7"/>
  <c r="E268" i="7"/>
  <c r="E267" i="7"/>
  <c r="E266" i="7" l="1"/>
  <c r="E265" i="7"/>
  <c r="E264" i="7"/>
  <c r="E263" i="7"/>
  <c r="E262" i="7"/>
  <c r="E261" i="7"/>
  <c r="E260" i="7"/>
  <c r="E259" i="7"/>
  <c r="E258" i="7"/>
  <c r="E257" i="7"/>
  <c r="E256" i="7"/>
  <c r="E255" i="7"/>
  <c r="E254" i="7"/>
  <c r="E253" i="7"/>
  <c r="E252" i="7"/>
  <c r="E251" i="7"/>
  <c r="E250" i="7"/>
  <c r="E249" i="7"/>
  <c r="E248" i="7"/>
  <c r="E247" i="7"/>
  <c r="E246" i="7"/>
  <c r="E245" i="7"/>
  <c r="E244" i="7"/>
  <c r="E243" i="7"/>
  <c r="E242" i="7"/>
  <c r="E241" i="7"/>
  <c r="E240" i="7"/>
  <c r="E239" i="7"/>
  <c r="E238" i="7"/>
  <c r="E237" i="7"/>
  <c r="E236" i="7"/>
  <c r="E235" i="7"/>
  <c r="E234" i="7"/>
  <c r="E233" i="7"/>
  <c r="E232" i="7"/>
  <c r="E231" i="7"/>
  <c r="E230" i="7"/>
  <c r="E229" i="7"/>
  <c r="E228" i="7"/>
  <c r="E227" i="7"/>
  <c r="E226" i="7"/>
  <c r="E225" i="7"/>
  <c r="E224" i="7"/>
  <c r="E223" i="7"/>
  <c r="E222" i="7"/>
  <c r="E221" i="7"/>
  <c r="E220" i="7"/>
  <c r="E219" i="7"/>
  <c r="E218" i="7"/>
  <c r="E217" i="7"/>
  <c r="E216" i="7"/>
  <c r="E215" i="7" l="1"/>
  <c r="E214" i="7"/>
  <c r="E213" i="7"/>
  <c r="E212" i="7"/>
  <c r="E211" i="7"/>
  <c r="E210" i="7"/>
  <c r="E209" i="7"/>
  <c r="E208" i="7"/>
  <c r="E207" i="7"/>
  <c r="E206" i="7"/>
  <c r="E205" i="7"/>
  <c r="E204" i="7"/>
  <c r="E203" i="7" l="1"/>
  <c r="E202" i="7"/>
  <c r="E201" i="7"/>
  <c r="E200" i="7"/>
  <c r="E199" i="7"/>
  <c r="E198" i="7"/>
  <c r="E197" i="7"/>
  <c r="E196" i="7"/>
  <c r="E195" i="7"/>
  <c r="E194" i="7"/>
  <c r="E193" i="7"/>
  <c r="E2" i="7" l="1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8" i="7"/>
  <c r="E129" i="7"/>
  <c r="E130" i="7"/>
  <c r="E131" i="7"/>
  <c r="E132" i="7"/>
  <c r="E133" i="7"/>
  <c r="E134" i="7"/>
  <c r="E135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K3" i="1" l="1"/>
  <c r="K4" i="1"/>
  <c r="K5" i="1"/>
  <c r="K6" i="1"/>
  <c r="K7" i="1"/>
  <c r="K8" i="1"/>
  <c r="K9" i="1"/>
  <c r="K10" i="1"/>
  <c r="K11" i="1"/>
  <c r="K12" i="1"/>
  <c r="K14" i="1"/>
  <c r="J14" i="1"/>
  <c r="K2" i="1" l="1"/>
  <c r="P1" i="1" l="1"/>
  <c r="O1" i="1"/>
  <c r="O3" i="1" s="1"/>
  <c r="N1" i="1"/>
  <c r="N3" i="1" l="1"/>
  <c r="N7" i="1"/>
  <c r="P3" i="1"/>
  <c r="P7" i="1"/>
  <c r="P8" i="1"/>
  <c r="P2" i="1"/>
  <c r="P5" i="1"/>
  <c r="O7" i="1"/>
  <c r="P6" i="1"/>
  <c r="P4" i="1"/>
  <c r="N5" i="1"/>
  <c r="O8" i="1"/>
  <c r="O5" i="1"/>
  <c r="O2" i="1"/>
  <c r="N2" i="1"/>
  <c r="O6" i="1"/>
  <c r="O4" i="1"/>
  <c r="N4" i="1"/>
  <c r="N8" i="1"/>
  <c r="N6" i="1"/>
  <c r="I857" i="9"/>
</calcChain>
</file>

<file path=xl/comments1.xml><?xml version="1.0" encoding="utf-8"?>
<comments xmlns="http://schemas.openxmlformats.org/spreadsheetml/2006/main">
  <authors>
    <author>Stephen Wang</author>
  </authors>
  <commentList>
    <comment ref="F284" authorId="0" shapeId="0">
      <text>
        <r>
          <rPr>
            <b/>
            <sz val="9"/>
            <color indexed="81"/>
            <rFont val="Tahoma"/>
            <family val="2"/>
          </rPr>
          <t>Stephen Wang:</t>
        </r>
        <r>
          <rPr>
            <sz val="9"/>
            <color indexed="81"/>
            <rFont val="Tahoma"/>
            <family val="2"/>
          </rPr>
          <t xml:space="preserve">
Candy took the cash from Store</t>
        </r>
      </text>
    </comment>
  </commentList>
</comments>
</file>

<file path=xl/comments2.xml><?xml version="1.0" encoding="utf-8"?>
<comments xmlns="http://schemas.openxmlformats.org/spreadsheetml/2006/main">
  <authors>
    <author>Stephen Wang</author>
  </authors>
  <commentList>
    <comment ref="D347" authorId="0" shapeId="0">
      <text>
        <r>
          <rPr>
            <b/>
            <sz val="9"/>
            <color indexed="81"/>
            <rFont val="Tahoma"/>
            <family val="2"/>
          </rPr>
          <t>Stephen Wang:</t>
        </r>
        <r>
          <rPr>
            <sz val="9"/>
            <color indexed="81"/>
            <rFont val="Tahoma"/>
            <family val="2"/>
          </rPr>
          <t xml:space="preserve">
Total of 3 transaction above</t>
        </r>
      </text>
    </comment>
    <comment ref="D360" authorId="0" shapeId="0">
      <text>
        <r>
          <rPr>
            <b/>
            <sz val="9"/>
            <color indexed="81"/>
            <rFont val="Tahoma"/>
            <family val="2"/>
          </rPr>
          <t>Stephen Wang:</t>
        </r>
        <r>
          <rPr>
            <sz val="9"/>
            <color indexed="81"/>
            <rFont val="Tahoma"/>
            <family val="2"/>
          </rPr>
          <t xml:space="preserve">
Sum of two transcation above</t>
        </r>
      </text>
    </comment>
    <comment ref="F405" authorId="0" shapeId="0">
      <text>
        <r>
          <rPr>
            <b/>
            <sz val="9"/>
            <color indexed="81"/>
            <rFont val="Tahoma"/>
            <family val="2"/>
          </rPr>
          <t xml:space="preserve">Stephen Wang:
</t>
        </r>
        <r>
          <rPr>
            <sz val="9"/>
            <color indexed="81"/>
            <rFont val="Tahoma"/>
            <family val="2"/>
          </rPr>
          <t xml:space="preserve">store did the bulk banking for three days,, next three transactions are manual divided </t>
        </r>
      </text>
    </comment>
    <comment ref="F608" authorId="0" shapeId="0">
      <text>
        <r>
          <rPr>
            <b/>
            <sz val="9"/>
            <color indexed="81"/>
            <rFont val="Tahoma"/>
            <family val="2"/>
          </rPr>
          <t>Stephen Wang:</t>
        </r>
        <r>
          <rPr>
            <sz val="9"/>
            <color indexed="81"/>
            <rFont val="Tahoma"/>
            <family val="2"/>
          </rPr>
          <t xml:space="preserve">
Total amount of two transcations above</t>
        </r>
      </text>
    </comment>
    <comment ref="F630" authorId="0" shapeId="0">
      <text>
        <r>
          <rPr>
            <b/>
            <sz val="9"/>
            <color indexed="81"/>
            <rFont val="Tahoma"/>
            <family val="2"/>
          </rPr>
          <t>Stephen Wang:</t>
        </r>
        <r>
          <rPr>
            <sz val="9"/>
            <color indexed="81"/>
            <rFont val="Tahoma"/>
            <family val="2"/>
          </rPr>
          <t xml:space="preserve">
Total amount of two transaction above</t>
        </r>
      </text>
    </comment>
    <comment ref="F674" authorId="0" shapeId="0">
      <text>
        <r>
          <rPr>
            <b/>
            <sz val="9"/>
            <color indexed="81"/>
            <rFont val="Tahoma"/>
            <family val="2"/>
          </rPr>
          <t>Stephen Wang:</t>
        </r>
        <r>
          <rPr>
            <sz val="9"/>
            <color indexed="81"/>
            <rFont val="Tahoma"/>
            <family val="2"/>
          </rPr>
          <t xml:space="preserve">
divide into 4 days sales
</t>
        </r>
      </text>
    </comment>
    <comment ref="F687" authorId="0" shapeId="0">
      <text>
        <r>
          <rPr>
            <b/>
            <sz val="9"/>
            <color indexed="81"/>
            <rFont val="Tahoma"/>
            <family val="2"/>
          </rPr>
          <t>Stephen Wang:</t>
        </r>
        <r>
          <rPr>
            <sz val="9"/>
            <color indexed="81"/>
            <rFont val="Tahoma"/>
            <family val="2"/>
          </rPr>
          <t xml:space="preserve">
add two transcation above</t>
        </r>
      </text>
    </comment>
    <comment ref="F914" authorId="0" shapeId="0">
      <text>
        <r>
          <rPr>
            <b/>
            <sz val="9"/>
            <color indexed="81"/>
            <rFont val="Tahoma"/>
            <family val="2"/>
          </rPr>
          <t>Stephen Wang:</t>
        </r>
        <r>
          <rPr>
            <sz val="9"/>
            <color indexed="81"/>
            <rFont val="Tahoma"/>
            <family val="2"/>
          </rPr>
          <t xml:space="preserve">
total of three deposit above
</t>
        </r>
      </text>
    </comment>
  </commentList>
</comments>
</file>

<file path=xl/comments3.xml><?xml version="1.0" encoding="utf-8"?>
<comments xmlns="http://schemas.openxmlformats.org/spreadsheetml/2006/main">
  <authors>
    <author>Stephen Wang</author>
  </authors>
  <commentList>
    <comment ref="F474" authorId="0" shapeId="0">
      <text>
        <r>
          <rPr>
            <b/>
            <sz val="9"/>
            <color indexed="81"/>
            <rFont val="Tahoma"/>
            <family val="2"/>
          </rPr>
          <t>Stephen Wang:</t>
        </r>
        <r>
          <rPr>
            <sz val="9"/>
            <color indexed="81"/>
            <rFont val="Tahoma"/>
            <family val="2"/>
          </rPr>
          <t xml:space="preserve">
divide into two day's sales below
</t>
        </r>
      </text>
    </comment>
    <comment ref="F500" authorId="0" shapeId="0">
      <text>
        <r>
          <rPr>
            <b/>
            <sz val="9"/>
            <color indexed="81"/>
            <rFont val="Tahoma"/>
            <family val="2"/>
          </rPr>
          <t>Stephen Wang:</t>
        </r>
        <r>
          <rPr>
            <sz val="9"/>
            <color indexed="81"/>
            <rFont val="Tahoma"/>
            <family val="2"/>
          </rPr>
          <t xml:space="preserve">
divide into two days sales below</t>
        </r>
      </text>
    </comment>
    <comment ref="F565" authorId="0" shapeId="0">
      <text>
        <r>
          <rPr>
            <b/>
            <sz val="9"/>
            <color indexed="81"/>
            <rFont val="Tahoma"/>
            <family val="2"/>
          </rPr>
          <t>Stephen Wang:</t>
        </r>
        <r>
          <rPr>
            <sz val="9"/>
            <color indexed="81"/>
            <rFont val="Tahoma"/>
            <family val="2"/>
          </rPr>
          <t xml:space="preserve">
Double charge $20 to Customer, Cash Refund to Customer</t>
        </r>
      </text>
    </comment>
    <comment ref="F619" authorId="0" shapeId="0">
      <text>
        <r>
          <rPr>
            <b/>
            <sz val="9"/>
            <color indexed="81"/>
            <rFont val="Tahoma"/>
            <family val="2"/>
          </rPr>
          <t>Stephen Wang:</t>
        </r>
        <r>
          <rPr>
            <sz val="9"/>
            <color indexed="81"/>
            <rFont val="Tahoma"/>
            <family val="2"/>
          </rPr>
          <t xml:space="preserve">
divide into two sales below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deleted="1" background="1" refreshOnLoad="1" saveData="1">
    <webPr sourceData="1" parsePre="1" consecutive="1" xl2000="1" htmlTables="1"/>
  </connection>
</connections>
</file>

<file path=xl/sharedStrings.xml><?xml version="1.0" encoding="utf-8"?>
<sst xmlns="http://schemas.openxmlformats.org/spreadsheetml/2006/main" count="5995" uniqueCount="1961">
  <si>
    <t>start</t>
  </si>
  <si>
    <t>length</t>
  </si>
  <si>
    <t>store</t>
  </si>
  <si>
    <t>date</t>
  </si>
  <si>
    <t>cash</t>
  </si>
  <si>
    <t>mid 133,9</t>
  </si>
  <si>
    <t>eftpos</t>
  </si>
  <si>
    <t>mid 143,8</t>
  </si>
  <si>
    <t>credit</t>
  </si>
  <si>
    <t>mid 152,8</t>
  </si>
  <si>
    <t>amex</t>
  </si>
  <si>
    <t>mid 161,8</t>
  </si>
  <si>
    <t>diners</t>
  </si>
  <si>
    <t>mid 170,8</t>
  </si>
  <si>
    <t>petty</t>
  </si>
  <si>
    <t>MagicDate</t>
  </si>
  <si>
    <t>Store</t>
  </si>
  <si>
    <t>Cash</t>
  </si>
  <si>
    <t>B.Cash</t>
  </si>
  <si>
    <t>B.ID</t>
  </si>
  <si>
    <t>Eftpos</t>
  </si>
  <si>
    <t>B.POS</t>
  </si>
  <si>
    <t>B.PID</t>
  </si>
  <si>
    <t>AMEX</t>
  </si>
  <si>
    <t>Cash Dep Branch Fairfield 43</t>
  </si>
  <si>
    <t>Cash Dep Branch Baulkham Hills 44</t>
  </si>
  <si>
    <t>CASH DEPOSIT CBA ATM  SL MERRYLAND A NSW 242801   AUS</t>
  </si>
  <si>
    <t>DEPOSIT         CORRIMAL NSW</t>
  </si>
  <si>
    <t>CASH DEPOSIT CBA ATM  BANKSTOWN CT C NSW 233403   AUS</t>
  </si>
  <si>
    <t>CASH DEPOSIT CBA ATM  CARNES HILL C  NSW 270903   AUS</t>
  </si>
  <si>
    <t>CASH DEPOSIT CBA ATM  WETHERILL PK A NSW 246801   AUS</t>
  </si>
  <si>
    <t>Cash Dep Branch Stklnd Glendale 37</t>
  </si>
  <si>
    <t>Date</t>
  </si>
  <si>
    <t>Description</t>
  </si>
  <si>
    <t>Amount</t>
  </si>
  <si>
    <t>Cash Dep Branch Roselands 104</t>
  </si>
  <si>
    <t>Currency</t>
  </si>
  <si>
    <t>Debit</t>
  </si>
  <si>
    <t>Credit</t>
  </si>
  <si>
    <t>Balance</t>
  </si>
  <si>
    <t>idx</t>
  </si>
  <si>
    <t>Shop</t>
  </si>
  <si>
    <t>Key</t>
  </si>
  <si>
    <t>Matched</t>
  </si>
  <si>
    <t>Year</t>
  </si>
  <si>
    <t>Match</t>
  </si>
  <si>
    <t>POS       103 04 JAN</t>
  </si>
  <si>
    <t>POS       104 04 JAN</t>
  </si>
  <si>
    <t>POS        35 04 JAN</t>
  </si>
  <si>
    <t>POS        38 04 JAN</t>
  </si>
  <si>
    <t>POS        44 04 JAN</t>
  </si>
  <si>
    <t>POS        41 04 JAN</t>
  </si>
  <si>
    <t>POS        45 04 JAN</t>
  </si>
  <si>
    <t>POS       101 04 JAN</t>
  </si>
  <si>
    <t>POS        43 04 JAN</t>
  </si>
  <si>
    <t>CASH DEPOSIT CBA ATM  ROSELANDS A    NSW 230101   AUS</t>
  </si>
  <si>
    <t>Cash Dep Branch Campbelltown</t>
  </si>
  <si>
    <t>Cash Dep Branch Carnes Hill</t>
  </si>
  <si>
    <t>POS        37 04 JAN</t>
  </si>
  <si>
    <t>POS       304 04 JAN</t>
  </si>
  <si>
    <t>Cash Dep Branch Broadmeadows 201</t>
  </si>
  <si>
    <t>B.AID</t>
  </si>
  <si>
    <t>B.Coin</t>
  </si>
  <si>
    <t>Actual Cash</t>
  </si>
  <si>
    <t>Coin</t>
  </si>
  <si>
    <t>Cash_x000D_
Variance</t>
  </si>
  <si>
    <t>EFTPOS_x000D_
Variance</t>
  </si>
  <si>
    <t>Petty Cash</t>
  </si>
  <si>
    <t>B.AMEX</t>
  </si>
  <si>
    <t>Amex Variance</t>
  </si>
  <si>
    <t>Coin Variance</t>
  </si>
  <si>
    <t>Y</t>
  </si>
  <si>
    <t>POS       104 05 JAN</t>
  </si>
  <si>
    <t>POS        44 05 JAN</t>
  </si>
  <si>
    <t>POS       103 05 JAN</t>
  </si>
  <si>
    <t>POS        38 05 JAN</t>
  </si>
  <si>
    <t>POS        35 05 JAN</t>
  </si>
  <si>
    <t>POS        41 05 JAN</t>
  </si>
  <si>
    <t>POS       101 05 JAN</t>
  </si>
  <si>
    <t>POS        43 05 JAN</t>
  </si>
  <si>
    <t>POS        45 05 JAN</t>
  </si>
  <si>
    <t>Cash Dep Branch Campbelltown 41</t>
  </si>
  <si>
    <t>Cash Dep Branch Carnes Hill 35</t>
  </si>
  <si>
    <t>Direct Credit 403697 AMEX GR    29.85 9799779210</t>
  </si>
  <si>
    <t>Direct Credit 403697 AMEX GR    25.00 9799779186</t>
  </si>
  <si>
    <t>POS       304 05 JAN</t>
  </si>
  <si>
    <t>POS        37 05 JAN</t>
  </si>
  <si>
    <t>Store No</t>
  </si>
  <si>
    <t>Sales Date</t>
  </si>
  <si>
    <t>Email Unbanked Store to Sales.Read</t>
  </si>
  <si>
    <t>Hi  Area Manager,</t>
  </si>
  <si>
    <t>Please find the store below that didn't do the daily Routine bank yesterday</t>
  </si>
  <si>
    <t>Suite Boutique Banking (Responses) : Form Responses 1</t>
  </si>
  <si>
    <t>Timestamp</t>
  </si>
  <si>
    <t>Published by Google Sheets–Report Abuse–Updated automatically every 5 minutes</t>
  </si>
  <si>
    <t>POS       103 08 JAN</t>
  </si>
  <si>
    <t>POS        35 08 JAN</t>
  </si>
  <si>
    <t>POS        44 08 JAN</t>
  </si>
  <si>
    <t>POS       101 08 JAN</t>
  </si>
  <si>
    <t>POS        38 08 JAN</t>
  </si>
  <si>
    <t>POS        43 08 JAN</t>
  </si>
  <si>
    <t>POS        45 08 JAN</t>
  </si>
  <si>
    <t>POS        41 08 JAN</t>
  </si>
  <si>
    <t>POS       104 08 JAN</t>
  </si>
  <si>
    <t>POS        43 07 JAN</t>
  </si>
  <si>
    <t>POS       104 07 JAN</t>
  </si>
  <si>
    <t>POS        35 07 JAN</t>
  </si>
  <si>
    <t>POS        45 07 JAN</t>
  </si>
  <si>
    <t>POS       101 07 JAN</t>
  </si>
  <si>
    <t>POS        41 07 JAN</t>
  </si>
  <si>
    <t>POS        38 07 JAN</t>
  </si>
  <si>
    <t>POS        44 07 JAN</t>
  </si>
  <si>
    <t>POS       103 07 JAN</t>
  </si>
  <si>
    <t>CASH DEPOSIT CBA ATM  BANKSTOWN CT B NSW 233402   AUS</t>
  </si>
  <si>
    <t>POS        44 06 JAN</t>
  </si>
  <si>
    <t>POS       104 06 JAN</t>
  </si>
  <si>
    <t>POS        41 06 JAN</t>
  </si>
  <si>
    <t>POS        35 06 JAN</t>
  </si>
  <si>
    <t>POS       103 06 JAN</t>
  </si>
  <si>
    <t>POS       101 06 JAN</t>
  </si>
  <si>
    <t>POS        43 06 JAN</t>
  </si>
  <si>
    <t>POS        38 06 JAN</t>
  </si>
  <si>
    <t>POS        45 06 JAN</t>
  </si>
  <si>
    <t>CASH DEPOSIT CBA ATM  WETHERILL PK B NSW 246802   AUS</t>
  </si>
  <si>
    <t>Cash Dep Branch Bankstown Cntrl</t>
  </si>
  <si>
    <t>POS        37 08 JAN</t>
  </si>
  <si>
    <t>POS       304 08 JAN</t>
  </si>
  <si>
    <t>POS        37 07 JAN</t>
  </si>
  <si>
    <t>POS       304 07 JAN</t>
  </si>
  <si>
    <t>POS       304 06 JAN</t>
  </si>
  <si>
    <t>POS        37 06 JAN</t>
  </si>
  <si>
    <t>left 3</t>
  </si>
  <si>
    <t>mid 5,5</t>
  </si>
  <si>
    <t>POS        35 09 JAN</t>
  </si>
  <si>
    <t>POS        38 09 JAN</t>
  </si>
  <si>
    <t>POS       101 09 JAN</t>
  </si>
  <si>
    <t>POS       104 09 JAN</t>
  </si>
  <si>
    <t>POS        44 09 JAN</t>
  </si>
  <si>
    <t>POS       103 09 JAN</t>
  </si>
  <si>
    <t>POS        41 09 JAN</t>
  </si>
  <si>
    <t>POS        45 09 JAN</t>
  </si>
  <si>
    <t>POS        43 09 JAN</t>
  </si>
  <si>
    <t>CASH DEPOSIT CBA ATM  SL MERRYLAND B NSW 242802   AUS</t>
  </si>
  <si>
    <t>Cash Dep Branch Roselands 104 Remaining from Weds</t>
  </si>
  <si>
    <t>Cash Dep Branch Roselands 104 5/1/17</t>
  </si>
  <si>
    <t>Cash Dep Branch Roselands 104 8/1/17</t>
  </si>
  <si>
    <t>CASH DEPOSIT CBA ATM  S/L GLENDALE A NSW 283601   AUS</t>
  </si>
  <si>
    <t>Direct Credit 403697 AMEX GR    14.95 9799779186</t>
  </si>
  <si>
    <t>POS       304 09 JAN</t>
  </si>
  <si>
    <t>POS        37 09 JAN</t>
  </si>
  <si>
    <t>Store Report Variance</t>
  </si>
  <si>
    <t>POS       103 10 JAN</t>
  </si>
  <si>
    <t>POS        44 10 JAN</t>
  </si>
  <si>
    <t>POS       104 10 JAN</t>
  </si>
  <si>
    <t>POS        38 10 JAN</t>
  </si>
  <si>
    <t>POS        43 10 JAN</t>
  </si>
  <si>
    <t>POS        45 10 JAN</t>
  </si>
  <si>
    <t>POS       101 10 JAN</t>
  </si>
  <si>
    <t>POS        41 10 JAN</t>
  </si>
  <si>
    <t>POS        35 10 JAN</t>
  </si>
  <si>
    <t>POS        37 10 JAN</t>
  </si>
  <si>
    <t>POS       304 10 JAN</t>
  </si>
  <si>
    <t>POS       104 11 JAN</t>
  </si>
  <si>
    <t>POS        38 11 JAN</t>
  </si>
  <si>
    <t>POS       101 11 JAN</t>
  </si>
  <si>
    <t>POS       103 11 JAN</t>
  </si>
  <si>
    <t>POS        35 11 JAN</t>
  </si>
  <si>
    <t>POS        45 11 JAN</t>
  </si>
  <si>
    <t>POS        43 11 JAN</t>
  </si>
  <si>
    <t>POS        41 11 JAN</t>
  </si>
  <si>
    <t>POS        44 11 JAN</t>
  </si>
  <si>
    <t>Cash Dep Branch Roselands</t>
  </si>
  <si>
    <t>POS        37 11 JAN</t>
  </si>
  <si>
    <t>POS       304 11 JAN</t>
  </si>
  <si>
    <t>POS       103 12 JAN</t>
  </si>
  <si>
    <t>POS        35 12 JAN</t>
  </si>
  <si>
    <t>POS        45 12 JAN</t>
  </si>
  <si>
    <t>POS        41 12 JAN</t>
  </si>
  <si>
    <t>POS        43 12 JAN</t>
  </si>
  <si>
    <t>POS       101 12 JAN</t>
  </si>
  <si>
    <t>POS        38 12 JAN</t>
  </si>
  <si>
    <t>POS        44 12 JAN</t>
  </si>
  <si>
    <t>POS       104 12 JAN</t>
  </si>
  <si>
    <t>POS       304 12 JAN</t>
  </si>
  <si>
    <t>POS        37 12 JAN</t>
  </si>
  <si>
    <t>POS        38 15 JAN</t>
  </si>
  <si>
    <t>POS       101 15 JAN</t>
  </si>
  <si>
    <t>POS        45 15 JAN</t>
  </si>
  <si>
    <t>POS        43 15 JAN</t>
  </si>
  <si>
    <t>POS        35 15 JAN</t>
  </si>
  <si>
    <t>POS        41 15 JAN</t>
  </si>
  <si>
    <t>POS       104 15 JAN</t>
  </si>
  <si>
    <t>POS        44 15 JAN</t>
  </si>
  <si>
    <t>POS        38 14 JAN</t>
  </si>
  <si>
    <t>POS        41 14 JAN</t>
  </si>
  <si>
    <t>POS       103 14 JAN</t>
  </si>
  <si>
    <t>POS        44 14 JAN</t>
  </si>
  <si>
    <t>POS        35 14 JAN</t>
  </si>
  <si>
    <t>POS       101 14 JAN</t>
  </si>
  <si>
    <t>POS        43 14 JAN</t>
  </si>
  <si>
    <t>POS        45 14 JAN</t>
  </si>
  <si>
    <t>POS       104 14 JAN</t>
  </si>
  <si>
    <t>CASH DEPOSIT CBA ATM  BANKSTOWN CT A NSW 233401   AUS</t>
  </si>
  <si>
    <t>POS        35 13 JAN</t>
  </si>
  <si>
    <t>POS        45 13 JAN</t>
  </si>
  <si>
    <t>POS        44 13 JAN</t>
  </si>
  <si>
    <t>POS       104 13 JAN</t>
  </si>
  <si>
    <t>POS       101 13 JAN</t>
  </si>
  <si>
    <t>POS        43 13 JAN</t>
  </si>
  <si>
    <t>POS       103 13 JAN</t>
  </si>
  <si>
    <t>POS        41 13 JAN</t>
  </si>
  <si>
    <t>POS        38 13 JAN</t>
  </si>
  <si>
    <t>Cash Dep Branch S'land Merrylands</t>
  </si>
  <si>
    <t>Direct Credit 403697 AMEX GR     9.95 9799779152</t>
  </si>
  <si>
    <t>POS       304 15 JAN</t>
  </si>
  <si>
    <t>POS        37 15 JAN</t>
  </si>
  <si>
    <t>POS       304 14 JAN</t>
  </si>
  <si>
    <t>POS        37 14 JAN</t>
  </si>
  <si>
    <t>POS        37 13 JAN</t>
  </si>
  <si>
    <t>POS       304 13 JAN</t>
  </si>
  <si>
    <t>POS       104 16 JAN</t>
  </si>
  <si>
    <t>POS        35 16 JAN</t>
  </si>
  <si>
    <t>POS        43 16 JAN</t>
  </si>
  <si>
    <t>POS        38 16 JAN</t>
  </si>
  <si>
    <t>POS        45 16 JAN</t>
  </si>
  <si>
    <t>POS        44 16 JAN</t>
  </si>
  <si>
    <t>POS       103 16 JAN</t>
  </si>
  <si>
    <t>POS        41 16 JAN</t>
  </si>
  <si>
    <t>POS       101 16 JAN</t>
  </si>
  <si>
    <t>POS        37 16 JAN</t>
  </si>
  <si>
    <t>POS       304 16 JAN</t>
  </si>
  <si>
    <t>POS        44 17 JAN</t>
  </si>
  <si>
    <t>POS       101 17 JAN</t>
  </si>
  <si>
    <t>POS        41 17 JAN</t>
  </si>
  <si>
    <t>POS       104 17 JAN</t>
  </si>
  <si>
    <t>POS        43 17 JAN</t>
  </si>
  <si>
    <t>POS        45 17 JAN</t>
  </si>
  <si>
    <t>POS       103 17 JAN</t>
  </si>
  <si>
    <t>POS        38 17 JAN</t>
  </si>
  <si>
    <t>POS        35 17 JAN</t>
  </si>
  <si>
    <t>Cash Dep Branch Bankstown Cntrl 103</t>
  </si>
  <si>
    <t>POS       304 17 JAN</t>
  </si>
  <si>
    <t>POS        37 17 JAN</t>
  </si>
  <si>
    <t>EFTPOS Store Variane</t>
  </si>
  <si>
    <t>Cash Dep QuickCash Campbelltown 41</t>
  </si>
  <si>
    <t>POS        35 18 JAN</t>
  </si>
  <si>
    <t>POS        45 18 JAN</t>
  </si>
  <si>
    <t>POS       104 18 JAN</t>
  </si>
  <si>
    <t>POS        41 18 JAN</t>
  </si>
  <si>
    <t>POS        38 18 JAN</t>
  </si>
  <si>
    <t>POS        44 18 JAN</t>
  </si>
  <si>
    <t>POS       103 18 JAN</t>
  </si>
  <si>
    <t>POS       101 18 JAN</t>
  </si>
  <si>
    <t>POS        43 18 JAN</t>
  </si>
  <si>
    <t>POS       304 18 JAN</t>
  </si>
  <si>
    <t>POS        37 18 JAN</t>
  </si>
  <si>
    <t>POS       103 19 JAN</t>
  </si>
  <si>
    <t>POS       101 19 JAN</t>
  </si>
  <si>
    <t>POS        45 19 JAN</t>
  </si>
  <si>
    <t>POS        44 19 JAN</t>
  </si>
  <si>
    <t>POS        38 19 JAN</t>
  </si>
  <si>
    <t>POS        41 19 JAN</t>
  </si>
  <si>
    <t>POS       104 19 JAN</t>
  </si>
  <si>
    <t>POS        35 19 JAN</t>
  </si>
  <si>
    <t>POS        43 19 JAN</t>
  </si>
  <si>
    <t>POS       304 19 JAN</t>
  </si>
  <si>
    <t>POS        37 19 JAN</t>
  </si>
  <si>
    <t>CASH DEPOSIT CBA ATM  BROADMEADOWS A VIC 362001   AUS 201</t>
  </si>
  <si>
    <t>POS        45 23 JAN</t>
  </si>
  <si>
    <t>POS       103 23 JAN</t>
  </si>
  <si>
    <t>POS       101 23 JAN</t>
  </si>
  <si>
    <t>POS        35 23 JAN</t>
  </si>
  <si>
    <t>POS        41 23 JAN</t>
  </si>
  <si>
    <t>POS        38 23 JAN</t>
  </si>
  <si>
    <t>POS        44 23 JAN</t>
  </si>
  <si>
    <t>POS        43 23 JAN</t>
  </si>
  <si>
    <t>POS       101 22 JAN</t>
  </si>
  <si>
    <t>POS       103 22 JAN</t>
  </si>
  <si>
    <t>POS        38 22 JAN</t>
  </si>
  <si>
    <t>POS        35 22 JAN</t>
  </si>
  <si>
    <t>POS        45 22 JAN</t>
  </si>
  <si>
    <t>POS        43 22 JAN</t>
  </si>
  <si>
    <t>POS        41 22 JAN</t>
  </si>
  <si>
    <t>POS        44 22 JAN</t>
  </si>
  <si>
    <t>POS        44 21 JAN</t>
  </si>
  <si>
    <t>POS        41 21 JAN</t>
  </si>
  <si>
    <t>POS       103 21 JAN</t>
  </si>
  <si>
    <t>POS        43 21 JAN</t>
  </si>
  <si>
    <t>POS        45 21 JAN</t>
  </si>
  <si>
    <t>POS        35 21 JAN</t>
  </si>
  <si>
    <t>POS       101 21 JAN</t>
  </si>
  <si>
    <t>POS        38 21 JAN</t>
  </si>
  <si>
    <t>POS        35 20 JAN</t>
  </si>
  <si>
    <t>POS        44 20 JAN</t>
  </si>
  <si>
    <t>POS        45 20 JAN</t>
  </si>
  <si>
    <t>POS       103 20 JAN</t>
  </si>
  <si>
    <t>POS       101 20 JAN</t>
  </si>
  <si>
    <t>POS        41 20 JAN</t>
  </si>
  <si>
    <t>POS        43 20 JAN</t>
  </si>
  <si>
    <t>POS        38 20 JAN</t>
  </si>
  <si>
    <t>POS        37 23 JAN</t>
  </si>
  <si>
    <t>POS       304 23 JAN</t>
  </si>
  <si>
    <t>POS        37 22 JAN</t>
  </si>
  <si>
    <t>POS       304 22 JAN</t>
  </si>
  <si>
    <t>POS        37 21 JAN</t>
  </si>
  <si>
    <t>POS       304 21 JAN</t>
  </si>
  <si>
    <t>POS       304 20 JAN</t>
  </si>
  <si>
    <t>POS        37 20 JAN</t>
  </si>
  <si>
    <t>POS        35 24 JAN</t>
  </si>
  <si>
    <t>POS        44 24 JAN</t>
  </si>
  <si>
    <t>POS        41 24 JAN</t>
  </si>
  <si>
    <t>POS        45 24 JAN</t>
  </si>
  <si>
    <t>POS       103 24 JAN</t>
  </si>
  <si>
    <t>POS       101 24 JAN</t>
  </si>
  <si>
    <t>POS        43 24 JAN</t>
  </si>
  <si>
    <t>POS        38 24 JAN</t>
  </si>
  <si>
    <t>Direct Credit 403697 AMEX GR    44.95 9799779152</t>
  </si>
  <si>
    <t>POS       304 24 JAN</t>
  </si>
  <si>
    <t>POS        37 24 JAN</t>
  </si>
  <si>
    <t>POS        38 26 JAN</t>
  </si>
  <si>
    <t>POS        44 25 JAN</t>
  </si>
  <si>
    <t>POS        38 25 JAN</t>
  </si>
  <si>
    <t>POS       101 25 JAN</t>
  </si>
  <si>
    <t>POS        45 25 JAN</t>
  </si>
  <si>
    <t>POS        35 25 JAN</t>
  </si>
  <si>
    <t>POS        41 25 JAN</t>
  </si>
  <si>
    <t>POS       103 25 JAN</t>
  </si>
  <si>
    <t>POS        43 25 JAN</t>
  </si>
  <si>
    <t>Direct Credit 403697 AMEX GR    14.95 9799779210</t>
  </si>
  <si>
    <t>POS        37 26 JAN</t>
  </si>
  <si>
    <t>POS       304 25 JAN</t>
  </si>
  <si>
    <t>POS        37 25 JAN</t>
  </si>
  <si>
    <t>POS        44 29 JAN</t>
  </si>
  <si>
    <t>POS       103 29 JAN</t>
  </si>
  <si>
    <t>POS       101 29 JAN</t>
  </si>
  <si>
    <t>POS        43 29 JAN</t>
  </si>
  <si>
    <t>POS        35 29 JAN</t>
  </si>
  <si>
    <t>POS        45 29 JAN</t>
  </si>
  <si>
    <t>POS        41 29 JAN</t>
  </si>
  <si>
    <t>POS        38 29 JAN</t>
  </si>
  <si>
    <t>POS        38 28 JAN</t>
  </si>
  <si>
    <t>POS        44 28 JAN</t>
  </si>
  <si>
    <t>POS        45 28 JAN</t>
  </si>
  <si>
    <t>POS       101 28 JAN</t>
  </si>
  <si>
    <t>POS        35 28 JAN</t>
  </si>
  <si>
    <t>POS       103 28 JAN</t>
  </si>
  <si>
    <t>POS        41 28 JAN</t>
  </si>
  <si>
    <t>POS        43 28 JAN</t>
  </si>
  <si>
    <t>POS        44 27 JAN</t>
  </si>
  <si>
    <t>POS        41 27 JAN</t>
  </si>
  <si>
    <t>POS        35 27 JAN</t>
  </si>
  <si>
    <t>POS       103 27 JAN</t>
  </si>
  <si>
    <t>POS        38 27 JAN</t>
  </si>
  <si>
    <t>POS       101 27 JAN</t>
  </si>
  <si>
    <t>POS        43 27 JAN</t>
  </si>
  <si>
    <t>Cash Dep QuickCash Bankstown Cntrl</t>
  </si>
  <si>
    <t>POS       304 29 JAN</t>
  </si>
  <si>
    <t>POS        37 29 JAN</t>
  </si>
  <si>
    <t>POS       304 28 JAN</t>
  </si>
  <si>
    <t>POS        37 28 JAN</t>
  </si>
  <si>
    <t>POS       304 27 JAN</t>
  </si>
  <si>
    <t>POS        37 27 JAN</t>
  </si>
  <si>
    <t>NABATM DEP 27th15:01FAIRFIELD FORUM 100</t>
  </si>
  <si>
    <t>POS        38 30 JAN</t>
  </si>
  <si>
    <t>POS        45 30 JAN</t>
  </si>
  <si>
    <t>POS        41 30 JAN</t>
  </si>
  <si>
    <t>POS        35 30 JAN</t>
  </si>
  <si>
    <t>POS        44 30 JAN</t>
  </si>
  <si>
    <t>POS        43 30 JAN</t>
  </si>
  <si>
    <t>POS       101 30 JAN</t>
  </si>
  <si>
    <t>POS       103 30 JAN</t>
  </si>
  <si>
    <t>Direct Credit 403697 AMEX GR    70.00 9799779210</t>
  </si>
  <si>
    <t>Direct Credit 403697 AMEX GR    20.00 9799779210</t>
  </si>
  <si>
    <t>POS        37 30 JAN</t>
  </si>
  <si>
    <t>POS       304 30 JAN</t>
  </si>
  <si>
    <t>POS        45 31 JAN</t>
  </si>
  <si>
    <t>POS        35 31 JAN</t>
  </si>
  <si>
    <t>POS       101 31 JAN</t>
  </si>
  <si>
    <t>POS        38 31 JAN</t>
  </si>
  <si>
    <t>POS        43 31 JAN</t>
  </si>
  <si>
    <t>POS        41 31 JAN</t>
  </si>
  <si>
    <t>POS       103 31 JAN</t>
  </si>
  <si>
    <t>POS        44 31 JAN</t>
  </si>
  <si>
    <t>Cash Dep Branch Mc Campbelltown 43</t>
  </si>
  <si>
    <t>POS       304 31 JAN</t>
  </si>
  <si>
    <t>POS        37 31 JAN</t>
  </si>
  <si>
    <t>POS       103 01 FEB</t>
  </si>
  <si>
    <t>POS        44 01 FEB</t>
  </si>
  <si>
    <t>POS        35 01 FEB</t>
  </si>
  <si>
    <t>POS        41 01 FEB</t>
  </si>
  <si>
    <t>POS        45 01 FEB</t>
  </si>
  <si>
    <t>POS        38 01 FEB</t>
  </si>
  <si>
    <t>POS       101 01 FEB</t>
  </si>
  <si>
    <t>POS        43 01 FEB</t>
  </si>
  <si>
    <t>Cash Dep Branch Fairfield</t>
  </si>
  <si>
    <t>POS        37 01 FEB</t>
  </si>
  <si>
    <t>POS       304 01 FEB</t>
  </si>
  <si>
    <t>Direct Credit 403697 AMEX GR    19.95 21</t>
  </si>
  <si>
    <t>POS        45 02 FEB</t>
  </si>
  <si>
    <t>POS        41 02 FEB</t>
  </si>
  <si>
    <t>POS        44 02 FEB</t>
  </si>
  <si>
    <t>POS        43 02 FEB</t>
  </si>
  <si>
    <t>POS        38 02 FEB</t>
  </si>
  <si>
    <t>POS       101 02 FEB</t>
  </si>
  <si>
    <t>POS        35 02 FEB</t>
  </si>
  <si>
    <t>POS       103 02 FEB</t>
  </si>
  <si>
    <t>Cash Dep Branch Campbelltown 41 041</t>
  </si>
  <si>
    <t>POS       304 02 FEB</t>
  </si>
  <si>
    <t>POS        37 02 FEB</t>
  </si>
  <si>
    <t>POS       101 05 FEB</t>
  </si>
  <si>
    <t>POS        41 05 FEB</t>
  </si>
  <si>
    <t>POS        43 05 FEB</t>
  </si>
  <si>
    <t>POS        35 05 FEB</t>
  </si>
  <si>
    <t>POS        38 05 FEB</t>
  </si>
  <si>
    <t>POS       103 05 FEB</t>
  </si>
  <si>
    <t>POS        45 05 FEB</t>
  </si>
  <si>
    <t>POS        44 05 FEB</t>
  </si>
  <si>
    <t>POS       103 04 FEB</t>
  </si>
  <si>
    <t>POS        38 04 FEB</t>
  </si>
  <si>
    <t>POS        43 04 FEB</t>
  </si>
  <si>
    <t>POS        35 04 FEB</t>
  </si>
  <si>
    <t>POS        45 04 FEB</t>
  </si>
  <si>
    <t>POS       101 04 FEB</t>
  </si>
  <si>
    <t>POS        41 04 FEB</t>
  </si>
  <si>
    <t>POS        44 04 FEB</t>
  </si>
  <si>
    <t>POS        38 03 FEB</t>
  </si>
  <si>
    <t>POS        41 03 FEB</t>
  </si>
  <si>
    <t>POS        35 03 FEB</t>
  </si>
  <si>
    <t>POS       101 03 FEB</t>
  </si>
  <si>
    <t>POS       103 03 FEB</t>
  </si>
  <si>
    <t>POS        44 03 FEB</t>
  </si>
  <si>
    <t>POS        45 03 FEB</t>
  </si>
  <si>
    <t>POS        43 03 FEB</t>
  </si>
  <si>
    <t>Cash Dep Branch Campbelltown 41 201</t>
  </si>
  <si>
    <t>POS        37 05 FEB</t>
  </si>
  <si>
    <t>POS       304 05 FEB</t>
  </si>
  <si>
    <t>POS        37 04 FEB</t>
  </si>
  <si>
    <t>POS       304 04 FEB</t>
  </si>
  <si>
    <t>POS        37 03 FEB</t>
  </si>
  <si>
    <t>POS       304 03 FEB</t>
  </si>
  <si>
    <t>POS        38 06 FEB</t>
  </si>
  <si>
    <t>POS        45 06 FEB</t>
  </si>
  <si>
    <t>POS        41 06 FEB</t>
  </si>
  <si>
    <t>POS        35 06 FEB</t>
  </si>
  <si>
    <t>POS        44 06 FEB</t>
  </si>
  <si>
    <t>POS        43 06 FEB</t>
  </si>
  <si>
    <t>POS       103 06 FEB</t>
  </si>
  <si>
    <t>POS       101 06 FEB</t>
  </si>
  <si>
    <t>Direct Credit 403697 AMEX GR    35.00 9799779210</t>
  </si>
  <si>
    <t>POS       304 06 FEB</t>
  </si>
  <si>
    <t>POS        37 06 FEB</t>
  </si>
  <si>
    <t>Candy take the cash from 043</t>
  </si>
  <si>
    <t>POS       101 07 FEB</t>
  </si>
  <si>
    <t>POS        43 07 FEB</t>
  </si>
  <si>
    <t>POS       103 07 FEB</t>
  </si>
  <si>
    <t>POS        41 07 FEB</t>
  </si>
  <si>
    <t>POS        38 07 FEB</t>
  </si>
  <si>
    <t>POS        35 07 FEB</t>
  </si>
  <si>
    <t>POS        45 07 FEB</t>
  </si>
  <si>
    <t>POS        44 07 FEB</t>
  </si>
  <si>
    <t>Cash Dep QuickCash Wetherill Park</t>
  </si>
  <si>
    <t>Cash Dep Branch Campbelltown 43</t>
  </si>
  <si>
    <t>POS        37 07 FEB</t>
  </si>
  <si>
    <t>POS       304 07 FEB</t>
  </si>
  <si>
    <t>POS       103 08 FEB</t>
  </si>
  <si>
    <t>POS        43 08 FEB</t>
  </si>
  <si>
    <t>POS        41 08 FEB</t>
  </si>
  <si>
    <t>POS        44 08 FEB</t>
  </si>
  <si>
    <t>POS        45 08 FEB</t>
  </si>
  <si>
    <t>POS       101 08 FEB</t>
  </si>
  <si>
    <t>POS        35 08 FEB</t>
  </si>
  <si>
    <t>POS        38 08 FEB</t>
  </si>
  <si>
    <t>Cash Dep Branch Bonnyrigg 43</t>
  </si>
  <si>
    <t>POS        37 08 FEB</t>
  </si>
  <si>
    <t>POS       304 08 FEB</t>
  </si>
  <si>
    <t>POS       101 09 FEB</t>
  </si>
  <si>
    <t>POS        43 09 FEB</t>
  </si>
  <si>
    <t>POS        41 09 FEB</t>
  </si>
  <si>
    <t>POS        38 09 FEB</t>
  </si>
  <si>
    <t>POS       103 09 FEB</t>
  </si>
  <si>
    <t>POS        35 09 FEB</t>
  </si>
  <si>
    <t>POS        45 09 FEB</t>
  </si>
  <si>
    <t>POS        44 09 FEB</t>
  </si>
  <si>
    <t>POS  21479800 09 FEB</t>
  </si>
  <si>
    <t>POS       304 09 FEB</t>
  </si>
  <si>
    <t>POS        37 09 FEB</t>
  </si>
  <si>
    <t>POS        38 12 FEB</t>
  </si>
  <si>
    <t>POS        43 12 FEB</t>
  </si>
  <si>
    <t>POS       101 12 FEB</t>
  </si>
  <si>
    <t>POS        44 12 FEB</t>
  </si>
  <si>
    <t>POS        45 12 FEB</t>
  </si>
  <si>
    <t>POS       103 12 FEB</t>
  </si>
  <si>
    <t>POS        41 12 FEB</t>
  </si>
  <si>
    <t>POS        35 12 FEB</t>
  </si>
  <si>
    <t>POS        43 11 FEB</t>
  </si>
  <si>
    <t>POS       101 11 FEB</t>
  </si>
  <si>
    <t>POS        35 11 FEB</t>
  </si>
  <si>
    <t>POS        44 11 FEB</t>
  </si>
  <si>
    <t>POS       103 11 FEB</t>
  </si>
  <si>
    <t>POS        38 11 FEB</t>
  </si>
  <si>
    <t>POS        45 11 FEB</t>
  </si>
  <si>
    <t>POS        41 11 FEB</t>
  </si>
  <si>
    <t>POS        43 10 FEB</t>
  </si>
  <si>
    <t>POS       101 10 FEB</t>
  </si>
  <si>
    <t>POS        45 10 FEB</t>
  </si>
  <si>
    <t>POS        41 10 FEB</t>
  </si>
  <si>
    <t>POS        35 10 FEB</t>
  </si>
  <si>
    <t>POS        38 10 FEB</t>
  </si>
  <si>
    <t>POS        44 10 FEB</t>
  </si>
  <si>
    <t>POS       103 10 FEB</t>
  </si>
  <si>
    <t>Cash Dep Branch Baulkham Hills</t>
  </si>
  <si>
    <t>POS       304 12 FEB</t>
  </si>
  <si>
    <t>POS        37 12 FEB</t>
  </si>
  <si>
    <t>POS       304 11 FEB</t>
  </si>
  <si>
    <t>POS        37 11 FEB</t>
  </si>
  <si>
    <t>POS       304 10 FEB</t>
  </si>
  <si>
    <t>POS        37 10 FEB</t>
  </si>
  <si>
    <t>POS       101 13 FEB</t>
  </si>
  <si>
    <t>POS        43 13 FEB</t>
  </si>
  <si>
    <t>POS        41 13 FEB</t>
  </si>
  <si>
    <t>POS       103 13 FEB</t>
  </si>
  <si>
    <t>POS        44 13 FEB</t>
  </si>
  <si>
    <t>POS        45 13 FEB</t>
  </si>
  <si>
    <t>POS        38 13 FEB</t>
  </si>
  <si>
    <t>POS        35 13 FEB</t>
  </si>
  <si>
    <t>Direct Credit 403697 AMEX GR    44.98 9799779210</t>
  </si>
  <si>
    <t>Direct Credit 403697 AMEX GR   247.35 9799779210</t>
  </si>
  <si>
    <t>POS       304 13 FEB</t>
  </si>
  <si>
    <t>POS        37 13 FEB</t>
  </si>
  <si>
    <t>Cash Dep Branch Stklnd Glendale 373</t>
  </si>
  <si>
    <t>POS        41 14 FEB</t>
  </si>
  <si>
    <t>POS        45 14 FEB</t>
  </si>
  <si>
    <t>POS       101 14 FEB</t>
  </si>
  <si>
    <t>POS        38 14 FEB</t>
  </si>
  <si>
    <t>POS       103 14 FEB</t>
  </si>
  <si>
    <t>POS        43 14 FEB</t>
  </si>
  <si>
    <t>POS        35 14 FEB</t>
  </si>
  <si>
    <t>POS        44 14 FEB</t>
  </si>
  <si>
    <t>POS       304 14 FEB</t>
  </si>
  <si>
    <t>POS        37 14 FEB</t>
  </si>
  <si>
    <t>POS       101 15 FEB</t>
  </si>
  <si>
    <t>POS        41 15 FEB</t>
  </si>
  <si>
    <t>POS        45 15 FEB</t>
  </si>
  <si>
    <t>POS       103 15 FEB</t>
  </si>
  <si>
    <t>POS        35 15 FEB</t>
  </si>
  <si>
    <t>POS        44 15 FEB</t>
  </si>
  <si>
    <t>POS        38 15 FEB</t>
  </si>
  <si>
    <t>POS        43 15 FEB</t>
  </si>
  <si>
    <t>POS       304 15 FEB</t>
  </si>
  <si>
    <t>POS        37 15 FEB</t>
  </si>
  <si>
    <t>POS       101 16 FEB</t>
  </si>
  <si>
    <t>POS        41 16 FEB</t>
  </si>
  <si>
    <t>POS       103 16 FEB</t>
  </si>
  <si>
    <t>POS        45 16 FEB</t>
  </si>
  <si>
    <t>POS        35 16 FEB</t>
  </si>
  <si>
    <t>POS        38 16 FEB</t>
  </si>
  <si>
    <t>POS        44 16 FEB</t>
  </si>
  <si>
    <t>POS        37 16 FEB</t>
  </si>
  <si>
    <t>POS       304 16 FEB</t>
  </si>
  <si>
    <t>Cash Dep Branch Broadmeadows 2013</t>
  </si>
  <si>
    <t>POS        35 19 FEB</t>
  </si>
  <si>
    <t>POS        45 19 FEB</t>
  </si>
  <si>
    <t>POS       103 19 FEB</t>
  </si>
  <si>
    <t>POS        41 19 FEB</t>
  </si>
  <si>
    <t>POS        38 19 FEB</t>
  </si>
  <si>
    <t>POS        44 19 FEB</t>
  </si>
  <si>
    <t>POS        43 19 FEB</t>
  </si>
  <si>
    <t>POS       101 19 FEB</t>
  </si>
  <si>
    <t>POS        41 18 FEB</t>
  </si>
  <si>
    <t>POS       103 18 FEB</t>
  </si>
  <si>
    <t>POS       101 18 FEB</t>
  </si>
  <si>
    <t>POS        35 18 FEB</t>
  </si>
  <si>
    <t>POS        45 18 FEB</t>
  </si>
  <si>
    <t>POS        44 18 FEB</t>
  </si>
  <si>
    <t>POS        38 18 FEB</t>
  </si>
  <si>
    <t>POS        43 18 FEB</t>
  </si>
  <si>
    <t>POS        41 17 FEB</t>
  </si>
  <si>
    <t>POS        35 17 FEB</t>
  </si>
  <si>
    <t>POS        38 17 FEB</t>
  </si>
  <si>
    <t>POS        44 17 FEB</t>
  </si>
  <si>
    <t>POS       103 17 FEB</t>
  </si>
  <si>
    <t>POS        45 17 FEB</t>
  </si>
  <si>
    <t>POS        43 17 FEB</t>
  </si>
  <si>
    <t>POS       101 17 FEB</t>
  </si>
  <si>
    <t>POS        37 19 FEB</t>
  </si>
  <si>
    <t>POS       304 19 FEB</t>
  </si>
  <si>
    <t>POS        37 18 FEB</t>
  </si>
  <si>
    <t>POS       304 18 FEB</t>
  </si>
  <si>
    <t>POS        37 17 FEB</t>
  </si>
  <si>
    <t>POS       304 17 FEB</t>
  </si>
  <si>
    <t>POS        35 20 FEB</t>
  </si>
  <si>
    <t>POS        38 20 FEB</t>
  </si>
  <si>
    <t>POS       103 20 FEB</t>
  </si>
  <si>
    <t>POS       101 20 FEB</t>
  </si>
  <si>
    <t>POS        45 20 FEB</t>
  </si>
  <si>
    <t>POS        44 20 FEB</t>
  </si>
  <si>
    <t>POS        43 20 FEB</t>
  </si>
  <si>
    <t>Direct Credit 403697 AMEX GR    40.00 9799779210</t>
  </si>
  <si>
    <t>Direct Credit 403697 AMEX GR    40.00 9799779152</t>
  </si>
  <si>
    <t>POS       304 20 FEB</t>
  </si>
  <si>
    <t>POS        37 20 FEB</t>
  </si>
  <si>
    <t>POS        43 21 FEB</t>
  </si>
  <si>
    <t>POS        45 21 FEB</t>
  </si>
  <si>
    <t>POS        44 21 FEB</t>
  </si>
  <si>
    <t>POS        35 21 FEB</t>
  </si>
  <si>
    <t>POS       103 21 FEB</t>
  </si>
  <si>
    <t>POS       101 21 FEB</t>
  </si>
  <si>
    <t>POS        38 21 FEB</t>
  </si>
  <si>
    <t>POS        41 21 FEB</t>
  </si>
  <si>
    <t>POS        37 21 FEB</t>
  </si>
  <si>
    <t>POS       304 21 FEB</t>
  </si>
  <si>
    <t>DEPOSIT BROADMEADOWS VIC</t>
  </si>
  <si>
    <t>POS       103 22 FEB</t>
  </si>
  <si>
    <t>POS        38 22 FEB</t>
  </si>
  <si>
    <t>POS        45 22 FEB</t>
  </si>
  <si>
    <t>POS        44 22 FEB</t>
  </si>
  <si>
    <t>POS        35 22 FEB</t>
  </si>
  <si>
    <t>POS        41 22 FEB</t>
  </si>
  <si>
    <t>POS        43 22 FEB</t>
  </si>
  <si>
    <t>POS       101 22 FEB</t>
  </si>
  <si>
    <t>POS       304 22 FEB</t>
  </si>
  <si>
    <t>POS        37 22 FEB</t>
  </si>
  <si>
    <t>Direct Credit 403697 AMEX GR    20.00 9799778121</t>
  </si>
  <si>
    <t>POS       103 23 FEB</t>
  </si>
  <si>
    <t>POS        44 23 FEB</t>
  </si>
  <si>
    <t>POS        45 23 FEB</t>
  </si>
  <si>
    <t>POS        38 23 FEB</t>
  </si>
  <si>
    <t>POS        43 23 FEB</t>
  </si>
  <si>
    <t>POS        41 23 FEB</t>
  </si>
  <si>
    <t>POS       101 23 FEB</t>
  </si>
  <si>
    <t>POS        35 23 FEB</t>
  </si>
  <si>
    <t>POS       304 23 FEB</t>
  </si>
  <si>
    <t>POS        37 23 FEB</t>
  </si>
  <si>
    <t>POS       103 26 FEB</t>
  </si>
  <si>
    <t>POS        35 26 FEB</t>
  </si>
  <si>
    <t>POS       101 26 FEB</t>
  </si>
  <si>
    <t>POS        41 26 FEB</t>
  </si>
  <si>
    <t>POS        43 26 FEB</t>
  </si>
  <si>
    <t>POS        38 26 FEB</t>
  </si>
  <si>
    <t>POS        44 26 FEB</t>
  </si>
  <si>
    <t>POS        43 25 FEB</t>
  </si>
  <si>
    <t>POS        38 25 FEB</t>
  </si>
  <si>
    <t>POS       101 25 FEB</t>
  </si>
  <si>
    <t>POS        44 25 FEB</t>
  </si>
  <si>
    <t>POS        41 25 FEB</t>
  </si>
  <si>
    <t>POS        35 25 FEB</t>
  </si>
  <si>
    <t>POS       103 25 FEB</t>
  </si>
  <si>
    <t>POS       103 24 FEB</t>
  </si>
  <si>
    <t>POS        38 24 FEB</t>
  </si>
  <si>
    <t>POS        43 24 FEB</t>
  </si>
  <si>
    <t>POS        45 24 FEB</t>
  </si>
  <si>
    <t>POS        41 24 FEB</t>
  </si>
  <si>
    <t>POS        44 24 FEB</t>
  </si>
  <si>
    <t>POS        35 24 FEB</t>
  </si>
  <si>
    <t>POS       101 24 FEB</t>
  </si>
  <si>
    <t>POS        37 26 FEB</t>
  </si>
  <si>
    <t>POS       304 26 FEB</t>
  </si>
  <si>
    <t>POS       304 25 FEB</t>
  </si>
  <si>
    <t>POS        37 25 FEB</t>
  </si>
  <si>
    <t>POS       304 24 FEB</t>
  </si>
  <si>
    <t>POS        37 24 FEB</t>
  </si>
  <si>
    <t>POS        41 01 MAR</t>
  </si>
  <si>
    <t>POS       103 01 MAR</t>
  </si>
  <si>
    <t>POS        35 01 MAR</t>
  </si>
  <si>
    <t>POS        44 01 MAR</t>
  </si>
  <si>
    <t>POS        43 01 MAR</t>
  </si>
  <si>
    <t>POS        38 01 MAR</t>
  </si>
  <si>
    <t>POS       101 01 MAR</t>
  </si>
  <si>
    <t>POS        43 28 FEB</t>
  </si>
  <si>
    <t>POS        44 28 FEB</t>
  </si>
  <si>
    <t>POS       101 28 FEB</t>
  </si>
  <si>
    <t>POS        41 28 FEB</t>
  </si>
  <si>
    <t>POS       103 28 FEB</t>
  </si>
  <si>
    <t>POS        35 28 FEB</t>
  </si>
  <si>
    <t>POS        38 28 FEB</t>
  </si>
  <si>
    <t>POS       103 27 FEB</t>
  </si>
  <si>
    <t>POS        38 27 FEB</t>
  </si>
  <si>
    <t>POS        35 27 FEB</t>
  </si>
  <si>
    <t>POS        43 27 FEB</t>
  </si>
  <si>
    <t>POS       101 27 FEB</t>
  </si>
  <si>
    <t>POS        41 27 FEB</t>
  </si>
  <si>
    <t>POS        44 27 FEB</t>
  </si>
  <si>
    <t>Direct Credit 403697 AMEX GR    10.00 9799779210</t>
  </si>
  <si>
    <t>POS       304 01 MAR</t>
  </si>
  <si>
    <t>POS        37 01 MAR</t>
  </si>
  <si>
    <t>POS       304 28 FEB</t>
  </si>
  <si>
    <t>POS        37 28 FEB</t>
  </si>
  <si>
    <t>Direct Credit 403697 AMEX GR    10.00 21</t>
  </si>
  <si>
    <t>POS       304 27 FEB</t>
  </si>
  <si>
    <t>POS        37 27 FEB</t>
  </si>
  <si>
    <t>Direct Credit 403697 AMEX GR    50.00 21</t>
  </si>
  <si>
    <t>POS       103 02 MAR</t>
  </si>
  <si>
    <t>POS        44 02 MAR</t>
  </si>
  <si>
    <t>POS        38 02 MAR</t>
  </si>
  <si>
    <t>POS        41 02 MAR</t>
  </si>
  <si>
    <t>POS        35 02 MAR</t>
  </si>
  <si>
    <t>POS       101 02 MAR</t>
  </si>
  <si>
    <t>POS        43 02 MAR</t>
  </si>
  <si>
    <t>POS       304 02 MAR</t>
  </si>
  <si>
    <t>POS        37 02 MAR</t>
  </si>
  <si>
    <t>Direct Credit 403697 AMEX GR    50.00 9799778121</t>
  </si>
  <si>
    <t>POS        41 05 MAR</t>
  </si>
  <si>
    <t>POS       101 05 MAR</t>
  </si>
  <si>
    <t>POS        44 05 MAR</t>
  </si>
  <si>
    <t>POS        38 05 MAR</t>
  </si>
  <si>
    <t>POS       103 05 MAR</t>
  </si>
  <si>
    <t>POS        43 05 MAR</t>
  </si>
  <si>
    <t>POS        35 04 MAR</t>
  </si>
  <si>
    <t>POS       103 04 MAR</t>
  </si>
  <si>
    <t>POS        44 04 MAR</t>
  </si>
  <si>
    <t>POS        43 04 MAR</t>
  </si>
  <si>
    <t>POS        38 04 MAR</t>
  </si>
  <si>
    <t>POS       101 04 MAR</t>
  </si>
  <si>
    <t>POS        41 04 MAR</t>
  </si>
  <si>
    <t>POS        35 03 MAR</t>
  </si>
  <si>
    <t>POS        38 03 MAR</t>
  </si>
  <si>
    <t>POS       101 03 MAR</t>
  </si>
  <si>
    <t>POS       103 03 MAR</t>
  </si>
  <si>
    <t>POS        44 03 MAR</t>
  </si>
  <si>
    <t>POS        43 03 MAR</t>
  </si>
  <si>
    <t>POS        41 03 MAR</t>
  </si>
  <si>
    <t>POS       304 05 MAR</t>
  </si>
  <si>
    <t>POS        37 05 MAR</t>
  </si>
  <si>
    <t>POS       304 04 MAR</t>
  </si>
  <si>
    <t>POS        37 04 MAR</t>
  </si>
  <si>
    <t>POS        37 03 MAR</t>
  </si>
  <si>
    <t>POS       304 03 MAR</t>
  </si>
  <si>
    <t>Direct Credit 403697 AMEX GR    10.00 9799778121</t>
  </si>
  <si>
    <t>POS       101 06 MAR</t>
  </si>
  <si>
    <t>POS        38 06 MAR</t>
  </si>
  <si>
    <t>POS       103 06 MAR</t>
  </si>
  <si>
    <t>POS        35 06 MAR</t>
  </si>
  <si>
    <t>POS        41 06 MAR</t>
  </si>
  <si>
    <t>POS        44 06 MAR</t>
  </si>
  <si>
    <t>POS        43 06 MAR</t>
  </si>
  <si>
    <t>Direct Credit 403697 AMEX GR    15.00 9799779186</t>
  </si>
  <si>
    <t>POS       304 06 MAR</t>
  </si>
  <si>
    <t>POS        37 06 MAR</t>
  </si>
  <si>
    <t>POS        38 07 MAR</t>
  </si>
  <si>
    <t>POS       101 07 MAR</t>
  </si>
  <si>
    <t>POS        35 07 MAR</t>
  </si>
  <si>
    <t>POS        43 07 MAR</t>
  </si>
  <si>
    <t>POS        44 07 MAR</t>
  </si>
  <si>
    <t>POS        41 07 MAR</t>
  </si>
  <si>
    <t>POS       103 07 MAR</t>
  </si>
  <si>
    <t>POS        37 07 MAR</t>
  </si>
  <si>
    <t>POS       304 07 MAR</t>
  </si>
  <si>
    <t>POS        44 08 MAR</t>
  </si>
  <si>
    <t>POS       103 08 MAR</t>
  </si>
  <si>
    <t>POS        43 08 MAR</t>
  </si>
  <si>
    <t>POS       101 08 MAR</t>
  </si>
  <si>
    <t>POS        35 08 MAR</t>
  </si>
  <si>
    <t>POS        41 08 MAR</t>
  </si>
  <si>
    <t>POS        38 08 MAR</t>
  </si>
  <si>
    <t>POS        37 08 MAR</t>
  </si>
  <si>
    <t>POS       304 08 MAR</t>
  </si>
  <si>
    <t>POS       103 09 MAR</t>
  </si>
  <si>
    <t>POS        44 09 MAR</t>
  </si>
  <si>
    <t>POS        41 09 MAR</t>
  </si>
  <si>
    <t>POS        38 09 MAR</t>
  </si>
  <si>
    <t>POS        43 09 MAR</t>
  </si>
  <si>
    <t>POS       101 09 MAR</t>
  </si>
  <si>
    <t>POS        35 09 MAR</t>
  </si>
  <si>
    <t>POS        37 09 MAR</t>
  </si>
  <si>
    <t>POS       304 09 MAR</t>
  </si>
  <si>
    <t>POS       101 12 MAR</t>
  </si>
  <si>
    <t>POS        35 12 MAR</t>
  </si>
  <si>
    <t>POS       103 12 MAR</t>
  </si>
  <si>
    <t>POS        41 12 MAR</t>
  </si>
  <si>
    <t>POS        44 12 MAR</t>
  </si>
  <si>
    <t>POS        43 12 MAR</t>
  </si>
  <si>
    <t>POS        38 12 MAR</t>
  </si>
  <si>
    <t>POS       101 11 MAR</t>
  </si>
  <si>
    <t>POS       103 11 MAR</t>
  </si>
  <si>
    <t>POS        43 11 MAR</t>
  </si>
  <si>
    <t>POS        41 11 MAR</t>
  </si>
  <si>
    <t>POS        44 11 MAR</t>
  </si>
  <si>
    <t>POS        38 11 MAR</t>
  </si>
  <si>
    <t>POS        35 11 MAR</t>
  </si>
  <si>
    <t>POS        35 10 MAR</t>
  </si>
  <si>
    <t>POS       101 10 MAR</t>
  </si>
  <si>
    <t>POS        38 10 MAR</t>
  </si>
  <si>
    <t>POS        43 10 MAR</t>
  </si>
  <si>
    <t>POS        44 10 MAR</t>
  </si>
  <si>
    <t>POS       103 10 MAR</t>
  </si>
  <si>
    <t>POS        41 10 MAR</t>
  </si>
  <si>
    <t>Direct Credit 403697 AMEX GR    15.00 9799779210</t>
  </si>
  <si>
    <t>POS       304 12 MAR</t>
  </si>
  <si>
    <t>POS        37 12 MAR</t>
  </si>
  <si>
    <t>POS       304 11 MAR</t>
  </si>
  <si>
    <t>POS        37 11 MAR</t>
  </si>
  <si>
    <t>POS       304 10 MAR</t>
  </si>
  <si>
    <t>POS        37 10 MAR</t>
  </si>
  <si>
    <t>POS       103 13 MAR</t>
  </si>
  <si>
    <t>POS        44 13 MAR</t>
  </si>
  <si>
    <t>POS        35 13 MAR</t>
  </si>
  <si>
    <t>POS        43 13 MAR</t>
  </si>
  <si>
    <t>POS        41 13 MAR</t>
  </si>
  <si>
    <t>POS       101 13 MAR</t>
  </si>
  <si>
    <t>POS        38 13 MAR</t>
  </si>
  <si>
    <t>Cash Dep Branch Carnes Hill 41</t>
  </si>
  <si>
    <t>Direct Credit 403697 AMEX GR    29.95 9799779210</t>
  </si>
  <si>
    <t>POS        37 13 MAR</t>
  </si>
  <si>
    <t>POS        41 14 MAR</t>
  </si>
  <si>
    <t>POS        38 14 MAR</t>
  </si>
  <si>
    <t>POS       101 14 MAR</t>
  </si>
  <si>
    <t>POS        35 14 MAR</t>
  </si>
  <si>
    <t>POS        44 14 MAR</t>
  </si>
  <si>
    <t>POS       103 14 MAR</t>
  </si>
  <si>
    <t>POS        43 14 MAR</t>
  </si>
  <si>
    <t>POS       304 14 MAR</t>
  </si>
  <si>
    <t>POS        37 14 MAR</t>
  </si>
  <si>
    <t>POS        41 15 MAR</t>
  </si>
  <si>
    <t>POS        43 15 MAR</t>
  </si>
  <si>
    <t>POS        35 15 MAR</t>
  </si>
  <si>
    <t>POS       101 15 MAR</t>
  </si>
  <si>
    <t>POS        38 15 MAR</t>
  </si>
  <si>
    <t>POS       103 15 MAR</t>
  </si>
  <si>
    <t>POS        44 15 MAR</t>
  </si>
  <si>
    <t>Cash Dep Branch Fairfield 43 43</t>
  </si>
  <si>
    <t>Direct Credit 403697 AMEX GR    19.95 9799779210</t>
  </si>
  <si>
    <t>POS       304 15 MAR</t>
  </si>
  <si>
    <t>POS        37 15 MAR</t>
  </si>
  <si>
    <t>POS        35 16 MAR</t>
  </si>
  <si>
    <t>POS       103 16 MAR</t>
  </si>
  <si>
    <t>POS        41 16 MAR</t>
  </si>
  <si>
    <t>POS        44 16 MAR</t>
  </si>
  <si>
    <t>POS        43 16 MAR</t>
  </si>
  <si>
    <t>POS        38 16 MAR</t>
  </si>
  <si>
    <t>POS       101 16 MAR</t>
  </si>
  <si>
    <t>POS       304 16 MAR</t>
  </si>
  <si>
    <t>POS        37 16 MAR</t>
  </si>
  <si>
    <t>Direct Credit 403697 AMEX GR     5.00 9799778121</t>
  </si>
  <si>
    <t>POS        38 19 MAR</t>
  </si>
  <si>
    <t>POS        35 19 MAR</t>
  </si>
  <si>
    <t>POS        44 19 MAR</t>
  </si>
  <si>
    <t>POS        41 19 MAR</t>
  </si>
  <si>
    <t>POS        43 19 MAR</t>
  </si>
  <si>
    <t>POS       101 19 MAR</t>
  </si>
  <si>
    <t>POS       103 19 MAR</t>
  </si>
  <si>
    <t>POS        43 18 MAR</t>
  </si>
  <si>
    <t>POS       103 18 MAR</t>
  </si>
  <si>
    <t>POS        41 18 MAR</t>
  </si>
  <si>
    <t>POS        35 18 MAR</t>
  </si>
  <si>
    <t>POS        38 18 MAR</t>
  </si>
  <si>
    <t>POS        44 18 MAR</t>
  </si>
  <si>
    <t>POS       101 18 MAR</t>
  </si>
  <si>
    <t>POS       103 17 MAR</t>
  </si>
  <si>
    <t>POS        38 17 MAR</t>
  </si>
  <si>
    <t>POS        41 17 MAR</t>
  </si>
  <si>
    <t>POS       101 17 MAR</t>
  </si>
  <si>
    <t>POS        43 17 MAR</t>
  </si>
  <si>
    <t>POS        35 17 MAR</t>
  </si>
  <si>
    <t>POS        44 17 MAR</t>
  </si>
  <si>
    <t>POS       304 19 MAR</t>
  </si>
  <si>
    <t>POS        37 19 MAR</t>
  </si>
  <si>
    <t>POS       304 18 MAR</t>
  </si>
  <si>
    <t>POS        37 18 MAR</t>
  </si>
  <si>
    <t>POS       304 17 MAR</t>
  </si>
  <si>
    <t>POS        37 17 MAR</t>
  </si>
  <si>
    <t>POS       103 20 MAR</t>
  </si>
  <si>
    <t>POS        38 20 MAR</t>
  </si>
  <si>
    <t>POS        41 20 MAR</t>
  </si>
  <si>
    <t>POS        44 20 MAR</t>
  </si>
  <si>
    <t>POS       101 20 MAR</t>
  </si>
  <si>
    <t>POS        35 20 MAR</t>
  </si>
  <si>
    <t>POS        43 20 MAR</t>
  </si>
  <si>
    <t>Cash Dep Branch Bonnyrigg</t>
  </si>
  <si>
    <t>POS        37 20 MAR</t>
  </si>
  <si>
    <t>POS       304 20 MAR</t>
  </si>
  <si>
    <t>Cash Dep QuickCash Stklnd Glendale 37</t>
  </si>
  <si>
    <t>Direct Credit 403697 AMEX GR    20.00 21</t>
  </si>
  <si>
    <t>POS        44 21 MAR</t>
  </si>
  <si>
    <t>POS       101 21 MAR</t>
  </si>
  <si>
    <t>POS        35 21 MAR</t>
  </si>
  <si>
    <t>POS        41 21 MAR</t>
  </si>
  <si>
    <t>POS       103 21 MAR</t>
  </si>
  <si>
    <t>POS        43 21 MAR</t>
  </si>
  <si>
    <t>POS       304 21 MAR</t>
  </si>
  <si>
    <t>POS        37 21 MAR</t>
  </si>
  <si>
    <t>POS       103 26 MAR</t>
  </si>
  <si>
    <t>POS        35 26 MAR</t>
  </si>
  <si>
    <t>POS       101 26 MAR</t>
  </si>
  <si>
    <t>POS        41 26 MAR</t>
  </si>
  <si>
    <t>POS        43 26 MAR</t>
  </si>
  <si>
    <t>POS        44 26 MAR</t>
  </si>
  <si>
    <t>POS        43 25 MAR</t>
  </si>
  <si>
    <t>POS       101 25 MAR</t>
  </si>
  <si>
    <t>POS        44 25 MAR</t>
  </si>
  <si>
    <t>POS        41 25 MAR</t>
  </si>
  <si>
    <t>POS        35 25 MAR</t>
  </si>
  <si>
    <t>POS       103 25 MAR</t>
  </si>
  <si>
    <t>POS       101 24 MAR</t>
  </si>
  <si>
    <t>POS        44 24 MAR</t>
  </si>
  <si>
    <t>POS       103 24 MAR</t>
  </si>
  <si>
    <t>POS        41 24 MAR</t>
  </si>
  <si>
    <t>POS        35 24 MAR</t>
  </si>
  <si>
    <t>POS        43 24 MAR</t>
  </si>
  <si>
    <t>POS       304 26 MAR</t>
  </si>
  <si>
    <t>POS        37 26 MAR</t>
  </si>
  <si>
    <t>POS        37 25 MAR</t>
  </si>
  <si>
    <t>POS       304 25 MAR</t>
  </si>
  <si>
    <t>POS        37 24 MAR</t>
  </si>
  <si>
    <t>POS       304 24 MAR</t>
  </si>
  <si>
    <t>POS        35 22 MAR</t>
  </si>
  <si>
    <t>POS       103 22 MAR</t>
  </si>
  <si>
    <t>POS        41 22 MAR</t>
  </si>
  <si>
    <t>POS        44 22 MAR</t>
  </si>
  <si>
    <t>POS       101 22 MAR</t>
  </si>
  <si>
    <t>POS        43 22 MAR</t>
  </si>
  <si>
    <t>POS        37 22 MAR</t>
  </si>
  <si>
    <t>POS       304 22 MAR</t>
  </si>
  <si>
    <t>POS       101 23 MAR</t>
  </si>
  <si>
    <t>POS        44 23 MAR</t>
  </si>
  <si>
    <t>POS        43 23 MAR</t>
  </si>
  <si>
    <t>POS       103 23 MAR</t>
  </si>
  <si>
    <t>POS        41 23 MAR</t>
  </si>
  <si>
    <t>POS        35 23 MAR</t>
  </si>
  <si>
    <t>Direct Credit 403697 AMEX GR    30.00 9799779210</t>
  </si>
  <si>
    <t>POS        37 23 MAR</t>
  </si>
  <si>
    <t>POS       304 23 MAR</t>
  </si>
  <si>
    <t>POS        35 27 MAR</t>
  </si>
  <si>
    <t>POS       103 27 MAR</t>
  </si>
  <si>
    <t>POS       101 27 MAR</t>
  </si>
  <si>
    <t>POS        41 27 MAR</t>
  </si>
  <si>
    <t>POS        44 27 MAR</t>
  </si>
  <si>
    <t>POS        43 27 MAR</t>
  </si>
  <si>
    <t>POS        37 27 MAR</t>
  </si>
  <si>
    <t>POS       304 27 MAR</t>
  </si>
  <si>
    <t>Direct Credit 403697 AMEX GR    15.00 9799778121</t>
  </si>
  <si>
    <t>POS        43 28 MAR</t>
  </si>
  <si>
    <t>POS        44 28 MAR</t>
  </si>
  <si>
    <t>POS       103 28 MAR</t>
  </si>
  <si>
    <t>POS        41 28 MAR</t>
  </si>
  <si>
    <t>POS       101 28 MAR</t>
  </si>
  <si>
    <t>POS        35 28 MAR</t>
  </si>
  <si>
    <t>POS       304 28 MAR</t>
  </si>
  <si>
    <t>POS        37 28 MAR</t>
  </si>
  <si>
    <t>POS        44 29 MAR</t>
  </si>
  <si>
    <t>POS       101 29 MAR</t>
  </si>
  <si>
    <t>POS        41 29 MAR</t>
  </si>
  <si>
    <t>POS        43 29 MAR</t>
  </si>
  <si>
    <t>POS       103 29 MAR</t>
  </si>
  <si>
    <t>POS        35 29 MAR</t>
  </si>
  <si>
    <t>POS        37 29 MAR</t>
  </si>
  <si>
    <t>POS       304 29 MAR</t>
  </si>
  <si>
    <t>POS        41 30 MAR</t>
  </si>
  <si>
    <t>POS       103 30 MAR</t>
  </si>
  <si>
    <t>POS       101 30 MAR</t>
  </si>
  <si>
    <t>POS        43 30 MAR</t>
  </si>
  <si>
    <t>POS        35 30 MAR</t>
  </si>
  <si>
    <t>POS        44 30 MAR</t>
  </si>
  <si>
    <t>POS        37 30 MAR</t>
  </si>
  <si>
    <t>POS       304 30 MAR</t>
  </si>
  <si>
    <t>POS        44 02 APR</t>
  </si>
  <si>
    <t>POS       103 02 APR</t>
  </si>
  <si>
    <t>POS       101 02 APR</t>
  </si>
  <si>
    <t>POS        41 02 APR</t>
  </si>
  <si>
    <t>POS        35 02 APR</t>
  </si>
  <si>
    <t>POS        43 02 APR</t>
  </si>
  <si>
    <t>POS        41 01 APR</t>
  </si>
  <si>
    <t>POS       101 01 APR</t>
  </si>
  <si>
    <t>POS        43 01 APR</t>
  </si>
  <si>
    <t>POS       103 01 APR</t>
  </si>
  <si>
    <t>POS        44 01 APR</t>
  </si>
  <si>
    <t>POS        35 01 APR</t>
  </si>
  <si>
    <t>POS        43 31 MAR</t>
  </si>
  <si>
    <t>POS       101 31 MAR</t>
  </si>
  <si>
    <t>POS        35 31 MAR</t>
  </si>
  <si>
    <t>POS        44 31 MAR</t>
  </si>
  <si>
    <t>POS       103 31 MAR</t>
  </si>
  <si>
    <t>POS        41 31 MAR</t>
  </si>
  <si>
    <t>POS       304 02 APR</t>
  </si>
  <si>
    <t>POS        37 02 APR</t>
  </si>
  <si>
    <t>POS       304 01 APR</t>
  </si>
  <si>
    <t>POS        37 01 APR</t>
  </si>
  <si>
    <t>POS       304 31 MAR</t>
  </si>
  <si>
    <t>POS        37 31 MAR</t>
  </si>
  <si>
    <t>POS       101 03 APR</t>
  </si>
  <si>
    <t>POS        41 03 APR</t>
  </si>
  <si>
    <t>POS       103 03 APR</t>
  </si>
  <si>
    <t>POS        43 03 APR</t>
  </si>
  <si>
    <t>POS        44 03 APR</t>
  </si>
  <si>
    <t>POS        35 03 APR</t>
  </si>
  <si>
    <t>POS       304 03 APR</t>
  </si>
  <si>
    <t>POS        37 03 APR</t>
  </si>
  <si>
    <t>DEPOSIT         BUSINESS EXPRES DEP VIC/TASVIC</t>
  </si>
  <si>
    <t>POS        43 05 APR</t>
  </si>
  <si>
    <t>POS        44 05 APR</t>
  </si>
  <si>
    <t>POS       103 05 APR</t>
  </si>
  <si>
    <t>POS        35 05 APR</t>
  </si>
  <si>
    <t>POS       101 05 APR</t>
  </si>
  <si>
    <t>POS        41 05 APR</t>
  </si>
  <si>
    <t>POS        41 04 APR</t>
  </si>
  <si>
    <t>POS       101 04 APR</t>
  </si>
  <si>
    <t>POS       103 04 APR</t>
  </si>
  <si>
    <t>POS        43 04 APR</t>
  </si>
  <si>
    <t>POS        35 04 APR</t>
  </si>
  <si>
    <t>POS        44 04 APR</t>
  </si>
  <si>
    <t>POS        37 05 APR</t>
  </si>
  <si>
    <t>POS       304 05 APR</t>
  </si>
  <si>
    <t>POS       304 04 APR</t>
  </si>
  <si>
    <t>POS        37 04 APR</t>
  </si>
  <si>
    <t>POS        35 06 APR</t>
  </si>
  <si>
    <t>POS       103 06 APR</t>
  </si>
  <si>
    <t>POS        44 06 APR</t>
  </si>
  <si>
    <t>POS        41 06 APR</t>
  </si>
  <si>
    <t>POS       101 06 APR</t>
  </si>
  <si>
    <t>POS        43 06 APR</t>
  </si>
  <si>
    <t>POS        37 06 APR</t>
  </si>
  <si>
    <t>POS       304 06 APR</t>
  </si>
  <si>
    <t>POS       103 09 APR</t>
  </si>
  <si>
    <t>POS        41 09 APR</t>
  </si>
  <si>
    <t>POS        35 09 APR</t>
  </si>
  <si>
    <t>POS        43 09 APR</t>
  </si>
  <si>
    <t>POS        44 09 APR</t>
  </si>
  <si>
    <t>POS        35 08 APR</t>
  </si>
  <si>
    <t>POS       101 08 APR</t>
  </si>
  <si>
    <t>POS        41 08 APR</t>
  </si>
  <si>
    <t>POS       103 08 APR</t>
  </si>
  <si>
    <t>POS        44 08 APR</t>
  </si>
  <si>
    <t>POS        43 08 APR</t>
  </si>
  <si>
    <t>POS        35 07 APR</t>
  </si>
  <si>
    <t>POS        44 07 APR</t>
  </si>
  <si>
    <t>POS       103 07 APR</t>
  </si>
  <si>
    <t>POS       101 07 APR</t>
  </si>
  <si>
    <t>POS        41 07 APR</t>
  </si>
  <si>
    <t>Direct Credit 403697 AMEX GR    77.95 9799779210</t>
  </si>
  <si>
    <t>POS        37 09 APR</t>
  </si>
  <si>
    <t>POS       304 09 APR</t>
  </si>
  <si>
    <t>POS       304 08 APR</t>
  </si>
  <si>
    <t>POS        37 08 APR</t>
  </si>
  <si>
    <t>POS       304 07 APR</t>
  </si>
  <si>
    <t>POS        37 07 APR</t>
  </si>
  <si>
    <t>POS        41 11 APR</t>
  </si>
  <si>
    <t>POS        44 11 APR</t>
  </si>
  <si>
    <t>POS       101 11 APR</t>
  </si>
  <si>
    <t>POS       103 11 APR</t>
  </si>
  <si>
    <t>POS        35 11 APR</t>
  </si>
  <si>
    <t>POS        43 11 APR</t>
  </si>
  <si>
    <t>POS       304 11 APR</t>
  </si>
  <si>
    <t>POS        37 11 APR</t>
  </si>
  <si>
    <t>POS        43 10 APR</t>
  </si>
  <si>
    <t>POS        41 10 APR</t>
  </si>
  <si>
    <t>POS        44 10 APR</t>
  </si>
  <si>
    <t>POS       103 10 APR</t>
  </si>
  <si>
    <t>POS        35 10 APR</t>
  </si>
  <si>
    <t>POS       101 10 APR</t>
  </si>
  <si>
    <t>POS        37 10 APR</t>
  </si>
  <si>
    <t>POS       304 10 APR</t>
  </si>
  <si>
    <t>POS        44 12 APR</t>
  </si>
  <si>
    <t>POS        35 12 APR</t>
  </si>
  <si>
    <t>POS        41 12 APR</t>
  </si>
  <si>
    <t>POS       101 12 APR</t>
  </si>
  <si>
    <t>POS       103 12 APR</t>
  </si>
  <si>
    <t>POS        43 12 APR</t>
  </si>
  <si>
    <t>POS       304 12 APR</t>
  </si>
  <si>
    <t>POS        37 12 APR</t>
  </si>
  <si>
    <t>POS        35 17 APR</t>
  </si>
  <si>
    <t>POS       103 17 APR</t>
  </si>
  <si>
    <t>POS        41 15 APR</t>
  </si>
  <si>
    <t>POS        44 15 APR</t>
  </si>
  <si>
    <t>POS       101 15 APR</t>
  </si>
  <si>
    <t>POS        35 15 APR</t>
  </si>
  <si>
    <t>POS       103 15 APR</t>
  </si>
  <si>
    <t>POS        43 15 APR</t>
  </si>
  <si>
    <t>POS       103 13 APR</t>
  </si>
  <si>
    <t>POS        41 13 APR</t>
  </si>
  <si>
    <t>POS        35 13 APR</t>
  </si>
  <si>
    <t>POS        43 13 APR</t>
  </si>
  <si>
    <t>POS        44 13 APR</t>
  </si>
  <si>
    <t>POS       101 13 APR</t>
  </si>
  <si>
    <t>POS        37 17 APR</t>
  </si>
  <si>
    <t>POS       304 15 APR</t>
  </si>
  <si>
    <t>POS        37 15 APR</t>
  </si>
  <si>
    <t>POS        37 13 APR</t>
  </si>
  <si>
    <t>POS       304 13 APR</t>
  </si>
  <si>
    <t>POS        43 18 APR</t>
  </si>
  <si>
    <t>POS        41 18 APR</t>
  </si>
  <si>
    <t>POS        44 18 APR</t>
  </si>
  <si>
    <t>POS        35 18 APR</t>
  </si>
  <si>
    <t>POS       103 18 APR</t>
  </si>
  <si>
    <t>POS       101 18 APR</t>
  </si>
  <si>
    <t>Cash Dep Branch Bonnyrigg 45</t>
  </si>
  <si>
    <t>POS       304 18 APR</t>
  </si>
  <si>
    <t>POS        37 18 APR</t>
  </si>
  <si>
    <t>POS       101 19 APR</t>
  </si>
  <si>
    <t>POS        35 19 APR</t>
  </si>
  <si>
    <t>POS        44 19 APR</t>
  </si>
  <si>
    <t>POS        43 19 APR</t>
  </si>
  <si>
    <t>POS       103 19 APR</t>
  </si>
  <si>
    <t>POS        41 19 APR</t>
  </si>
  <si>
    <t>Direct Credit 403697 AMEX GR   125.30 9799779210</t>
  </si>
  <si>
    <t>Direct Credit 403697 AMEX GR    20.00 9799779186</t>
  </si>
  <si>
    <t>POS        37 19 APR</t>
  </si>
  <si>
    <t>POS       304 19 APR</t>
  </si>
  <si>
    <t>POS       101 20 APR</t>
  </si>
  <si>
    <t>POS        35 20 APR</t>
  </si>
  <si>
    <t>POS        41 20 APR</t>
  </si>
  <si>
    <t>POS       103 20 APR</t>
  </si>
  <si>
    <t>POS        43 20 APR</t>
  </si>
  <si>
    <t>POS        44 20 APR</t>
  </si>
  <si>
    <t>POS        37 20 APR</t>
  </si>
  <si>
    <t>POS       304 20 APR</t>
  </si>
  <si>
    <t>POS        44 24 APR</t>
  </si>
  <si>
    <t>POS        41 24 APR</t>
  </si>
  <si>
    <t>POS        35 24 APR</t>
  </si>
  <si>
    <t>POS        43 24 APR</t>
  </si>
  <si>
    <t>POS       103 24 APR</t>
  </si>
  <si>
    <t>POS       101 24 APR</t>
  </si>
  <si>
    <t>POS        37 24 APR</t>
  </si>
  <si>
    <t>POS       304 24 APR</t>
  </si>
  <si>
    <t>Direct Credit 403697 AMEX GR    30.00 21</t>
  </si>
  <si>
    <t>POS        35 23 APR</t>
  </si>
  <si>
    <t>POS        44 23 APR</t>
  </si>
  <si>
    <t>POS        43 23 APR</t>
  </si>
  <si>
    <t>POS       103 23 APR</t>
  </si>
  <si>
    <t>POS        41 23 APR</t>
  </si>
  <si>
    <t>POS       103 22 APR</t>
  </si>
  <si>
    <t>POS        44 22 APR</t>
  </si>
  <si>
    <t>POS        41 22 APR</t>
  </si>
  <si>
    <t>POS        43 22 APR</t>
  </si>
  <si>
    <t>POS        35 22 APR</t>
  </si>
  <si>
    <t>POS       101 22 APR</t>
  </si>
  <si>
    <t>POS       101 21 APR</t>
  </si>
  <si>
    <t>POS        44 21 APR</t>
  </si>
  <si>
    <t>POS        43 21 APR</t>
  </si>
  <si>
    <t>POS       103 21 APR</t>
  </si>
  <si>
    <t>POS        41 21 APR</t>
  </si>
  <si>
    <t>POS        35 21 APR</t>
  </si>
  <si>
    <t>POS        37 23 APR</t>
  </si>
  <si>
    <t>POS       304 23 APR</t>
  </si>
  <si>
    <t>POS        37 22 APR</t>
  </si>
  <si>
    <t>POS       304 22 APR</t>
  </si>
  <si>
    <t>POS        37 21 APR</t>
  </si>
  <si>
    <t>POS       304 21 APR</t>
  </si>
  <si>
    <t>POS        43 26 APR</t>
  </si>
  <si>
    <t>POS       103 26 APR</t>
  </si>
  <si>
    <t>POS        35 26 APR</t>
  </si>
  <si>
    <t>POS        41 26 APR</t>
  </si>
  <si>
    <t>POS       101 26 APR</t>
  </si>
  <si>
    <t>POS        44 26 APR</t>
  </si>
  <si>
    <t>POS        37 26 APR</t>
  </si>
  <si>
    <t>POS       304 26 APR</t>
  </si>
  <si>
    <t>POS        43 27 APR</t>
  </si>
  <si>
    <t>POS  21479800 27 APR</t>
  </si>
  <si>
    <t>POS        41 27 APR</t>
  </si>
  <si>
    <t>POS        44 27 APR</t>
  </si>
  <si>
    <t>POS       101 27 APR</t>
  </si>
  <si>
    <t>POS       103 27 APR</t>
  </si>
  <si>
    <t>POS        35 27 APR</t>
  </si>
  <si>
    <t>POS        37 27 APR</t>
  </si>
  <si>
    <t>POS       304 27 APR</t>
  </si>
  <si>
    <t>POS        35 01 MAY</t>
  </si>
  <si>
    <t>POS       103 01 MAY</t>
  </si>
  <si>
    <t>POS        41 01 MAY</t>
  </si>
  <si>
    <t>POS        44 01 MAY</t>
  </si>
  <si>
    <t>POS        43 01 MAY</t>
  </si>
  <si>
    <t>Direct Credit 403697 AMEX GR    49.95 9799779210</t>
  </si>
  <si>
    <t>POS        41 30 APR</t>
  </si>
  <si>
    <t>POS        35 30 APR</t>
  </si>
  <si>
    <t>POS        43 30 APR</t>
  </si>
  <si>
    <t>POS       103 30 APR</t>
  </si>
  <si>
    <t>POS        44 30 APR</t>
  </si>
  <si>
    <t>POS        35 29 APR</t>
  </si>
  <si>
    <t>POS       101 29 APR</t>
  </si>
  <si>
    <t>POS       103 29 APR</t>
  </si>
  <si>
    <t>POS        44 29 APR</t>
  </si>
  <si>
    <t>POS        43 29 APR</t>
  </si>
  <si>
    <t>POS        41 29 APR</t>
  </si>
  <si>
    <t>POS        41 28 APR</t>
  </si>
  <si>
    <t>POS       103 28 APR</t>
  </si>
  <si>
    <t>POS        35 28 APR</t>
  </si>
  <si>
    <t>POS        44 28 APR</t>
  </si>
  <si>
    <t>POS        43 28 APR</t>
  </si>
  <si>
    <t>POS        37 01 MAY</t>
  </si>
  <si>
    <t>POS       304 01 MAY</t>
  </si>
  <si>
    <t>Cash Dep QuickCash Campbelltown 44</t>
  </si>
  <si>
    <t>Cash Dep Branch Campbelltown 44</t>
  </si>
  <si>
    <t>POS        37 30 APR</t>
  </si>
  <si>
    <t>POS       304 30 APR</t>
  </si>
  <si>
    <t>POS       304 29 APR</t>
  </si>
  <si>
    <t>POS        37 29 APR</t>
  </si>
  <si>
    <t>POS       304 28 APR</t>
  </si>
  <si>
    <t>POS        37 28 APR</t>
  </si>
  <si>
    <t>POS       103 02 MAY</t>
  </si>
  <si>
    <t>POS        35 02 MAY</t>
  </si>
  <si>
    <t>POS        41 02 MAY</t>
  </si>
  <si>
    <t>POS        43 02 MAY</t>
  </si>
  <si>
    <t>POS        44 02 MAY</t>
  </si>
  <si>
    <t>POS        37 02 MAY</t>
  </si>
  <si>
    <t>POS       304 02 MAY</t>
  </si>
  <si>
    <t>POS        41 03 MAY</t>
  </si>
  <si>
    <t>POS        44 03 MAY</t>
  </si>
  <si>
    <t>POS        35 03 MAY</t>
  </si>
  <si>
    <t>POS       103 03 MAY</t>
  </si>
  <si>
    <t>POS        43 03 MAY</t>
  </si>
  <si>
    <t>POS       304 03 MAY</t>
  </si>
  <si>
    <t>POS        37 03 MAY</t>
  </si>
  <si>
    <t>POS       103 04 MAY</t>
  </si>
  <si>
    <t>POS        44 04 MAY</t>
  </si>
  <si>
    <t>POS        43 04 MAY</t>
  </si>
  <si>
    <t>POS        41 04 MAY</t>
  </si>
  <si>
    <t>POS        35 04 MAY</t>
  </si>
  <si>
    <t>POS        37 04 MAY</t>
  </si>
  <si>
    <t>POS       304 04 MAY</t>
  </si>
  <si>
    <t>POS        35 07 MAY</t>
  </si>
  <si>
    <t>POS        41 07 MAY</t>
  </si>
  <si>
    <t>POS       103 07 MAY</t>
  </si>
  <si>
    <t>POS        43 07 MAY</t>
  </si>
  <si>
    <t>POS        44 07 MAY</t>
  </si>
  <si>
    <t>POS       103 06 MAY</t>
  </si>
  <si>
    <t>POS        43 06 MAY</t>
  </si>
  <si>
    <t>POS        41 06 MAY</t>
  </si>
  <si>
    <t>POS        35 06 MAY</t>
  </si>
  <si>
    <t>POS        44 06 MAY</t>
  </si>
  <si>
    <t>POS        44 05 MAY</t>
  </si>
  <si>
    <t>POS        43 05 MAY</t>
  </si>
  <si>
    <t>POS        41 05 MAY</t>
  </si>
  <si>
    <t>POS       103 05 MAY</t>
  </si>
  <si>
    <t>POS        35 05 MAY</t>
  </si>
  <si>
    <t>POS        37 07 MAY</t>
  </si>
  <si>
    <t>POS       304 07 MAY</t>
  </si>
  <si>
    <t>POS       304 06 MAY</t>
  </si>
  <si>
    <t>POS        37 06 MAY</t>
  </si>
  <si>
    <t>POS        37 05 MAY</t>
  </si>
  <si>
    <t>POS       304 05 MAY</t>
  </si>
  <si>
    <t>POS        43 08 MAY</t>
  </si>
  <si>
    <t>POS        41 08 MAY</t>
  </si>
  <si>
    <t>POS        44 08 MAY</t>
  </si>
  <si>
    <t>POS       103 08 MAY</t>
  </si>
  <si>
    <t>POS        35 08 MAY</t>
  </si>
  <si>
    <t>POS        37 08 MAY</t>
  </si>
  <si>
    <t>POS       304 08 MAY</t>
  </si>
  <si>
    <t>Direct Credit 403697 AMEX GR    40.00 21</t>
  </si>
  <si>
    <t>POS        44 09 MAY</t>
  </si>
  <si>
    <t>POS        35 09 MAY</t>
  </si>
  <si>
    <t>POS        41 09 MAY</t>
  </si>
  <si>
    <t>POS       103 09 MAY</t>
  </si>
  <si>
    <t>POS        43 09 MAY</t>
  </si>
  <si>
    <t>POS        37 09 MAY</t>
  </si>
  <si>
    <t>POS       304 09 MAY</t>
  </si>
  <si>
    <t>Direct Credit 403697 AMEX GR    40.00 9799778121</t>
  </si>
  <si>
    <t>POS        44 10 MAY</t>
  </si>
  <si>
    <t>POS        35 10 MAY</t>
  </si>
  <si>
    <t>POS        43 10 MAY</t>
  </si>
  <si>
    <t>POS        41 10 MAY</t>
  </si>
  <si>
    <t>POS       103 10 MAY</t>
  </si>
  <si>
    <t>POS        37 10 MAY</t>
  </si>
  <si>
    <t>POS       304 10 MAY</t>
  </si>
  <si>
    <t>POS       103 11 MAY</t>
  </si>
  <si>
    <t>POS        35 11 MAY</t>
  </si>
  <si>
    <t>POS        43 11 MAY</t>
  </si>
  <si>
    <t>POS        44 11 MAY</t>
  </si>
  <si>
    <t>POS        41 11 MAY</t>
  </si>
  <si>
    <t>POS        37 11 MAY</t>
  </si>
  <si>
    <t>POS       304 11 MAY</t>
  </si>
  <si>
    <t>POS       103 14 MAY</t>
  </si>
  <si>
    <t>POS        43 14 MAY</t>
  </si>
  <si>
    <t>POS        35 14 MAY</t>
  </si>
  <si>
    <t>POS        44 14 MAY</t>
  </si>
  <si>
    <t>POS        41 14 MAY</t>
  </si>
  <si>
    <t>POS       103 13 MAY</t>
  </si>
  <si>
    <t>POS        44 13 MAY</t>
  </si>
  <si>
    <t>POS        43 13 MAY</t>
  </si>
  <si>
    <t>POS        41 13 MAY</t>
  </si>
  <si>
    <t>POS        35 13 MAY</t>
  </si>
  <si>
    <t>POS        44 12 MAY</t>
  </si>
  <si>
    <t>POS        41 12 MAY</t>
  </si>
  <si>
    <t>POS       103 12 MAY</t>
  </si>
  <si>
    <t>POS        43 12 MAY</t>
  </si>
  <si>
    <t>POS        35 12 MAY</t>
  </si>
  <si>
    <t>Transfer In ATM DISPUTE</t>
  </si>
  <si>
    <t>POS       304 14 MAY</t>
  </si>
  <si>
    <t>POS        37 14 MAY</t>
  </si>
  <si>
    <t>POS        37 13 MAY</t>
  </si>
  <si>
    <t>POS       304 13 MAY</t>
  </si>
  <si>
    <t>POS       304 12 MAY</t>
  </si>
  <si>
    <t>POS        37 12 MAY</t>
  </si>
  <si>
    <t>POS       103 15 MAY</t>
  </si>
  <si>
    <t>POS        41 15 MAY</t>
  </si>
  <si>
    <t>POS        35 15 MAY</t>
  </si>
  <si>
    <t>POS        43 15 MAY</t>
  </si>
  <si>
    <t>POS        44 15 MAY</t>
  </si>
  <si>
    <t>POS       304 15 MAY</t>
  </si>
  <si>
    <t>POS        37 15 MAY</t>
  </si>
  <si>
    <t>POS        35 16 MAY</t>
  </si>
  <si>
    <t>POS        43 16 MAY</t>
  </si>
  <si>
    <t>POS        44 16 MAY</t>
  </si>
  <si>
    <t>POS        41 16 MAY</t>
  </si>
  <si>
    <t>POS       103 16 MAY</t>
  </si>
  <si>
    <t>POS        37 16 MAY</t>
  </si>
  <si>
    <t>POS       304 16 MAY</t>
  </si>
  <si>
    <t>Direct Credit 403697 AMEX GR    30.00 9799778121</t>
  </si>
  <si>
    <t>Candy took the cash from store</t>
  </si>
  <si>
    <t>POS       103 17 MAY</t>
  </si>
  <si>
    <t>POS        35 17 MAY</t>
  </si>
  <si>
    <t>POS        43 17 MAY</t>
  </si>
  <si>
    <t>POS        44 17 MAY</t>
  </si>
  <si>
    <t>POS        41 17 MAY</t>
  </si>
  <si>
    <t>POS        37 17 MAY</t>
  </si>
  <si>
    <t>POS       304 17 MAY</t>
  </si>
  <si>
    <t>POS       103 18 MAY</t>
  </si>
  <si>
    <t>POS        35 18 MAY</t>
  </si>
  <si>
    <t>POS        41 18 MAY</t>
  </si>
  <si>
    <t>POS        43 18 MAY</t>
  </si>
  <si>
    <t>POS        37 18 MAY</t>
  </si>
  <si>
    <t>POS       304 18 MAY</t>
  </si>
  <si>
    <t>POS        44 21 MAY</t>
  </si>
  <si>
    <t>POS        41 21 MAY</t>
  </si>
  <si>
    <t>POS        43 21 MAY</t>
  </si>
  <si>
    <t>POS       103 21 MAY</t>
  </si>
  <si>
    <t>POS        35 21 MAY</t>
  </si>
  <si>
    <t>POS        44 20 MAY</t>
  </si>
  <si>
    <t>POS        43 20 MAY</t>
  </si>
  <si>
    <t>POS        41 20 MAY</t>
  </si>
  <si>
    <t>POS       103 20 MAY</t>
  </si>
  <si>
    <t>POS        35 20 MAY</t>
  </si>
  <si>
    <t>POS        41 19 MAY</t>
  </si>
  <si>
    <t>POS        35 19 MAY</t>
  </si>
  <si>
    <t>POS        43 19 MAY</t>
  </si>
  <si>
    <t>POS       103 19 MAY</t>
  </si>
  <si>
    <t>POS        44 19 MAY</t>
  </si>
  <si>
    <t>POS       304 21 MAY</t>
  </si>
  <si>
    <t>POS        37 21 MAY</t>
  </si>
  <si>
    <t>POS       304 20 MAY</t>
  </si>
  <si>
    <t>POS        37 20 MAY</t>
  </si>
  <si>
    <t>POS        37 19 MAY</t>
  </si>
  <si>
    <t>POS       304 19 MAY</t>
  </si>
  <si>
    <t>POS        41 22 MAY</t>
  </si>
  <si>
    <t>POS        44 22 MAY</t>
  </si>
  <si>
    <t>POS       103 22 MAY</t>
  </si>
  <si>
    <t>POS        35 22 MAY</t>
  </si>
  <si>
    <t>POS        43 22 MAY</t>
  </si>
  <si>
    <t>Direct Credit 403697 AMEX GR    39.95 9799779210</t>
  </si>
  <si>
    <t>Direct Credit 403697 AMEX GR    35.00 9799779186</t>
  </si>
  <si>
    <t>POS        37 22 MAY</t>
  </si>
  <si>
    <t>POS       304 22 MAY</t>
  </si>
  <si>
    <t>POS        44 24 MAY</t>
  </si>
  <si>
    <t>POS        35 24 MAY</t>
  </si>
  <si>
    <t>POS       103 24 MAY</t>
  </si>
  <si>
    <t>POS        43 24 MAY</t>
  </si>
  <si>
    <t>POS        43 23 MAY</t>
  </si>
  <si>
    <t>POS       103 23 MAY</t>
  </si>
  <si>
    <t>POS        44 23 MAY</t>
  </si>
  <si>
    <t>POS        41 23 MAY</t>
  </si>
  <si>
    <t>POS        35 23 MAY</t>
  </si>
  <si>
    <t>Cash Dep Branch Narellan 41</t>
  </si>
  <si>
    <t>POS       304 24 MAY</t>
  </si>
  <si>
    <t>POS        37 24 MAY</t>
  </si>
  <si>
    <t>POS       304 23 MAY</t>
  </si>
  <si>
    <t>POS        37 23 MAY</t>
  </si>
  <si>
    <t>Direct Credit 403697 AMEX GR    29.98 9799778121</t>
  </si>
  <si>
    <t>POS       103 25 MAY</t>
  </si>
  <si>
    <t>POS        43 25 MAY</t>
  </si>
  <si>
    <t>POS        41 25 MAY</t>
  </si>
  <si>
    <t>POS        44 25 MAY</t>
  </si>
  <si>
    <t>POS        35 25 MAY</t>
  </si>
  <si>
    <t>POS       304 25 MAY</t>
  </si>
  <si>
    <t>POS        37 25 MAY</t>
  </si>
  <si>
    <t>POS        41 28 MAY</t>
  </si>
  <si>
    <t>POS        44 28 MAY</t>
  </si>
  <si>
    <t>POS       103 28 MAY</t>
  </si>
  <si>
    <t>POS        43 28 MAY</t>
  </si>
  <si>
    <t>POS        35 28 MAY</t>
  </si>
  <si>
    <t>POS        43 27 MAY</t>
  </si>
  <si>
    <t>POS       103 27 MAY</t>
  </si>
  <si>
    <t>POS        44 27 MAY</t>
  </si>
  <si>
    <t>POS        41 27 MAY</t>
  </si>
  <si>
    <t>POS        35 27 MAY</t>
  </si>
  <si>
    <t>POS        35 26 MAY</t>
  </si>
  <si>
    <t>POS        44 26 MAY</t>
  </si>
  <si>
    <t>POS        41 26 MAY</t>
  </si>
  <si>
    <t>POS       103 26 MAY</t>
  </si>
  <si>
    <t>POS        43 26 MAY</t>
  </si>
  <si>
    <t>POS       304 28 MAY</t>
  </si>
  <si>
    <t>POS        37 28 MAY</t>
  </si>
  <si>
    <t>POS        37 27 MAY</t>
  </si>
  <si>
    <t>POS       304 27 MAY</t>
  </si>
  <si>
    <t>POS       304 26 MAY</t>
  </si>
  <si>
    <t>POS        37 26 MAY</t>
  </si>
  <si>
    <t>POS        35 30 MAY</t>
  </si>
  <si>
    <t>POS       103 30 MAY</t>
  </si>
  <si>
    <t>POS        43 30 MAY</t>
  </si>
  <si>
    <t>POS        44 30 MAY</t>
  </si>
  <si>
    <t>POS        41 30 MAY</t>
  </si>
  <si>
    <t>POS        44 29 MAY</t>
  </si>
  <si>
    <t>POS        35 29 MAY</t>
  </si>
  <si>
    <t>POS        43 29 MAY</t>
  </si>
  <si>
    <t>POS        41 29 MAY</t>
  </si>
  <si>
    <t>Direct Credit 403697 AMEX GR    83.65 9799779210</t>
  </si>
  <si>
    <t>Direct Credit 403697 AMEX GR    29.90 9799779210</t>
  </si>
  <si>
    <t>POS       304 30 MAY</t>
  </si>
  <si>
    <t>POS        37 30 MAY</t>
  </si>
  <si>
    <t>Direct Credit 403697 AMEX GR    34.95 9799778121</t>
  </si>
  <si>
    <t>POS       304 29 MAY</t>
  </si>
  <si>
    <t>POS        37 29 MAY</t>
  </si>
  <si>
    <t>POS        44 31 MAY</t>
  </si>
  <si>
    <t>POS        41 31 MAY</t>
  </si>
  <si>
    <t>POS        43 31 MAY</t>
  </si>
  <si>
    <t>POS        35 31 MAY</t>
  </si>
  <si>
    <t>POS       103 31 MAY</t>
  </si>
  <si>
    <t>POS        37 31 MAY</t>
  </si>
  <si>
    <t>POS       304 31 MAY</t>
  </si>
  <si>
    <t>POS        43 01 JUN</t>
  </si>
  <si>
    <t>POS        44 01 JUN</t>
  </si>
  <si>
    <t>POS       103 01 JUN</t>
  </si>
  <si>
    <t>POS        35 01 JUN</t>
  </si>
  <si>
    <t>POS        41 01 JUN</t>
  </si>
  <si>
    <t>POS        37 01 JUN</t>
  </si>
  <si>
    <t>POS       304 01 JUN</t>
  </si>
  <si>
    <t>POS       103 06 JUN</t>
  </si>
  <si>
    <t>POS        41 06 JUN</t>
  </si>
  <si>
    <t>POS        35 06 JUN</t>
  </si>
  <si>
    <t>POS        43 06 JUN</t>
  </si>
  <si>
    <t>Direct Credit 403697 AMEX GR    39.90 9799779210</t>
  </si>
  <si>
    <t>POS        41 05 JUN</t>
  </si>
  <si>
    <t>POS       103 05 JUN</t>
  </si>
  <si>
    <t>POS        43 05 JUN</t>
  </si>
  <si>
    <t>POS        44 05 JUN</t>
  </si>
  <si>
    <t>POS        35 05 JUN</t>
  </si>
  <si>
    <t>Direct Credit 403697 AMEX GR     7.95 9799779210</t>
  </si>
  <si>
    <t>Direct Credit 403697 AMEX GR   199.70 9799779210</t>
  </si>
  <si>
    <t>Direct Credit 403697 AMEX GR    34.95 9799779186</t>
  </si>
  <si>
    <t>POS       103 04 JUN</t>
  </si>
  <si>
    <t>POS        35 04 JUN</t>
  </si>
  <si>
    <t>POS        43 04 JUN</t>
  </si>
  <si>
    <t>POS        41 04 JUN</t>
  </si>
  <si>
    <t>POS        44 04 JUN</t>
  </si>
  <si>
    <t>POS        41 03 JUN</t>
  </si>
  <si>
    <t>POS       103 03 JUN</t>
  </si>
  <si>
    <t>POS        43 03 JUN</t>
  </si>
  <si>
    <t>POS        35 03 JUN</t>
  </si>
  <si>
    <t>POS        44 03 JUN</t>
  </si>
  <si>
    <t>POS       103 02 JUN</t>
  </si>
  <si>
    <t>POS        41 02 JUN</t>
  </si>
  <si>
    <t>POS        35 02 JUN</t>
  </si>
  <si>
    <t>POS        44 02 JUN</t>
  </si>
  <si>
    <t>POS        43 02 JUN</t>
  </si>
  <si>
    <t>POS        37 06 JUN</t>
  </si>
  <si>
    <t>POS       304 06 JUN</t>
  </si>
  <si>
    <t>POS        37 05 JUN</t>
  </si>
  <si>
    <t>POS       304 05 JUN</t>
  </si>
  <si>
    <t>POS        37 04 JUN</t>
  </si>
  <si>
    <t>POS       304 04 JUN</t>
  </si>
  <si>
    <t>POS       304 03 JUN</t>
  </si>
  <si>
    <t>POS        37 03 JUN</t>
  </si>
  <si>
    <t>POS       304 02 JUN</t>
  </si>
  <si>
    <t>POS        37 02 JUN</t>
  </si>
  <si>
    <t>POS        35 07 JUN</t>
  </si>
  <si>
    <t>POS        44 07 JUN</t>
  </si>
  <si>
    <t>POS       103 07 JUN</t>
  </si>
  <si>
    <t>POS        43 07 JUN</t>
  </si>
  <si>
    <t>POS        41 07 JUN</t>
  </si>
  <si>
    <t>POS        37 07 JUN</t>
  </si>
  <si>
    <t>POS       304 07 JUN</t>
  </si>
  <si>
    <t>POS        44 08 JUN</t>
  </si>
  <si>
    <t>POS        41 08 JUN</t>
  </si>
  <si>
    <t>POS        43 08 JUN</t>
  </si>
  <si>
    <t>POS        35 08 JUN</t>
  </si>
  <si>
    <t>POS       103 08 JUN</t>
  </si>
  <si>
    <t>POS        37 08 JUN</t>
  </si>
  <si>
    <t>POS       304 08 JUN</t>
  </si>
  <si>
    <t>POS        44 12 JUN</t>
  </si>
  <si>
    <t>Direct Credit 403697 AMEX GR    24.95 9799779210</t>
  </si>
  <si>
    <t>POS        35 11 JUN</t>
  </si>
  <si>
    <t>POS        44 11 JUN</t>
  </si>
  <si>
    <t>POS        43 11 JUN</t>
  </si>
  <si>
    <t>POS       103 11 JUN</t>
  </si>
  <si>
    <t>POS        41 11 JUN</t>
  </si>
  <si>
    <t>POS        43 10 JUN</t>
  </si>
  <si>
    <t>POS       103 10 JUN</t>
  </si>
  <si>
    <t>POS        44 10 JUN</t>
  </si>
  <si>
    <t>POS        35 10 JUN</t>
  </si>
  <si>
    <t>POS        41 10 JUN</t>
  </si>
  <si>
    <t>POS        43 09 JUN</t>
  </si>
  <si>
    <t>POS        44 09 JUN</t>
  </si>
  <si>
    <t>POS        35 09 JUN</t>
  </si>
  <si>
    <t>POS        41 09 JUN</t>
  </si>
  <si>
    <t>POS       103 09 JUN</t>
  </si>
  <si>
    <t>POS       304 11 JUN</t>
  </si>
  <si>
    <t>POS        37 11 JUN</t>
  </si>
  <si>
    <t>POS       304 10 JUN</t>
  </si>
  <si>
    <t>POS        37 10 JUN</t>
  </si>
  <si>
    <t>POS       304 09 JUN</t>
  </si>
  <si>
    <t>POS        37 09 JUN</t>
  </si>
  <si>
    <t>POS        41 13 JUN</t>
  </si>
  <si>
    <t>POS       103 13 JUN</t>
  </si>
  <si>
    <t>POS        43 13 JUN</t>
  </si>
  <si>
    <t>POS        35 13 JUN</t>
  </si>
  <si>
    <t>POS        37 13 JUN</t>
  </si>
  <si>
    <t>POS       304 13 JUN</t>
  </si>
  <si>
    <t>POS        35 14 JUN</t>
  </si>
  <si>
    <t>POS        44 14 JUN</t>
  </si>
  <si>
    <t>POS        41 14 JUN</t>
  </si>
  <si>
    <t>POS       103 14 JUN</t>
  </si>
  <si>
    <t>POS        43 14 JUN</t>
  </si>
  <si>
    <t>POS        37 14 JUN</t>
  </si>
  <si>
    <t>POS       304 14 JUN</t>
  </si>
  <si>
    <t>POS        41 18 JUN</t>
  </si>
  <si>
    <t>POS        35 18 JUN</t>
  </si>
  <si>
    <t>POS        44 18 JUN</t>
  </si>
  <si>
    <t>POS       103 18 JUN</t>
  </si>
  <si>
    <t>POS        43 18 JUN</t>
  </si>
  <si>
    <t>POS        35 17 JUN</t>
  </si>
  <si>
    <t>POS       103 17 JUN</t>
  </si>
  <si>
    <t>POS        43 17 JUN</t>
  </si>
  <si>
    <t>POS        41 17 JUN</t>
  </si>
  <si>
    <t>POS        44 17 JUN</t>
  </si>
  <si>
    <t>POS        41 16 JUN</t>
  </si>
  <si>
    <t>POS        43 16 JUN</t>
  </si>
  <si>
    <t>POS        35 16 JUN</t>
  </si>
  <si>
    <t>POS        44 16 JUN</t>
  </si>
  <si>
    <t>POS       103 16 JUN</t>
  </si>
  <si>
    <t>POS       103 15 JUN</t>
  </si>
  <si>
    <t>POS        43 15 JUN</t>
  </si>
  <si>
    <t>POS        35 15 JUN</t>
  </si>
  <si>
    <t>POS        41 15 JUN</t>
  </si>
  <si>
    <t>POS       304 18 JUN</t>
  </si>
  <si>
    <t>POS        37 18 JUN</t>
  </si>
  <si>
    <t>POS        37 17 JUN</t>
  </si>
  <si>
    <t>POS       304 17 JUN</t>
  </si>
  <si>
    <t>POS        37 16 JUN</t>
  </si>
  <si>
    <t>POS       304 16 JUN</t>
  </si>
  <si>
    <t>POS       304 15 JUN</t>
  </si>
  <si>
    <t>POS        37 15 JUN</t>
  </si>
  <si>
    <t>POS        35 19 JUN</t>
  </si>
  <si>
    <t>POS        43 19 JUN</t>
  </si>
  <si>
    <t>POS        44 19 JUN</t>
  </si>
  <si>
    <t>POS       103 19 JUN</t>
  </si>
  <si>
    <t>POS        41 19 JUN</t>
  </si>
  <si>
    <t>Direct Credit 403697 AMEX GR    67.95 9799779210</t>
  </si>
  <si>
    <t>Direct Credit 403697 AMEX GR    64.95 9799779210</t>
  </si>
  <si>
    <t>POS        37 19 JUN</t>
  </si>
  <si>
    <t>POS       304 19 JUN</t>
  </si>
  <si>
    <t>Direct Credit 403697 AMEX GR    35.00 9799778121</t>
  </si>
  <si>
    <t>Direct Credit 403697 AMEX GR    14.95 9799778121</t>
  </si>
  <si>
    <t>POS        35 20 JUN</t>
  </si>
  <si>
    <t>POS       103 20 JUN</t>
  </si>
  <si>
    <t>POS        43 20 JUN</t>
  </si>
  <si>
    <t>POS        41 20 JUN</t>
  </si>
  <si>
    <t>POS       304 20 JUN</t>
  </si>
  <si>
    <t>POS        37 20 JUN</t>
  </si>
  <si>
    <t>POS        35 21 JUN</t>
  </si>
  <si>
    <t>POS        41 21 JUN</t>
  </si>
  <si>
    <t>POS        44 21 JUN</t>
  </si>
  <si>
    <t>POS        43 21 JUN</t>
  </si>
  <si>
    <t>POS       103 21 JUN</t>
  </si>
  <si>
    <t>POS        37 21 JUN</t>
  </si>
  <si>
    <t>POS       304 21 JUN</t>
  </si>
  <si>
    <t>POS        43 22 JUN</t>
  </si>
  <si>
    <t>POS       103 22 JUN</t>
  </si>
  <si>
    <t>POS        41 22 JUN</t>
  </si>
  <si>
    <t>POS        44 22 JUN</t>
  </si>
  <si>
    <t>POS        35 22 JUN</t>
  </si>
  <si>
    <t>POS        37 22 JUN</t>
  </si>
  <si>
    <t>POS       304 22 JUN</t>
  </si>
  <si>
    <t>POS       103 25 JUN</t>
  </si>
  <si>
    <t>POS        43 25 JUN</t>
  </si>
  <si>
    <t>POS        35 25 JUN</t>
  </si>
  <si>
    <t>POS        44 25 JUN</t>
  </si>
  <si>
    <t>POS        41 25 JUN</t>
  </si>
  <si>
    <t>POS        44 24 JUN</t>
  </si>
  <si>
    <t>POS        43 24 JUN</t>
  </si>
  <si>
    <t>POS       103 24 JUN</t>
  </si>
  <si>
    <t>POS        41 24 JUN</t>
  </si>
  <si>
    <t>POS        35 24 JUN</t>
  </si>
  <si>
    <t>POS       103 23 JUN</t>
  </si>
  <si>
    <t>POS        44 23 JUN</t>
  </si>
  <si>
    <t>POS        43 23 JUN</t>
  </si>
  <si>
    <t>POS        35 23 JUN</t>
  </si>
  <si>
    <t>POS        41 23 JUN</t>
  </si>
  <si>
    <t>POS        37 25 JUN</t>
  </si>
  <si>
    <t>POS       304 25 JUN</t>
  </si>
  <si>
    <t>POS       304 24 JUN</t>
  </si>
  <si>
    <t>POS        37 24 JUN</t>
  </si>
  <si>
    <t>POS       304 23 JUN</t>
  </si>
  <si>
    <t>POS        37 23 JUN</t>
  </si>
  <si>
    <t>POS        41 26 JUN</t>
  </si>
  <si>
    <t>POS       103 26 JUN</t>
  </si>
  <si>
    <t>POS        44 26 JUN</t>
  </si>
  <si>
    <t>POS        35 26 JUN</t>
  </si>
  <si>
    <t>POS        43 26 JUN</t>
  </si>
  <si>
    <t>Direct Credit 403697 AMEX GR    91.70 9799779210</t>
  </si>
  <si>
    <t>Direct Credit 403697 AMEX GR    47.95 9799779210</t>
  </si>
  <si>
    <t>Direct Credit 403697 AMEX GR    40.00 9799779186</t>
  </si>
  <si>
    <t>Direct Credit 403697 AMEX GR    10.00 9799779186</t>
  </si>
  <si>
    <t>POS       304 26 JUN</t>
  </si>
  <si>
    <t>POS        37 26 JUN</t>
  </si>
  <si>
    <t>POS        41 27 JUN</t>
  </si>
  <si>
    <t>POS       103 27 JUN</t>
  </si>
  <si>
    <t>POS        35 27 JUN</t>
  </si>
  <si>
    <t>POS        43 27 JUN</t>
  </si>
  <si>
    <t>POS       304 27 JUN</t>
  </si>
  <si>
    <t>POS        37 27 JUN</t>
  </si>
  <si>
    <t>POS        41 28 JUN</t>
  </si>
  <si>
    <t>POS        43 28 JUN</t>
  </si>
  <si>
    <t>POS        44 28 JUN</t>
  </si>
  <si>
    <t>POS       103 28 JUN</t>
  </si>
  <si>
    <t>POS        35 28 JUN</t>
  </si>
  <si>
    <t>POS        37 28 JUN</t>
  </si>
  <si>
    <t>POS       304 28 JUN</t>
  </si>
  <si>
    <t>POS        41 29 JUN</t>
  </si>
  <si>
    <t>POS        43 29 JUN</t>
  </si>
  <si>
    <t>POS       103 29 JUN</t>
  </si>
  <si>
    <t>POS        35 29 JUN</t>
  </si>
  <si>
    <t>POS        44 29 JUN</t>
  </si>
  <si>
    <t>Direct Credit 403697 AMEX GR    34.95 9799779210</t>
  </si>
  <si>
    <t>POS        37 29 JUN</t>
  </si>
  <si>
    <t>POS       304 29 JUN</t>
  </si>
  <si>
    <t>POS        35 02 JUL</t>
  </si>
  <si>
    <t>POS        44 02 JUL</t>
  </si>
  <si>
    <t>POS        43 02 JUL</t>
  </si>
  <si>
    <t>POS        41 02 JUL</t>
  </si>
  <si>
    <t>POS       103 02 JUL</t>
  </si>
  <si>
    <t>POS        41 01 JUL</t>
  </si>
  <si>
    <t>POS       103 01 JUL</t>
  </si>
  <si>
    <t>POS        35 01 JUL</t>
  </si>
  <si>
    <t>POS        44 01 JUL</t>
  </si>
  <si>
    <t>POS        43 01 JUL</t>
  </si>
  <si>
    <t>POS        43 30 JUN</t>
  </si>
  <si>
    <t>POS        41 30 JUN</t>
  </si>
  <si>
    <t>POS        44 30 JUN</t>
  </si>
  <si>
    <t>POS       103 30 JUN</t>
  </si>
  <si>
    <t>POS        35 30 JUN</t>
  </si>
  <si>
    <t>POS        37 02 JUL</t>
  </si>
  <si>
    <t>POS       304 02 JUL</t>
  </si>
  <si>
    <t>POS       304 01 JUL</t>
  </si>
  <si>
    <t>POS        37 01 JUL</t>
  </si>
  <si>
    <t>POS       304 30 JUN</t>
  </si>
  <si>
    <t>POS        37 30 JUN</t>
  </si>
  <si>
    <t>POS        41 03 JUL</t>
  </si>
  <si>
    <t>POS        43 03 JUL</t>
  </si>
  <si>
    <t>POS        44 03 JUL</t>
  </si>
  <si>
    <t>POS       103 03 JUL</t>
  </si>
  <si>
    <t>POS        35 03 JUL</t>
  </si>
  <si>
    <t>Direct Credit 403697 AMEX GR   209.55 9799779210</t>
  </si>
  <si>
    <t>POS        37 03 JUL</t>
  </si>
  <si>
    <t>POS       304 03 JUL</t>
  </si>
  <si>
    <t>POS        35 05 JUL</t>
  </si>
  <si>
    <t>POS        41 05 JUL</t>
  </si>
  <si>
    <t>POS        43 05 JUL</t>
  </si>
  <si>
    <t>POS       103 05 JUL</t>
  </si>
  <si>
    <t>POS        44 05 JUL</t>
  </si>
  <si>
    <t>CASH DEPOSIT CBA ATM  CAMPBELLTOWN C NSW 251703   AUS</t>
  </si>
  <si>
    <t>POS        41 04 JUL</t>
  </si>
  <si>
    <t>POS        44 04 JUL</t>
  </si>
  <si>
    <t>POS       103 04 JUL</t>
  </si>
  <si>
    <t>POS        43 04 JUL</t>
  </si>
  <si>
    <t>POS        35 04 JUL</t>
  </si>
  <si>
    <t>POS        37 05 JUL</t>
  </si>
  <si>
    <t>POS       304 05 JUL</t>
  </si>
  <si>
    <t>POS       304 04 JUL</t>
  </si>
  <si>
    <t>POS        37 04 JUL</t>
  </si>
  <si>
    <t>POS        41 06 JUL</t>
  </si>
  <si>
    <t>POS        35 06 JUL</t>
  </si>
  <si>
    <t>POS        44 06 JUL</t>
  </si>
  <si>
    <t>POS        43 06 JUL</t>
  </si>
  <si>
    <t>POS       103 06 JUL</t>
  </si>
  <si>
    <t>POS       304 06 JUL</t>
  </si>
  <si>
    <t>POS        37 06 JUL</t>
  </si>
  <si>
    <t>POS        43 09 JUL</t>
  </si>
  <si>
    <t>POS        44 09 JUL</t>
  </si>
  <si>
    <t>POS        41 09 JUL</t>
  </si>
  <si>
    <t>POS       103 09 JUL</t>
  </si>
  <si>
    <t>POS        35 09 JUL</t>
  </si>
  <si>
    <t>POS        41 08 JUL</t>
  </si>
  <si>
    <t>POS        44 08 JUL</t>
  </si>
  <si>
    <t>POS        43 08 JUL</t>
  </si>
  <si>
    <t>POS       103 08 JUL</t>
  </si>
  <si>
    <t>POS        35 08 JUL</t>
  </si>
  <si>
    <t>POS        43 07 JUL</t>
  </si>
  <si>
    <t>POS        44 07 JUL</t>
  </si>
  <si>
    <t>POS       103 07 JUL</t>
  </si>
  <si>
    <t>POS        35 07 JUL</t>
  </si>
  <si>
    <t>POS        41 07 JUL</t>
  </si>
  <si>
    <t>POS        37 09 JUL</t>
  </si>
  <si>
    <t>POS       304 09 JUL</t>
  </si>
  <si>
    <t>POS        37 08 JUL</t>
  </si>
  <si>
    <t>POS       304 08 JUL</t>
  </si>
  <si>
    <t>POS       304 07 JUL</t>
  </si>
  <si>
    <t>POS        37 07 JUL</t>
  </si>
  <si>
    <t>POS        43 10 JUL</t>
  </si>
  <si>
    <t>POS        35 10 JUL</t>
  </si>
  <si>
    <t>POS       103 10 JUL</t>
  </si>
  <si>
    <t>POS        44 10 JUL</t>
  </si>
  <si>
    <t>POS        41 10 JUL</t>
  </si>
  <si>
    <t>Direct Credit 403697 AMEX GR    25.90 9799779210</t>
  </si>
  <si>
    <t>POS       304 10 JUL</t>
  </si>
  <si>
    <t>POS        37 10 JUL</t>
  </si>
  <si>
    <t>POS        35 11 JUL</t>
  </si>
  <si>
    <t>POS        44 11 JUL</t>
  </si>
  <si>
    <t>POS       103 11 JUL</t>
  </si>
  <si>
    <t>POS        43 11 JUL</t>
  </si>
  <si>
    <t>POS        41 11 JUL</t>
  </si>
  <si>
    <t>Direct Credit 403697 AMEX GR    39.98 9799779210</t>
  </si>
  <si>
    <t>POS       304 11 JUL</t>
  </si>
  <si>
    <t>POS        37 11 JUL</t>
  </si>
  <si>
    <t>POS       103 12 JUL</t>
  </si>
  <si>
    <t>POS        43 12 JUL</t>
  </si>
  <si>
    <t>POS        35 12 JUL</t>
  </si>
  <si>
    <t>POS        41 12 JUL</t>
  </si>
  <si>
    <t>POS        44 12 JUL</t>
  </si>
  <si>
    <t>POS        37 12 JUL</t>
  </si>
  <si>
    <t>POS       304 12 JUL</t>
  </si>
  <si>
    <t>POS       103 13 JUL</t>
  </si>
  <si>
    <t>POS        41 13 JUL</t>
  </si>
  <si>
    <t>POS        35 13 JUL</t>
  </si>
  <si>
    <t>POS        44 13 JUL</t>
  </si>
  <si>
    <t>POS        43 13 JUL</t>
  </si>
  <si>
    <t>Cash Dep Branch Campbelltown 413</t>
  </si>
  <si>
    <t>POS       304 13 JUL</t>
  </si>
  <si>
    <t>POS        37 13 JUL</t>
  </si>
  <si>
    <t>POS        43 16 JUL</t>
  </si>
  <si>
    <t>POS       103 16 JUL</t>
  </si>
  <si>
    <t>POS        35 16 JUL</t>
  </si>
  <si>
    <t>POS        41 16 JUL</t>
  </si>
  <si>
    <t>POS        44 16 JUL</t>
  </si>
  <si>
    <t>POS        35 15 JUL</t>
  </si>
  <si>
    <t>POS       103 15 JUL</t>
  </si>
  <si>
    <t>POS        41 15 JUL</t>
  </si>
  <si>
    <t>POS        43 15 JUL</t>
  </si>
  <si>
    <t>POS        44 15 JUL</t>
  </si>
  <si>
    <t>POS        35 14 JUL</t>
  </si>
  <si>
    <t>POS       103 14 JUL</t>
  </si>
  <si>
    <t>POS        41 14 JUL</t>
  </si>
  <si>
    <t>POS        43 14 JUL</t>
  </si>
  <si>
    <t>POS        44 14 JUL</t>
  </si>
  <si>
    <t>POS       304 16 JUL</t>
  </si>
  <si>
    <t>POS        37 16 JUL</t>
  </si>
  <si>
    <t>POS        37 15 JUL</t>
  </si>
  <si>
    <t>POS       304 15 JUL</t>
  </si>
  <si>
    <t>POS       304 14 JUL</t>
  </si>
  <si>
    <t>POS        37 14 JUL</t>
  </si>
  <si>
    <t>POS        44 17 JUL</t>
  </si>
  <si>
    <t>POS       103 17 JUL</t>
  </si>
  <si>
    <t>POS        35 17 JUL</t>
  </si>
  <si>
    <t>POS        43 17 JUL</t>
  </si>
  <si>
    <t>POS        41 17 JUL</t>
  </si>
  <si>
    <t>POS        37 17 JUL</t>
  </si>
  <si>
    <t>POS       304 17 JUL</t>
  </si>
  <si>
    <t>POS        41 18 JUL</t>
  </si>
  <si>
    <t>POS        35 18 JUL</t>
  </si>
  <si>
    <t>POS       103 18 JUL</t>
  </si>
  <si>
    <t>POS        44 18 JUL</t>
  </si>
  <si>
    <t>POS        43 18 JUL</t>
  </si>
  <si>
    <t>POS       304 18 JUL</t>
  </si>
  <si>
    <t>POS        37 18 JUL</t>
  </si>
  <si>
    <t>POS        41 19 JUL</t>
  </si>
  <si>
    <t>POS        44 19 JUL</t>
  </si>
  <si>
    <t>POS       103 19 JUL</t>
  </si>
  <si>
    <t>POS        35 19 JUL</t>
  </si>
  <si>
    <t>POS        43 19 JUL</t>
  </si>
  <si>
    <t>POS        37 19 JUL</t>
  </si>
  <si>
    <t>POS       304 19 JUL</t>
  </si>
  <si>
    <t>POS        41 20 JUL</t>
  </si>
  <si>
    <t>POS       103 20 JUL</t>
  </si>
  <si>
    <t>POS        44 20 JUL</t>
  </si>
  <si>
    <t>POS        43 20 JUL</t>
  </si>
  <si>
    <t>POS        35 20 JUL</t>
  </si>
  <si>
    <t>POS        37 20 JUL</t>
  </si>
  <si>
    <t>POS       304 20 JUL</t>
  </si>
  <si>
    <t>POS        43 23 JUL</t>
  </si>
  <si>
    <t>POS        41 23 JUL</t>
  </si>
  <si>
    <t>POS        44 23 JUL</t>
  </si>
  <si>
    <t>POS       103 23 JUL</t>
  </si>
  <si>
    <t>POS        35 23 JUL</t>
  </si>
  <si>
    <t>POS        41 22 JUL</t>
  </si>
  <si>
    <t>POS        43 22 JUL</t>
  </si>
  <si>
    <t>POS        35 22 JUL</t>
  </si>
  <si>
    <t>POS       103 22 JUL</t>
  </si>
  <si>
    <t>POS        44 22 JUL</t>
  </si>
  <si>
    <t>POS        41 21 JUL</t>
  </si>
  <si>
    <t>POS       103 21 JUL</t>
  </si>
  <si>
    <t>POS        43 21 JUL</t>
  </si>
  <si>
    <t>POS        44 21 JUL</t>
  </si>
  <si>
    <t>POS        35 21 JUL</t>
  </si>
  <si>
    <t>Direct Credit 403697 AMEX GR    87.95 9799779210</t>
  </si>
  <si>
    <t>POS        37 23 JUL</t>
  </si>
  <si>
    <t>POS       304 23 JUL</t>
  </si>
  <si>
    <t>POS       304 22 JUL</t>
  </si>
  <si>
    <t>POS        37 22 JUL</t>
  </si>
  <si>
    <t>POS        37 21 JUL</t>
  </si>
  <si>
    <t>POS       304 21 JUL</t>
  </si>
  <si>
    <t>POS        41 24 JUL</t>
  </si>
  <si>
    <t>POS       103 24 JUL</t>
  </si>
  <si>
    <t>POS        35 24 JUL</t>
  </si>
  <si>
    <t>POS        44 24 JUL</t>
  </si>
  <si>
    <t>POS        43 24 JUL</t>
  </si>
  <si>
    <t>POS        37 24 JUL</t>
  </si>
  <si>
    <t>POS       304 24 JUL</t>
  </si>
  <si>
    <t>POS        41 25 JUL</t>
  </si>
  <si>
    <t>POS        43 25 JUL</t>
  </si>
  <si>
    <t>POS       103 25 JUL</t>
  </si>
  <si>
    <t>POS        44 25 JUL</t>
  </si>
  <si>
    <t>POS        35 25 JUL</t>
  </si>
  <si>
    <t>POS       304 25 JUL</t>
  </si>
  <si>
    <t>POS        37 25 JUL</t>
  </si>
  <si>
    <t>POS        35 26 JUL</t>
  </si>
  <si>
    <t>POS       103 26 JUL</t>
  </si>
  <si>
    <t>POS        41 26 JUL</t>
  </si>
  <si>
    <t>POS        43 26 JUL</t>
  </si>
  <si>
    <t>POS        44 26 JUL</t>
  </si>
  <si>
    <t>POS       304 26 JUL</t>
  </si>
  <si>
    <t>POS        37 26 JUL</t>
  </si>
  <si>
    <t>POS        44 27 JUL</t>
  </si>
  <si>
    <t>POS       103 27 JUL</t>
  </si>
  <si>
    <t>POS        35 27 JUL</t>
  </si>
  <si>
    <t>POS        43 27 JUL</t>
  </si>
  <si>
    <t>POS        41 27 JUL</t>
  </si>
  <si>
    <t>POS        37 27 JUL</t>
  </si>
  <si>
    <t>POS       304 27 JUL</t>
  </si>
  <si>
    <t>POS        35 30 JUL</t>
  </si>
  <si>
    <t>POS        44 30 JUL</t>
  </si>
  <si>
    <t>POS        41 30 JUL</t>
  </si>
  <si>
    <t>POS       103 30 JUL</t>
  </si>
  <si>
    <t>POS        43 30 JUL</t>
  </si>
  <si>
    <t>POS        41 29 JUL</t>
  </si>
  <si>
    <t>POS        44 29 JUL</t>
  </si>
  <si>
    <t>POS       103 29 JUL</t>
  </si>
  <si>
    <t>POS        43 29 JUL</t>
  </si>
  <si>
    <t>POS        35 29 JUL</t>
  </si>
  <si>
    <t>POS        41 28 JUL</t>
  </si>
  <si>
    <t>POS       103 28 JUL</t>
  </si>
  <si>
    <t>POS        44 28 JUL</t>
  </si>
  <si>
    <t>POS        43 28 JUL</t>
  </si>
  <si>
    <t>POS        35 28 JUL</t>
  </si>
  <si>
    <t>POS        37 30 JUL</t>
  </si>
  <si>
    <t>POS       304 30 JUL</t>
  </si>
  <si>
    <t>POS       304 29 JUL</t>
  </si>
  <si>
    <t>POS        37 29 JUL</t>
  </si>
  <si>
    <t>POS        37 28 JUL</t>
  </si>
  <si>
    <t>POS       304 28 JUL</t>
  </si>
  <si>
    <t>POS        41 31 JUL</t>
  </si>
  <si>
    <t>AUD</t>
  </si>
  <si>
    <t>POS        44 31 JUL</t>
  </si>
  <si>
    <t>POS        43 31 JUL</t>
  </si>
  <si>
    <t>POS        35 31 JUL</t>
  </si>
  <si>
    <t>POS       103 31 JUL</t>
  </si>
  <si>
    <t>Cash Dep Branch Narellan</t>
  </si>
  <si>
    <t>Direct Credit 403697 AMEX GR    65.75 9799779210</t>
  </si>
  <si>
    <t>POS        37 31 JUL</t>
  </si>
  <si>
    <t>POS       304 31 JUL</t>
  </si>
  <si>
    <t>Direct Credit 403697 AMEX GR    22.95 21</t>
  </si>
  <si>
    <t>POS        43 01 AUG</t>
  </si>
  <si>
    <t>POS        41 01 AUG</t>
  </si>
  <si>
    <t>POS       103 01 AUG</t>
  </si>
  <si>
    <t>POS        35 01 AUG</t>
  </si>
  <si>
    <t>POS        44 01 AUG</t>
  </si>
  <si>
    <t>POS       304 01 AUG</t>
  </si>
  <si>
    <t>POS        37 01 AUG</t>
  </si>
  <si>
    <t>POS        35 02 AUG</t>
  </si>
  <si>
    <t>POS        44 02 AUG</t>
  </si>
  <si>
    <t>POS       103 02 AUG</t>
  </si>
  <si>
    <t>POS        41 02 AUG</t>
  </si>
  <si>
    <t>POS        43 02 AUG</t>
  </si>
  <si>
    <t>POS       304 02 AUG</t>
  </si>
  <si>
    <t>POS        37 02 AUG</t>
  </si>
  <si>
    <t>Direct Credit 403697 AMEX GR    29.95 9799778121</t>
  </si>
  <si>
    <t>POS        41 03 AUG</t>
  </si>
  <si>
    <t>POS        35 03 AUG</t>
  </si>
  <si>
    <t>POS       103 03 AUG</t>
  </si>
  <si>
    <t>POS        44 03 AUG</t>
  </si>
  <si>
    <t>POS        43 03 AUG</t>
  </si>
  <si>
    <t>POS        37 03 AUG</t>
  </si>
  <si>
    <t>POS       304 03 AUG</t>
  </si>
  <si>
    <t>POS        43 06 AUG</t>
  </si>
  <si>
    <t>POS        41 06 AUG</t>
  </si>
  <si>
    <t>POS       103 06 AUG</t>
  </si>
  <si>
    <t>POS        44 06 AUG</t>
  </si>
  <si>
    <t>POS        35 06 AUG</t>
  </si>
  <si>
    <t>POS        41 05 AUG</t>
  </si>
  <si>
    <t>POS        35 05 AUG</t>
  </si>
  <si>
    <t>POS       103 05 AUG</t>
  </si>
  <si>
    <t>POS        44 05 AUG</t>
  </si>
  <si>
    <t>POS        43 05 AUG</t>
  </si>
  <si>
    <t>POS        35 04 AUG</t>
  </si>
  <si>
    <t>POS        44 04 AUG</t>
  </si>
  <si>
    <t>POS       103 04 AUG</t>
  </si>
  <si>
    <t>POS        41 04 AUG</t>
  </si>
  <si>
    <t>POS        43 04 AUG</t>
  </si>
  <si>
    <t>POS       304 06 AUG</t>
  </si>
  <si>
    <t>POS        37 06 AUG</t>
  </si>
  <si>
    <t>POS        37 05 AUG</t>
  </si>
  <si>
    <t>POS       304 05 AUG</t>
  </si>
  <si>
    <t>POS        37 04 AUG</t>
  </si>
  <si>
    <t>POS       304 04 AUG</t>
  </si>
  <si>
    <t>POS        41 09 AUG</t>
  </si>
  <si>
    <t>POS        44 09 AUG</t>
  </si>
  <si>
    <t>POS       103 09 AUG</t>
  </si>
  <si>
    <t>POS        43 09 AUG</t>
  </si>
  <si>
    <t>POS        35 09 AUG</t>
  </si>
  <si>
    <t>POS        44 08 AUG</t>
  </si>
  <si>
    <t>POS        43 08 AUG</t>
  </si>
  <si>
    <t>POS        35 08 AUG</t>
  </si>
  <si>
    <t>POS       103 08 AUG</t>
  </si>
  <si>
    <t>POS        41 08 AUG</t>
  </si>
  <si>
    <t>POS       304 09 AUG</t>
  </si>
  <si>
    <t>POS        37 09 AUG</t>
  </si>
  <si>
    <t>POS        37 08 AUG</t>
  </si>
  <si>
    <t>POS       304 08 AUG</t>
  </si>
  <si>
    <t>POS        35 07 AUG</t>
  </si>
  <si>
    <t>POS       103 07 AUG</t>
  </si>
  <si>
    <t>POS        41 07 AUG</t>
  </si>
  <si>
    <t>POS        43 07 AUG</t>
  </si>
  <si>
    <t>POS        44 07 AUG</t>
  </si>
  <si>
    <t>Direct Credit 403697 AMEX GR   154.98 9799779210</t>
  </si>
  <si>
    <t>POS        37 07 AUG</t>
  </si>
  <si>
    <t>POS       304 07 AUG</t>
  </si>
  <si>
    <t>POS        35 10 AUG</t>
  </si>
  <si>
    <t>POS       103 10 AUG</t>
  </si>
  <si>
    <t>POS        43 10 AUG</t>
  </si>
  <si>
    <t>POS        41 10 AUG</t>
  </si>
  <si>
    <t>POS        44 10 AUG</t>
  </si>
  <si>
    <t>POS        37 10 AUG</t>
  </si>
  <si>
    <t>POS       304 10 AUG</t>
  </si>
  <si>
    <t>POS       103 13 AUG</t>
  </si>
  <si>
    <t>POS        35 13 AUG</t>
  </si>
  <si>
    <t>POS        41 13 AUG</t>
  </si>
  <si>
    <t>POS        44 13 AUG</t>
  </si>
  <si>
    <t>POS        43 13 AUG</t>
  </si>
  <si>
    <t>POS        35 12 AUG</t>
  </si>
  <si>
    <t>POS        41 12 AUG</t>
  </si>
  <si>
    <t>POS        44 12 AUG</t>
  </si>
  <si>
    <t>POS       103 12 AUG</t>
  </si>
  <si>
    <t>POS        43 12 AUG</t>
  </si>
  <si>
    <t>POS        44 11 AUG</t>
  </si>
  <si>
    <t>POS        35 11 AUG</t>
  </si>
  <si>
    <t>POS       103 11 AUG</t>
  </si>
  <si>
    <t>POS        41 11 AUG</t>
  </si>
  <si>
    <t>POS        43 11 AUG</t>
  </si>
  <si>
    <t>POS       304 13 AUG</t>
  </si>
  <si>
    <t>POS        37 13 AUG</t>
  </si>
  <si>
    <t>POS       304 12 AUG</t>
  </si>
  <si>
    <t>POS        37 12 AUG</t>
  </si>
  <si>
    <t>POS       304 11 AUG</t>
  </si>
  <si>
    <t>POS        37 11 AUG</t>
  </si>
  <si>
    <t xml:space="preserve">035 14/08|  1538.10   573.35   964.75|                  |                  |   964.75            964.75|   964.75   964.75         |   385.00   579.75                                                                  579.75          </t>
  </si>
  <si>
    <t xml:space="preserve">037 14/08|  1981.65  1107.85   873.80|                  |                  |   873.80            873.80|   873.80   873.80         |   307.95   565.85                                                                  565.85          </t>
  </si>
  <si>
    <t xml:space="preserve">041 14/08|  1116.27   388.92   727.35|                  |                  |   727.35            727.35|   727.35   337.60  -389.75|   389.75   337.60                                                                  337.60          </t>
  </si>
  <si>
    <t xml:space="preserve">043 14/08|  1226.95   413.35   813.60|                  |                  |   813.60            813.60|   813.60   813.60         |   597.70   215.90                                                                  215.90          </t>
  </si>
  <si>
    <t xml:space="preserve">044 14/08|  1405.70   643.95   761.75|                  |                  |   761.75            761.75|   761.75   761.75         |   481.75   280.00                                                                  280.00          </t>
  </si>
  <si>
    <t xml:space="preserve">103 14/08|  2167.35   817.75  1349.60|                  |                  |  1349.60           1349.60|  1349.60   525.85  -823.75|   823.75   525.85                                                                  525.85          </t>
  </si>
  <si>
    <t xml:space="preserve">201 14/08|  1166.45   425.60   740.85|                  |                  |   740.85            740.85|   740.85   990.85   250.00|   347.95   392.90                                                                  392.90          </t>
  </si>
  <si>
    <t>POS        35 14 AUG</t>
  </si>
  <si>
    <t>POS        43 14 AUG</t>
  </si>
  <si>
    <t>POS        41 14 AUG</t>
  </si>
  <si>
    <t>POS       103 14 AUG</t>
  </si>
  <si>
    <t>POS        44 14 AUG</t>
  </si>
  <si>
    <t>Transfer to CBA A/c CommBank app Sl payment</t>
  </si>
  <si>
    <t>Direct Credit 301500 SUITE LIFE       Co PAYMENT EP000291</t>
  </si>
  <si>
    <t>Cash Dep Branch Bankstown Cntrl 1 13aug</t>
  </si>
  <si>
    <t>POS       304 14 AUG</t>
  </si>
  <si>
    <t>POS        37 14 AUG</t>
  </si>
  <si>
    <t>Direct Debit 507156 STRIPE STRIPE_BCGI4wevGoc</t>
  </si>
  <si>
    <t>Direct Credit 507141 STRIPE STRIPE_BCdpOg3gGWn</t>
  </si>
  <si>
    <t>Direct Credit 403697 AMEX GR    80.00 21</t>
  </si>
  <si>
    <t>Transfer to CBA A/c CommBank app From 95</t>
  </si>
  <si>
    <t>WITHDRAWAL MOBILE 1927420 PYMT SUITE LIFE</t>
  </si>
  <si>
    <t>Cntrl</t>
  </si>
  <si>
    <t>Amex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</si>
</sst>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d\,\ d/mm/yyyy"/>
    <numFmt numFmtId="165" formatCode="dd/mm/yyyy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C0C0C0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" fillId="2" borderId="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3" xfId="0" applyBorder="1"/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0" xfId="0" applyBorder="1"/>
    <xf numFmtId="14" fontId="1" fillId="2" borderId="1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0" fontId="2" fillId="0" borderId="3" xfId="0" applyFont="1" applyBorder="1"/>
    <xf numFmtId="14" fontId="2" fillId="0" borderId="0" xfId="0" applyNumberFormat="1" applyFont="1"/>
    <xf numFmtId="22" fontId="0" fillId="0" borderId="0" xfId="0" applyNumberFormat="1"/>
    <xf numFmtId="0" fontId="1" fillId="2" borderId="5" xfId="0" applyFont="1" applyFill="1" applyBorder="1" applyAlignment="1">
      <alignment horizontal="center" vertical="center"/>
    </xf>
    <xf numFmtId="0" fontId="2" fillId="0" borderId="5" xfId="0" applyFont="1" applyBorder="1"/>
    <xf numFmtId="0" fontId="0" fillId="0" borderId="5" xfId="0" applyBorder="1"/>
    <xf numFmtId="0" fontId="0" fillId="0" borderId="6" xfId="0" applyBorder="1"/>
    <xf numFmtId="0" fontId="1" fillId="2" borderId="6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0" fillId="0" borderId="0" xfId="0" applyFont="1"/>
    <xf numFmtId="0" fontId="2" fillId="0" borderId="0" xfId="0" applyFont="1" applyFill="1" applyBorder="1"/>
    <xf numFmtId="165" fontId="2" fillId="0" borderId="0" xfId="0" applyNumberFormat="1" applyFont="1"/>
    <xf numFmtId="14" fontId="2" fillId="0" borderId="0" xfId="0" applyNumberFormat="1" applyFont="1" applyFill="1"/>
    <xf numFmtId="0" fontId="2" fillId="0" borderId="0" xfId="0" applyFont="1" applyFill="1"/>
    <xf numFmtId="14" fontId="0" fillId="0" borderId="0" xfId="0" applyNumberFormat="1" applyFont="1"/>
    <xf numFmtId="165" fontId="0" fillId="0" borderId="0" xfId="0" applyNumberFormat="1"/>
    <xf numFmtId="16" fontId="0" fillId="0" borderId="0" xfId="0" applyNumberFormat="1"/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1</xdr:row>
      <xdr:rowOff>19050</xdr:rowOff>
    </xdr:from>
    <xdr:to>
      <xdr:col>5</xdr:col>
      <xdr:colOff>57150</xdr:colOff>
      <xdr:row>3</xdr:row>
      <xdr:rowOff>0</xdr:rowOff>
    </xdr:to>
    <xdr:sp macro="[0]!_xludf.run" textlink="">
      <xdr:nvSpPr>
        <xdr:cNvPr id="2" name="Rectangle 1"/>
        <xdr:cNvSpPr/>
      </xdr:nvSpPr>
      <xdr:spPr>
        <a:xfrm>
          <a:off x="2305050" y="209550"/>
          <a:ext cx="80010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3</xdr:col>
      <xdr:colOff>438150</xdr:colOff>
      <xdr:row>4</xdr:row>
      <xdr:rowOff>38100</xdr:rowOff>
    </xdr:from>
    <xdr:to>
      <xdr:col>5</xdr:col>
      <xdr:colOff>66675</xdr:colOff>
      <xdr:row>6</xdr:row>
      <xdr:rowOff>19050</xdr:rowOff>
    </xdr:to>
    <xdr:sp macro="[0]!AuditMain" textlink="">
      <xdr:nvSpPr>
        <xdr:cNvPr id="3" name="Rectangle 2"/>
        <xdr:cNvSpPr/>
      </xdr:nvSpPr>
      <xdr:spPr>
        <a:xfrm>
          <a:off x="2266950" y="800100"/>
          <a:ext cx="847725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Audit</a:t>
          </a:r>
        </a:p>
      </xdr:txBody>
    </xdr:sp>
    <xdr:clientData/>
  </xdr:twoCellAnchor>
  <xdr:twoCellAnchor>
    <xdr:from>
      <xdr:col>16</xdr:col>
      <xdr:colOff>485775</xdr:colOff>
      <xdr:row>0</xdr:row>
      <xdr:rowOff>114300</xdr:rowOff>
    </xdr:from>
    <xdr:to>
      <xdr:col>17</xdr:col>
      <xdr:colOff>371475</xdr:colOff>
      <xdr:row>3</xdr:row>
      <xdr:rowOff>114300</xdr:rowOff>
    </xdr:to>
    <xdr:sp macro="[0]!unbankemail" textlink="">
      <xdr:nvSpPr>
        <xdr:cNvPr id="4" name="Rectangle 3"/>
        <xdr:cNvSpPr/>
      </xdr:nvSpPr>
      <xdr:spPr>
        <a:xfrm>
          <a:off x="12611100" y="114300"/>
          <a:ext cx="876300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Email UnBank</a:t>
          </a:r>
        </a:p>
      </xdr:txBody>
    </xdr:sp>
    <xdr:clientData/>
  </xdr:twoCellAnchor>
  <xdr:twoCellAnchor>
    <xdr:from>
      <xdr:col>6</xdr:col>
      <xdr:colOff>123825</xdr:colOff>
      <xdr:row>1</xdr:row>
      <xdr:rowOff>57150</xdr:rowOff>
    </xdr:from>
    <xdr:to>
      <xdr:col>7</xdr:col>
      <xdr:colOff>361950</xdr:colOff>
      <xdr:row>3</xdr:row>
      <xdr:rowOff>66675</xdr:rowOff>
    </xdr:to>
    <xdr:sp macro="[0]!_xludf.clean" textlink="">
      <xdr:nvSpPr>
        <xdr:cNvPr id="5" name="Rectangle 4"/>
        <xdr:cNvSpPr/>
      </xdr:nvSpPr>
      <xdr:spPr>
        <a:xfrm>
          <a:off x="3781425" y="247650"/>
          <a:ext cx="84772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Clean</a:t>
          </a:r>
        </a:p>
      </xdr:txBody>
    </xdr:sp>
    <xdr:clientData/>
  </xdr:twoCellAnchor>
  <xdr:twoCellAnchor>
    <xdr:from>
      <xdr:col>3</xdr:col>
      <xdr:colOff>428624</xdr:colOff>
      <xdr:row>7</xdr:row>
      <xdr:rowOff>85725</xdr:rowOff>
    </xdr:from>
    <xdr:to>
      <xdr:col>5</xdr:col>
      <xdr:colOff>228599</xdr:colOff>
      <xdr:row>9</xdr:row>
      <xdr:rowOff>19050</xdr:rowOff>
    </xdr:to>
    <xdr:sp macro="[0]!main" textlink="">
      <xdr:nvSpPr>
        <xdr:cNvPr id="6" name="Rectangle 5"/>
        <xdr:cNvSpPr/>
      </xdr:nvSpPr>
      <xdr:spPr>
        <a:xfrm>
          <a:off x="2257424" y="1419225"/>
          <a:ext cx="1019175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Magic Import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pubhtml?gid=652224666&amp;single=true_1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7"/>
  <sheetViews>
    <sheetView workbookViewId="0">
      <selection activeCell="E4" sqref="E4"/>
    </sheetView>
  </sheetViews>
  <sheetFormatPr defaultRowHeight="15" x14ac:dyDescent="0.25"/>
  <cols>
    <col min="10" max="10" width="10.7109375" bestFit="1" customWidth="1"/>
    <col min="11" max="11" width="12.7109375" customWidth="1"/>
    <col min="13" max="13" width="15" bestFit="1" customWidth="1"/>
    <col min="14" max="15" width="17.5703125" customWidth="1"/>
    <col min="16" max="16" width="16.85546875" customWidth="1"/>
    <col min="17" max="17" width="14.85546875" bestFit="1" customWidth="1"/>
    <col min="19" max="19" width="69" bestFit="1" customWidth="1"/>
  </cols>
  <sheetData>
    <row r="1" spans="1:19" x14ac:dyDescent="0.25">
      <c r="A1" t="s">
        <v>44</v>
      </c>
      <c r="B1">
        <v>2017</v>
      </c>
      <c r="J1" t="s">
        <v>67</v>
      </c>
      <c r="K1" t="s">
        <v>34</v>
      </c>
      <c r="N1" s="2">
        <f ca="1">TODAY()-1</f>
        <v>42961</v>
      </c>
      <c r="O1" s="2">
        <f ca="1">TODAY()-2</f>
        <v>42960</v>
      </c>
      <c r="P1" s="2">
        <f ca="1">TODAY()-3</f>
        <v>42959</v>
      </c>
      <c r="S1" t="s">
        <v>89</v>
      </c>
    </row>
    <row r="2" spans="1:19" x14ac:dyDescent="0.25">
      <c r="J2">
        <v>35</v>
      </c>
      <c r="K2">
        <f ca="1">SUMIFS(Magic!D:D,Magic!B:B,main!J2,Magic!A:A,"&gt;="&amp;main!J14,Magic!A:A,"&lt;="&amp;main!K14)</f>
        <v>0</v>
      </c>
      <c r="M2">
        <v>35</v>
      </c>
      <c r="N2">
        <f ca="1">COUNTIFS(cash!$C:$C,main!$M2,cash!$A:$A,N$1)</f>
        <v>3</v>
      </c>
      <c r="O2">
        <f ca="1">COUNTIFS(cash!$C:$C,main!$M2,cash!$A:$A,O$1)</f>
        <v>1</v>
      </c>
      <c r="P2">
        <f ca="1">COUNTIFS(cash!$C:$C,main!$M2,cash!$A:$A,P$1)</f>
        <v>0</v>
      </c>
      <c r="S2" s="23" t="s">
        <v>90</v>
      </c>
    </row>
    <row r="3" spans="1:19" x14ac:dyDescent="0.25">
      <c r="J3">
        <v>37</v>
      </c>
      <c r="K3">
        <f>SUMIFS(Magic!D:D,Magic!B:B,main!J3,Magic!A:A,"&gt;="&amp;main!J15,Magic!A:A,"&lt;="&amp;main!K15)</f>
        <v>0</v>
      </c>
      <c r="M3">
        <v>37</v>
      </c>
      <c r="N3">
        <f ca="1">COUNTIFS(cash!$C:$C,main!$M3,cash!$A:$A,N$1)</f>
        <v>3</v>
      </c>
      <c r="O3">
        <f ca="1">COUNTIFS(cash!$C:$C,main!$M3,cash!$A:$A,O$1)</f>
        <v>0</v>
      </c>
      <c r="P3">
        <f ca="1">COUNTIFS(cash!$C:$C,main!$M3,cash!$A:$A,P$1)</f>
        <v>0</v>
      </c>
      <c r="S3" s="23" t="s">
        <v>91</v>
      </c>
    </row>
    <row r="4" spans="1:19" x14ac:dyDescent="0.25">
      <c r="J4">
        <v>38</v>
      </c>
      <c r="K4">
        <f>SUMIFS(Magic!D:D,Magic!B:B,main!J4,Magic!A:A,"&gt;="&amp;main!J16,Magic!A:A,"&lt;="&amp;main!K16)</f>
        <v>0</v>
      </c>
      <c r="M4">
        <v>41</v>
      </c>
      <c r="N4">
        <f ca="1">COUNTIFS(cash!$C:$C,main!$M4,cash!$A:$A,N$1)</f>
        <v>2</v>
      </c>
      <c r="O4">
        <f ca="1">COUNTIFS(cash!$C:$C,main!$M4,cash!$A:$A,O$1)</f>
        <v>0</v>
      </c>
      <c r="P4">
        <f ca="1">COUNTIFS(cash!$C:$C,main!$M4,cash!$A:$A,P$1)</f>
        <v>0</v>
      </c>
      <c r="S4" s="12">
        <v>41</v>
      </c>
    </row>
    <row r="5" spans="1:19" x14ac:dyDescent="0.25">
      <c r="J5">
        <v>41</v>
      </c>
      <c r="K5">
        <f>SUMIFS(Magic!D:D,Magic!B:B,main!J5,Magic!A:A,"&gt;="&amp;main!J17,Magic!A:A,"&lt;="&amp;main!K17)</f>
        <v>0</v>
      </c>
      <c r="M5">
        <v>43</v>
      </c>
      <c r="N5">
        <f ca="1">COUNTIFS(cash!$C:$C,main!$M5,cash!$A:$A,N$1)</f>
        <v>2</v>
      </c>
      <c r="O5">
        <f ca="1">COUNTIFS(cash!$C:$C,main!$M5,cash!$A:$A,O$1)</f>
        <v>0</v>
      </c>
      <c r="P5">
        <f ca="1">COUNTIFS(cash!$C:$C,main!$M5,cash!$A:$A,P$1)</f>
        <v>0</v>
      </c>
      <c r="S5" s="12">
        <v>43</v>
      </c>
    </row>
    <row r="6" spans="1:19" x14ac:dyDescent="0.25">
      <c r="J6">
        <v>43</v>
      </c>
      <c r="K6">
        <f>SUMIFS(Magic!D:D,Magic!B:B,main!J6,Magic!A:A,"&gt;="&amp;main!J18,Magic!A:A,"&lt;="&amp;main!K18)</f>
        <v>0</v>
      </c>
      <c r="M6">
        <v>44</v>
      </c>
      <c r="N6">
        <f ca="1">COUNTIFS(cash!$C:$C,main!$M6,cash!$A:$A,N$1)</f>
        <v>3</v>
      </c>
      <c r="O6">
        <f ca="1">COUNTIFS(cash!$C:$C,main!$M6,cash!$A:$A,O$1)</f>
        <v>0</v>
      </c>
      <c r="P6">
        <f ca="1">COUNTIFS(cash!$C:$C,main!$M6,cash!$A:$A,P$1)</f>
        <v>0</v>
      </c>
      <c r="S6" s="12"/>
    </row>
    <row r="7" spans="1:19" x14ac:dyDescent="0.25">
      <c r="J7">
        <v>44</v>
      </c>
      <c r="K7">
        <f>SUMIFS(Magic!D:D,Magic!B:B,main!J7,Magic!A:A,"&gt;="&amp;main!J19,Magic!A:A,"&lt;="&amp;main!K19)</f>
        <v>0</v>
      </c>
      <c r="M7">
        <v>103</v>
      </c>
      <c r="N7">
        <f ca="1">COUNTIFS(cash!$C:$C,main!$M7,cash!$A:$A,N$1)</f>
        <v>2</v>
      </c>
      <c r="O7">
        <f ca="1">COUNTIFS(cash!$C:$C,main!$M7,cash!$A:$A,O$1)</f>
        <v>0</v>
      </c>
      <c r="P7">
        <f ca="1">COUNTIFS(cash!$C:$C,main!$M7,cash!$A:$A,P$1)</f>
        <v>1</v>
      </c>
      <c r="S7" s="12"/>
    </row>
    <row r="8" spans="1:19" x14ac:dyDescent="0.25">
      <c r="J8">
        <v>45</v>
      </c>
      <c r="K8">
        <f>SUMIFS(Magic!D:D,Magic!B:B,main!J8,Magic!A:A,"&gt;="&amp;main!J20,Magic!A:A,"&lt;="&amp;main!K20)</f>
        <v>0</v>
      </c>
      <c r="M8">
        <v>201</v>
      </c>
      <c r="N8">
        <f ca="1">COUNTIFS(cash!$C:$C,main!$M8,cash!$A:$A,N$1)</f>
        <v>3</v>
      </c>
      <c r="O8">
        <f ca="1">COUNTIFS(cash!$C:$C,main!$M8,cash!$A:$A,O$1)</f>
        <v>0</v>
      </c>
      <c r="P8">
        <f ca="1">COUNTIFS(cash!$C:$C,main!$M8,cash!$A:$A,P$1)</f>
        <v>0</v>
      </c>
      <c r="S8" s="12"/>
    </row>
    <row r="9" spans="1:19" x14ac:dyDescent="0.25">
      <c r="J9">
        <v>101</v>
      </c>
      <c r="K9">
        <f>SUMIFS(Magic!D:D,Magic!B:B,main!J9,Magic!A:A,"&gt;="&amp;main!J21,Magic!A:A,"&lt;="&amp;main!K21)</f>
        <v>0</v>
      </c>
      <c r="O9" s="12"/>
      <c r="S9" s="12"/>
    </row>
    <row r="10" spans="1:19" x14ac:dyDescent="0.25">
      <c r="J10">
        <v>103</v>
      </c>
      <c r="K10">
        <f>SUMIFS(Magic!D:D,Magic!B:B,main!J10,Magic!A:A,"&gt;="&amp;main!J22,Magic!A:A,"&lt;="&amp;main!K22)</f>
        <v>0</v>
      </c>
      <c r="S10" s="12"/>
    </row>
    <row r="11" spans="1:19" x14ac:dyDescent="0.25">
      <c r="J11">
        <v>201</v>
      </c>
      <c r="K11">
        <f>SUMIFS(Magic!D:D,Magic!B:B,main!J11,Magic!A:A,"&gt;="&amp;main!J24,Magic!A:A,"&lt;="&amp;main!K24)</f>
        <v>0</v>
      </c>
    </row>
    <row r="12" spans="1:19" x14ac:dyDescent="0.25">
      <c r="J12">
        <v>304</v>
      </c>
      <c r="K12">
        <f>SUMIFS(Magic!D:D,Magic!B:B,main!J12,Magic!A:A,"&gt;="&amp;main!J25,Magic!A:A,"&lt;="&amp;main!K25)</f>
        <v>0</v>
      </c>
      <c r="S12" s="12"/>
    </row>
    <row r="13" spans="1:19" x14ac:dyDescent="0.25">
      <c r="N13" s="1"/>
      <c r="S13" s="12"/>
    </row>
    <row r="14" spans="1:19" x14ac:dyDescent="0.25">
      <c r="J14" s="1">
        <f ca="1">INT((TODAY()-8)/7)*7+1</f>
        <v>42953</v>
      </c>
      <c r="K14" s="1">
        <f ca="1">INT((TODAY()-8)/7)*7+7</f>
        <v>42959</v>
      </c>
      <c r="N14" s="1"/>
      <c r="S14" s="12"/>
    </row>
    <row r="15" spans="1:19" x14ac:dyDescent="0.25">
      <c r="N15" s="1"/>
      <c r="S15" s="12"/>
    </row>
    <row r="16" spans="1:19" x14ac:dyDescent="0.25">
      <c r="S16" s="12"/>
    </row>
    <row r="17" spans="19:19" x14ac:dyDescent="0.25">
      <c r="S17" s="1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A1:V944"/>
  <sheetViews>
    <sheetView tabSelected="1" workbookViewId="0">
      <pane ySplit="1" topLeftCell="A894" activePane="bottomLeft" state="frozen"/>
      <selection pane="bottomLeft" activeCell="F938" sqref="F938"/>
    </sheetView>
  </sheetViews>
  <sheetFormatPr defaultRowHeight="15" x14ac:dyDescent="0.25"/>
  <cols>
    <col min="1" max="1" width="10.7109375" style="1" bestFit="1" customWidth="1"/>
    <col min="8" max="8" width="9.140625" style="8"/>
    <col min="9" max="9" width="9.140625" style="5"/>
    <col min="13" max="13" width="9.140625" style="5" customWidth="1"/>
    <col min="14" max="15" width="9.140625" customWidth="1"/>
    <col min="16" max="16" width="9.85546875" customWidth="1"/>
    <col min="17" max="17" width="9.85546875" style="5" customWidth="1"/>
    <col min="18" max="19" width="9.140625" customWidth="1"/>
    <col min="20" max="20" width="9.140625" style="20" customWidth="1"/>
    <col min="21" max="21" width="10.85546875" style="21" customWidth="1"/>
    <col min="22" max="22" width="9.140625" style="21"/>
  </cols>
  <sheetData>
    <row r="1" spans="1:22" ht="45" x14ac:dyDescent="0.25">
      <c r="A1" s="9" t="s">
        <v>15</v>
      </c>
      <c r="B1" s="6" t="s">
        <v>16</v>
      </c>
      <c r="C1" s="6" t="s">
        <v>17</v>
      </c>
      <c r="D1" s="7" t="s">
        <v>67</v>
      </c>
      <c r="E1" s="7" t="s">
        <v>63</v>
      </c>
      <c r="F1" s="7" t="s">
        <v>18</v>
      </c>
      <c r="G1" s="7" t="s">
        <v>65</v>
      </c>
      <c r="H1" s="3" t="s">
        <v>19</v>
      </c>
      <c r="I1" s="10" t="s">
        <v>20</v>
      </c>
      <c r="J1" s="7" t="s">
        <v>21</v>
      </c>
      <c r="K1" s="7" t="s">
        <v>66</v>
      </c>
      <c r="L1" s="6" t="s">
        <v>22</v>
      </c>
      <c r="M1" s="10" t="s">
        <v>23</v>
      </c>
      <c r="N1" s="6" t="s">
        <v>68</v>
      </c>
      <c r="O1" s="7" t="s">
        <v>69</v>
      </c>
      <c r="P1" s="6" t="s">
        <v>61</v>
      </c>
      <c r="Q1" s="4" t="s">
        <v>64</v>
      </c>
      <c r="R1" s="3" t="s">
        <v>62</v>
      </c>
      <c r="S1" s="11" t="s">
        <v>70</v>
      </c>
      <c r="T1" s="18" t="s">
        <v>19</v>
      </c>
      <c r="U1" s="22" t="s">
        <v>150</v>
      </c>
      <c r="V1" s="22" t="s">
        <v>243</v>
      </c>
    </row>
    <row r="2" spans="1:22" hidden="1" x14ac:dyDescent="0.25">
      <c r="A2" s="1">
        <f t="shared" ref="A2:A9" si="0">DATE(2017,4,1)</f>
        <v>42826</v>
      </c>
      <c r="B2">
        <v>35</v>
      </c>
      <c r="C2">
        <v>768.85</v>
      </c>
      <c r="E2" s="13">
        <f t="shared" ref="E2:E17" si="1">C2+D2-Q2+U2</f>
        <v>765</v>
      </c>
      <c r="F2" s="13">
        <v>765</v>
      </c>
      <c r="G2" s="13">
        <f t="shared" ref="G2:G18" si="2">E2-F2</f>
        <v>0</v>
      </c>
      <c r="H2" s="14">
        <v>983</v>
      </c>
      <c r="I2" s="15">
        <v>524.9</v>
      </c>
      <c r="J2" s="13">
        <v>524.9</v>
      </c>
      <c r="K2" s="13">
        <v>0</v>
      </c>
      <c r="L2" s="13">
        <v>838</v>
      </c>
      <c r="Q2" s="15">
        <v>3.85</v>
      </c>
      <c r="R2" s="13">
        <v>3.85</v>
      </c>
      <c r="S2" s="13">
        <v>0</v>
      </c>
      <c r="T2" s="19">
        <v>1001</v>
      </c>
    </row>
    <row r="3" spans="1:22" hidden="1" x14ac:dyDescent="0.25">
      <c r="A3" s="1">
        <f t="shared" si="0"/>
        <v>42826</v>
      </c>
      <c r="B3">
        <v>37</v>
      </c>
      <c r="C3">
        <v>557.95000000000005</v>
      </c>
      <c r="E3" s="13">
        <f t="shared" si="1"/>
        <v>557.95000000000005</v>
      </c>
      <c r="F3" s="13">
        <v>557.95000000000005</v>
      </c>
      <c r="G3" s="13">
        <f t="shared" si="2"/>
        <v>0</v>
      </c>
      <c r="H3" s="14">
        <v>1003</v>
      </c>
      <c r="I3" s="15">
        <v>894.88</v>
      </c>
      <c r="J3" s="13">
        <v>894.88</v>
      </c>
      <c r="K3" s="13">
        <v>0</v>
      </c>
      <c r="L3" s="13">
        <v>848</v>
      </c>
      <c r="Q3" s="5">
        <f>SUMIFS(Coin!E:E,Coin!C:C,B3,Coin!D:D,A3)</f>
        <v>0</v>
      </c>
    </row>
    <row r="4" spans="1:22" hidden="1" x14ac:dyDescent="0.25">
      <c r="A4" s="1">
        <f t="shared" si="0"/>
        <v>42826</v>
      </c>
      <c r="B4">
        <v>41</v>
      </c>
      <c r="C4">
        <v>420</v>
      </c>
      <c r="E4" s="13">
        <f t="shared" si="1"/>
        <v>420</v>
      </c>
      <c r="F4" s="13">
        <v>420</v>
      </c>
      <c r="G4" s="13">
        <f t="shared" si="2"/>
        <v>0</v>
      </c>
      <c r="H4" s="14">
        <v>1007</v>
      </c>
      <c r="I4" s="15">
        <v>375</v>
      </c>
      <c r="J4" s="13">
        <v>375</v>
      </c>
      <c r="K4" s="13">
        <v>0</v>
      </c>
      <c r="L4" s="13">
        <v>833</v>
      </c>
      <c r="Q4" s="5">
        <f>SUMIFS(Coin!E:E,Coin!C:C,B4,Coin!D:D,A4)</f>
        <v>0</v>
      </c>
    </row>
    <row r="5" spans="1:22" hidden="1" x14ac:dyDescent="0.25">
      <c r="A5" s="1">
        <f t="shared" si="0"/>
        <v>42826</v>
      </c>
      <c r="B5">
        <v>43</v>
      </c>
      <c r="C5">
        <v>640</v>
      </c>
      <c r="E5" s="13">
        <f t="shared" si="1"/>
        <v>640</v>
      </c>
      <c r="F5" s="13">
        <v>640</v>
      </c>
      <c r="G5" s="13">
        <f t="shared" si="2"/>
        <v>0</v>
      </c>
      <c r="H5" s="14">
        <v>1011</v>
      </c>
      <c r="I5" s="15">
        <v>545</v>
      </c>
      <c r="J5" s="13">
        <v>545</v>
      </c>
      <c r="K5" s="13">
        <v>0</v>
      </c>
      <c r="L5" s="13">
        <v>835</v>
      </c>
      <c r="Q5" s="5">
        <f>SUMIFS(Coin!E:E,Coin!C:C,B5,Coin!D:D,A5)</f>
        <v>0</v>
      </c>
    </row>
    <row r="6" spans="1:22" hidden="1" x14ac:dyDescent="0.25">
      <c r="A6" s="1">
        <f t="shared" si="0"/>
        <v>42826</v>
      </c>
      <c r="B6">
        <v>44</v>
      </c>
      <c r="C6">
        <v>220.9</v>
      </c>
      <c r="E6" s="13">
        <f t="shared" si="1"/>
        <v>220.9</v>
      </c>
      <c r="F6" s="13">
        <v>220.9</v>
      </c>
      <c r="G6" s="13">
        <f t="shared" si="2"/>
        <v>0</v>
      </c>
      <c r="H6" s="14">
        <v>1012</v>
      </c>
      <c r="I6" s="15">
        <v>577.91</v>
      </c>
      <c r="J6" s="13">
        <v>577.91</v>
      </c>
      <c r="K6" s="13">
        <v>0</v>
      </c>
      <c r="L6" s="13">
        <v>837</v>
      </c>
      <c r="Q6" s="5">
        <f>SUMIFS(Coin!E:E,Coin!C:C,B6,Coin!D:D,A6)</f>
        <v>0</v>
      </c>
      <c r="V6" s="21">
        <v>-30</v>
      </c>
    </row>
    <row r="7" spans="1:22" hidden="1" x14ac:dyDescent="0.25">
      <c r="A7" s="1">
        <f t="shared" si="0"/>
        <v>42826</v>
      </c>
      <c r="B7">
        <v>101</v>
      </c>
      <c r="C7">
        <v>425.9</v>
      </c>
      <c r="E7" s="13">
        <f t="shared" si="1"/>
        <v>425.9</v>
      </c>
      <c r="F7" s="13">
        <v>425.9</v>
      </c>
      <c r="G7" s="13">
        <f t="shared" si="2"/>
        <v>0</v>
      </c>
      <c r="H7" s="14">
        <v>1015</v>
      </c>
      <c r="I7" s="15">
        <v>282.89</v>
      </c>
      <c r="J7" s="13">
        <v>282.89</v>
      </c>
      <c r="K7" s="13">
        <v>0</v>
      </c>
      <c r="L7" s="13">
        <v>834</v>
      </c>
      <c r="Q7" s="5">
        <f>SUMIFS(Coin!E:E,Coin!C:C,B7,Coin!D:D,A7)</f>
        <v>0</v>
      </c>
    </row>
    <row r="8" spans="1:22" hidden="1" x14ac:dyDescent="0.25">
      <c r="A8" s="1">
        <f t="shared" si="0"/>
        <v>42826</v>
      </c>
      <c r="B8">
        <v>103</v>
      </c>
      <c r="C8">
        <v>686.35</v>
      </c>
      <c r="E8" s="13">
        <f t="shared" si="1"/>
        <v>686.35</v>
      </c>
      <c r="F8" s="13">
        <v>686.35</v>
      </c>
      <c r="G8" s="13">
        <f t="shared" si="2"/>
        <v>0</v>
      </c>
      <c r="H8" s="14">
        <v>1018</v>
      </c>
      <c r="I8" s="15">
        <v>582.91</v>
      </c>
      <c r="J8" s="13">
        <v>582.91</v>
      </c>
      <c r="K8" s="13">
        <v>0</v>
      </c>
      <c r="L8" s="13">
        <v>836</v>
      </c>
      <c r="Q8" s="5">
        <f>SUMIFS(Coin!E:E,Coin!C:C,B8,Coin!D:D,A8)</f>
        <v>0</v>
      </c>
    </row>
    <row r="9" spans="1:22" hidden="1" x14ac:dyDescent="0.25">
      <c r="A9" s="1">
        <f t="shared" si="0"/>
        <v>42826</v>
      </c>
      <c r="B9">
        <v>201</v>
      </c>
      <c r="C9">
        <v>351</v>
      </c>
      <c r="E9" s="13">
        <f t="shared" si="1"/>
        <v>351</v>
      </c>
      <c r="F9" s="13">
        <v>351</v>
      </c>
      <c r="G9" s="13">
        <f t="shared" si="2"/>
        <v>0</v>
      </c>
      <c r="H9" s="14">
        <v>1021</v>
      </c>
      <c r="I9" s="15">
        <v>408</v>
      </c>
      <c r="J9" s="13">
        <v>408</v>
      </c>
      <c r="K9" s="13">
        <v>0</v>
      </c>
      <c r="L9" s="13">
        <v>847</v>
      </c>
      <c r="Q9" s="5">
        <f>SUMIFS(Coin!E:E,Coin!C:C,B9,Coin!D:D,A9)</f>
        <v>0</v>
      </c>
    </row>
    <row r="10" spans="1:22" hidden="1" x14ac:dyDescent="0.25">
      <c r="A10" s="1">
        <f t="shared" ref="A10:A17" si="3">DATE(2017,4,2)</f>
        <v>42827</v>
      </c>
      <c r="B10">
        <v>35</v>
      </c>
      <c r="C10">
        <v>652.65</v>
      </c>
      <c r="E10" s="13">
        <f t="shared" si="1"/>
        <v>652.65</v>
      </c>
      <c r="F10" s="13">
        <v>652.65</v>
      </c>
      <c r="G10" s="13">
        <f t="shared" si="2"/>
        <v>0</v>
      </c>
      <c r="H10" s="14">
        <v>1000</v>
      </c>
      <c r="I10" s="15">
        <v>762.6</v>
      </c>
      <c r="J10" s="13">
        <v>762.6</v>
      </c>
      <c r="K10" s="13">
        <v>0</v>
      </c>
      <c r="L10" s="13">
        <v>831</v>
      </c>
      <c r="Q10" s="5">
        <f>SUMIFS(Coin!E:E,Coin!C:C,B10,Coin!D:D,A10)</f>
        <v>0</v>
      </c>
    </row>
    <row r="11" spans="1:22" hidden="1" x14ac:dyDescent="0.25">
      <c r="A11" s="1">
        <f t="shared" si="3"/>
        <v>42827</v>
      </c>
      <c r="B11">
        <v>37</v>
      </c>
      <c r="C11">
        <v>590</v>
      </c>
      <c r="E11" s="13">
        <f t="shared" si="1"/>
        <v>590</v>
      </c>
      <c r="F11" s="13">
        <v>590</v>
      </c>
      <c r="G11" s="13">
        <f t="shared" si="2"/>
        <v>0</v>
      </c>
      <c r="H11" s="25">
        <v>1004</v>
      </c>
      <c r="I11" s="15">
        <v>934.94</v>
      </c>
      <c r="J11" s="13">
        <v>934.94</v>
      </c>
      <c r="K11" s="13">
        <v>0</v>
      </c>
      <c r="L11" s="13">
        <v>846</v>
      </c>
      <c r="Q11" s="5">
        <f>SUMIFS(Coin!E:E,Coin!C:C,B11,Coin!D:D,A11)</f>
        <v>0</v>
      </c>
    </row>
    <row r="12" spans="1:22" hidden="1" x14ac:dyDescent="0.25">
      <c r="A12" s="1">
        <f t="shared" si="3"/>
        <v>42827</v>
      </c>
      <c r="B12">
        <v>41</v>
      </c>
      <c r="C12">
        <v>285</v>
      </c>
      <c r="E12" s="13">
        <f t="shared" si="1"/>
        <v>285</v>
      </c>
      <c r="F12" s="13">
        <v>285</v>
      </c>
      <c r="G12" s="13">
        <f t="shared" si="2"/>
        <v>0</v>
      </c>
      <c r="H12" s="14">
        <v>1006</v>
      </c>
      <c r="I12" s="15">
        <v>270</v>
      </c>
      <c r="J12" s="13">
        <v>270</v>
      </c>
      <c r="K12" s="13">
        <v>0</v>
      </c>
      <c r="L12" s="13">
        <v>830</v>
      </c>
      <c r="Q12" s="5">
        <f>SUMIFS(Coin!E:E,Coin!C:C,B12,Coin!D:D,A12)</f>
        <v>0</v>
      </c>
    </row>
    <row r="13" spans="1:22" hidden="1" x14ac:dyDescent="0.25">
      <c r="A13" s="1">
        <f t="shared" si="3"/>
        <v>42827</v>
      </c>
      <c r="B13">
        <v>43</v>
      </c>
      <c r="C13">
        <v>589.95000000000005</v>
      </c>
      <c r="E13" s="13">
        <f t="shared" si="1"/>
        <v>589.95000000000005</v>
      </c>
      <c r="F13" s="13">
        <v>589.95000000000005</v>
      </c>
      <c r="G13" s="13">
        <f t="shared" si="2"/>
        <v>0</v>
      </c>
      <c r="H13" s="14">
        <v>1010</v>
      </c>
      <c r="I13" s="15">
        <v>374.96</v>
      </c>
      <c r="J13" s="13">
        <v>374.96</v>
      </c>
      <c r="K13" s="13">
        <v>0</v>
      </c>
      <c r="L13" s="13">
        <v>832</v>
      </c>
      <c r="Q13" s="5">
        <f>SUMIFS(Coin!E:E,Coin!C:C,B13,Coin!D:D,A13)</f>
        <v>0</v>
      </c>
    </row>
    <row r="14" spans="1:22" hidden="1" x14ac:dyDescent="0.25">
      <c r="A14" s="1">
        <f t="shared" si="3"/>
        <v>42827</v>
      </c>
      <c r="B14">
        <v>44</v>
      </c>
      <c r="C14">
        <v>73.849999999999994</v>
      </c>
      <c r="E14" s="13">
        <f t="shared" si="1"/>
        <v>73.849999999999994</v>
      </c>
      <c r="F14" s="13">
        <v>73.849999999999994</v>
      </c>
      <c r="G14" s="13">
        <f t="shared" si="2"/>
        <v>0</v>
      </c>
      <c r="H14" s="14">
        <v>1014</v>
      </c>
      <c r="I14" s="15">
        <v>175</v>
      </c>
      <c r="J14" s="13">
        <v>175</v>
      </c>
      <c r="K14" s="13">
        <v>0</v>
      </c>
      <c r="L14" s="13">
        <v>827</v>
      </c>
      <c r="Q14" s="5">
        <f>SUMIFS(Coin!E:E,Coin!C:C,B14,Coin!D:D,A14)</f>
        <v>0</v>
      </c>
    </row>
    <row r="15" spans="1:22" hidden="1" x14ac:dyDescent="0.25">
      <c r="A15" s="1">
        <f t="shared" si="3"/>
        <v>42827</v>
      </c>
      <c r="B15">
        <v>101</v>
      </c>
      <c r="C15">
        <v>65</v>
      </c>
      <c r="E15" s="13">
        <f t="shared" si="1"/>
        <v>65</v>
      </c>
      <c r="F15" s="13">
        <v>65</v>
      </c>
      <c r="G15" s="13">
        <f t="shared" si="2"/>
        <v>0</v>
      </c>
      <c r="H15" s="14">
        <v>1017</v>
      </c>
      <c r="I15" s="15">
        <v>70</v>
      </c>
      <c r="J15" s="13">
        <v>70</v>
      </c>
      <c r="K15" s="13">
        <v>0</v>
      </c>
      <c r="L15" s="13">
        <v>829</v>
      </c>
      <c r="Q15" s="5">
        <f>SUMIFS(Coin!E:E,Coin!C:C,B15,Coin!D:D,A15)</f>
        <v>0</v>
      </c>
    </row>
    <row r="16" spans="1:22" hidden="1" x14ac:dyDescent="0.25">
      <c r="A16" s="1">
        <f t="shared" si="3"/>
        <v>42827</v>
      </c>
      <c r="B16">
        <v>103</v>
      </c>
      <c r="C16">
        <v>415</v>
      </c>
      <c r="E16" s="13">
        <f t="shared" si="1"/>
        <v>415</v>
      </c>
      <c r="F16" s="13">
        <v>415</v>
      </c>
      <c r="G16" s="13">
        <f t="shared" si="2"/>
        <v>0</v>
      </c>
      <c r="H16" s="14">
        <v>1019</v>
      </c>
      <c r="I16" s="15">
        <v>185</v>
      </c>
      <c r="J16" s="13">
        <v>185</v>
      </c>
      <c r="K16" s="13">
        <v>0</v>
      </c>
      <c r="L16" s="13">
        <v>828</v>
      </c>
      <c r="Q16" s="5">
        <f>SUMIFS(Coin!E:E,Coin!C:C,B16,Coin!D:D,A16)</f>
        <v>0</v>
      </c>
    </row>
    <row r="17" spans="1:22" hidden="1" x14ac:dyDescent="0.25">
      <c r="A17" s="1">
        <f t="shared" si="3"/>
        <v>42827</v>
      </c>
      <c r="B17">
        <v>201</v>
      </c>
      <c r="C17">
        <v>105</v>
      </c>
      <c r="E17" s="13">
        <f t="shared" si="1"/>
        <v>105</v>
      </c>
      <c r="F17" s="13">
        <v>105</v>
      </c>
      <c r="G17" s="13">
        <f t="shared" si="2"/>
        <v>0</v>
      </c>
      <c r="H17" s="14">
        <v>1022</v>
      </c>
      <c r="I17" s="15">
        <v>310</v>
      </c>
      <c r="J17" s="13">
        <v>310</v>
      </c>
      <c r="K17" s="13">
        <v>0</v>
      </c>
      <c r="L17" s="13">
        <v>845</v>
      </c>
      <c r="Q17" s="5">
        <f>SUMIFS(Coin!E:E,Coin!C:C,B17,Coin!D:D,A17)</f>
        <v>0</v>
      </c>
    </row>
    <row r="18" spans="1:22" hidden="1" x14ac:dyDescent="0.25">
      <c r="A18" s="1">
        <f t="shared" ref="A18:A25" si="4">DATE(2017,4,3)</f>
        <v>42828</v>
      </c>
      <c r="B18">
        <v>35</v>
      </c>
      <c r="C18">
        <v>345.9</v>
      </c>
      <c r="E18" s="13">
        <f t="shared" ref="E18:E25" si="5">C18+D18-Q18+U18</f>
        <v>345</v>
      </c>
      <c r="F18" s="13">
        <v>345</v>
      </c>
      <c r="G18" s="13">
        <f t="shared" si="2"/>
        <v>0</v>
      </c>
      <c r="H18" s="14">
        <v>999</v>
      </c>
      <c r="I18" s="15">
        <v>492.87</v>
      </c>
      <c r="J18" s="13">
        <v>492.87</v>
      </c>
      <c r="K18" s="13">
        <v>0</v>
      </c>
      <c r="L18" s="13">
        <v>856</v>
      </c>
      <c r="Q18" s="15">
        <v>0.9</v>
      </c>
      <c r="R18" s="13">
        <v>0.9</v>
      </c>
      <c r="S18" s="13">
        <v>0</v>
      </c>
      <c r="T18" s="19">
        <v>1026</v>
      </c>
    </row>
    <row r="19" spans="1:22" hidden="1" x14ac:dyDescent="0.25">
      <c r="A19" s="1">
        <f t="shared" si="4"/>
        <v>42828</v>
      </c>
      <c r="B19">
        <v>37</v>
      </c>
      <c r="C19">
        <v>460</v>
      </c>
      <c r="E19" s="13">
        <f t="shared" si="5"/>
        <v>460</v>
      </c>
      <c r="F19" s="13">
        <v>460</v>
      </c>
      <c r="G19" s="13">
        <f t="shared" ref="G19:G29" si="6">E19-F19</f>
        <v>0</v>
      </c>
      <c r="H19" s="14">
        <v>1027</v>
      </c>
      <c r="I19" s="15">
        <v>495</v>
      </c>
      <c r="J19" s="13">
        <v>495</v>
      </c>
      <c r="K19" s="13">
        <v>0</v>
      </c>
      <c r="L19" s="13">
        <v>858</v>
      </c>
      <c r="Q19" s="5">
        <f>SUMIFS(Coin!E:E,Coin!C:C,B19,Coin!D:D,A19)</f>
        <v>0</v>
      </c>
    </row>
    <row r="20" spans="1:22" hidden="1" x14ac:dyDescent="0.25">
      <c r="A20" s="1">
        <f t="shared" si="4"/>
        <v>42828</v>
      </c>
      <c r="B20">
        <v>41</v>
      </c>
      <c r="C20">
        <v>215</v>
      </c>
      <c r="E20" s="13">
        <f t="shared" si="5"/>
        <v>215</v>
      </c>
      <c r="F20" s="13">
        <v>215</v>
      </c>
      <c r="G20" s="13">
        <f t="shared" si="6"/>
        <v>0</v>
      </c>
      <c r="H20" s="14">
        <v>1035</v>
      </c>
      <c r="I20" s="15">
        <v>313.83</v>
      </c>
      <c r="J20" s="13">
        <v>313.83</v>
      </c>
      <c r="K20" s="13">
        <v>0</v>
      </c>
      <c r="L20" s="13">
        <v>852</v>
      </c>
      <c r="Q20" s="5">
        <f>SUMIFS(Coin!E:E,Coin!C:C,B20,Coin!D:D,A20)</f>
        <v>0</v>
      </c>
    </row>
    <row r="21" spans="1:22" hidden="1" x14ac:dyDescent="0.25">
      <c r="A21" s="1">
        <f t="shared" si="4"/>
        <v>42828</v>
      </c>
      <c r="B21">
        <v>43</v>
      </c>
      <c r="C21">
        <v>477.95</v>
      </c>
      <c r="E21" s="13">
        <f t="shared" si="5"/>
        <v>477.95</v>
      </c>
      <c r="F21" s="13">
        <v>477.95</v>
      </c>
      <c r="G21" s="13">
        <f t="shared" si="6"/>
        <v>0</v>
      </c>
      <c r="H21" s="14">
        <v>1028</v>
      </c>
      <c r="I21" s="15">
        <v>155</v>
      </c>
      <c r="J21" s="13">
        <v>155</v>
      </c>
      <c r="K21" s="13">
        <v>0</v>
      </c>
      <c r="L21" s="13">
        <v>854</v>
      </c>
      <c r="Q21" s="5">
        <f>SUMIFS(Coin!E:E,Coin!C:C,B21,Coin!D:D,A21)</f>
        <v>0</v>
      </c>
    </row>
    <row r="22" spans="1:22" hidden="1" x14ac:dyDescent="0.25">
      <c r="A22" s="1">
        <f t="shared" si="4"/>
        <v>42828</v>
      </c>
      <c r="B22">
        <v>44</v>
      </c>
      <c r="C22">
        <v>392.7</v>
      </c>
      <c r="E22" s="13">
        <f t="shared" si="5"/>
        <v>392.7</v>
      </c>
      <c r="F22" s="13">
        <v>392.7</v>
      </c>
      <c r="G22" s="13">
        <f t="shared" si="6"/>
        <v>0</v>
      </c>
      <c r="H22" s="14">
        <v>1029</v>
      </c>
      <c r="I22" s="15">
        <v>329.73</v>
      </c>
      <c r="J22" s="13">
        <v>329.73</v>
      </c>
      <c r="K22" s="13">
        <v>0</v>
      </c>
      <c r="L22" s="13">
        <v>855</v>
      </c>
      <c r="Q22" s="5">
        <f>SUMIFS(Coin!E:E,Coin!C:C,B22,Coin!D:D,A22)</f>
        <v>0</v>
      </c>
    </row>
    <row r="23" spans="1:22" hidden="1" x14ac:dyDescent="0.25">
      <c r="A23" s="1">
        <f t="shared" si="4"/>
        <v>42828</v>
      </c>
      <c r="B23">
        <v>101</v>
      </c>
      <c r="C23">
        <v>292.95</v>
      </c>
      <c r="E23" s="13">
        <f t="shared" si="5"/>
        <v>292.95</v>
      </c>
      <c r="F23" s="13">
        <v>292.95</v>
      </c>
      <c r="G23" s="13">
        <f t="shared" si="6"/>
        <v>0</v>
      </c>
      <c r="H23" s="14">
        <v>1030</v>
      </c>
      <c r="I23" s="15">
        <v>115</v>
      </c>
      <c r="J23" s="13">
        <v>115</v>
      </c>
      <c r="K23" s="13">
        <v>0</v>
      </c>
      <c r="L23" s="13">
        <v>851</v>
      </c>
      <c r="Q23" s="5">
        <f>SUMIFS(Coin!E:E,Coin!C:C,B23,Coin!D:D,A23)</f>
        <v>0</v>
      </c>
    </row>
    <row r="24" spans="1:22" hidden="1" x14ac:dyDescent="0.25">
      <c r="A24" s="1">
        <f t="shared" si="4"/>
        <v>42828</v>
      </c>
      <c r="B24">
        <v>103</v>
      </c>
      <c r="C24">
        <v>777.75</v>
      </c>
      <c r="E24" s="13">
        <f t="shared" si="5"/>
        <v>855.7</v>
      </c>
      <c r="F24" s="13">
        <v>855.7</v>
      </c>
      <c r="G24" s="13">
        <f t="shared" si="6"/>
        <v>0</v>
      </c>
      <c r="H24" s="14">
        <v>1031</v>
      </c>
      <c r="I24" s="15">
        <v>546.73</v>
      </c>
      <c r="J24" s="13">
        <v>546.73</v>
      </c>
      <c r="K24" s="13">
        <v>0</v>
      </c>
      <c r="L24" s="13">
        <v>853</v>
      </c>
      <c r="Q24" s="5">
        <f>SUMIFS(Coin!E:E,Coin!C:C,B24,Coin!D:D,A24)</f>
        <v>0</v>
      </c>
      <c r="U24" s="21">
        <v>77.95</v>
      </c>
    </row>
    <row r="25" spans="1:22" hidden="1" x14ac:dyDescent="0.25">
      <c r="A25" s="1">
        <f t="shared" si="4"/>
        <v>42828</v>
      </c>
      <c r="B25">
        <v>201</v>
      </c>
      <c r="C25">
        <v>250</v>
      </c>
      <c r="E25" s="13">
        <f t="shared" si="5"/>
        <v>250</v>
      </c>
      <c r="F25" s="13">
        <v>250</v>
      </c>
      <c r="G25" s="13">
        <f t="shared" si="6"/>
        <v>0</v>
      </c>
      <c r="H25" s="14">
        <v>1040</v>
      </c>
      <c r="I25" s="15">
        <v>349.98</v>
      </c>
      <c r="J25" s="13">
        <v>349.98</v>
      </c>
      <c r="K25" s="13">
        <v>0</v>
      </c>
      <c r="L25" s="13">
        <v>857</v>
      </c>
      <c r="Q25" s="5">
        <f>SUMIFS(Coin!E:E,Coin!C:C,B25,Coin!D:D,A25)</f>
        <v>0</v>
      </c>
      <c r="V25" s="21">
        <v>30</v>
      </c>
    </row>
    <row r="26" spans="1:22" hidden="1" x14ac:dyDescent="0.25">
      <c r="A26" s="1">
        <f t="shared" ref="A26:A33" si="7">DATE(2017,4,4)</f>
        <v>42829</v>
      </c>
      <c r="B26">
        <v>35</v>
      </c>
      <c r="C26">
        <v>637.95000000000005</v>
      </c>
      <c r="E26" s="13">
        <f t="shared" ref="E26:E41" si="8">C26+D26-Q26+U26</f>
        <v>637.95000000000005</v>
      </c>
      <c r="F26" s="13">
        <v>637.95000000000005</v>
      </c>
      <c r="G26" s="13">
        <f t="shared" si="6"/>
        <v>0</v>
      </c>
      <c r="H26" s="14">
        <v>1032</v>
      </c>
      <c r="I26" s="15">
        <v>538.80999999999995</v>
      </c>
      <c r="J26" s="13">
        <v>538.80999999999995</v>
      </c>
      <c r="K26" s="13">
        <v>0</v>
      </c>
      <c r="L26" s="13">
        <v>869</v>
      </c>
      <c r="Q26" s="5">
        <f>SUMIFS(Coin!E:E,Coin!C:C,B26,Coin!D:D,A26)</f>
        <v>0</v>
      </c>
    </row>
    <row r="27" spans="1:22" hidden="1" x14ac:dyDescent="0.25">
      <c r="A27" s="1">
        <f t="shared" si="7"/>
        <v>42829</v>
      </c>
      <c r="B27">
        <v>37</v>
      </c>
      <c r="C27">
        <v>327.95</v>
      </c>
      <c r="E27" s="13">
        <f t="shared" si="8"/>
        <v>327.95</v>
      </c>
      <c r="F27" s="13">
        <v>327.95</v>
      </c>
      <c r="G27" s="13">
        <f t="shared" si="6"/>
        <v>0</v>
      </c>
      <c r="H27" s="14">
        <v>1033</v>
      </c>
      <c r="I27" s="15">
        <v>499.95</v>
      </c>
      <c r="J27" s="13">
        <v>499.95</v>
      </c>
      <c r="K27" s="13">
        <v>0</v>
      </c>
      <c r="L27" s="13">
        <v>874</v>
      </c>
      <c r="Q27" s="5">
        <f>SUMIFS(Coin!E:E,Coin!C:C,B27,Coin!D:D,A27)</f>
        <v>0</v>
      </c>
    </row>
    <row r="28" spans="1:22" hidden="1" x14ac:dyDescent="0.25">
      <c r="A28" s="1">
        <f t="shared" si="7"/>
        <v>42829</v>
      </c>
      <c r="B28">
        <v>41</v>
      </c>
      <c r="C28">
        <v>428.45</v>
      </c>
      <c r="E28" s="13">
        <f t="shared" si="8"/>
        <v>428.45</v>
      </c>
      <c r="F28" s="13">
        <v>428.45</v>
      </c>
      <c r="G28" s="13">
        <f t="shared" si="6"/>
        <v>0</v>
      </c>
      <c r="H28" s="14">
        <v>1034</v>
      </c>
      <c r="I28" s="15">
        <v>509.96</v>
      </c>
      <c r="J28" s="13">
        <v>509.96</v>
      </c>
      <c r="K28" s="13">
        <v>0</v>
      </c>
      <c r="L28" s="13">
        <v>865</v>
      </c>
      <c r="Q28" s="5">
        <f>SUMIFS(Coin!E:E,Coin!C:C,B28,Coin!D:D,A28)</f>
        <v>0</v>
      </c>
    </row>
    <row r="29" spans="1:22" hidden="1" x14ac:dyDescent="0.25">
      <c r="A29" s="1">
        <f t="shared" si="7"/>
        <v>42829</v>
      </c>
      <c r="B29">
        <v>43</v>
      </c>
      <c r="C29">
        <v>1010</v>
      </c>
      <c r="E29" s="13">
        <f t="shared" si="8"/>
        <v>1010</v>
      </c>
      <c r="F29" s="13">
        <v>1010</v>
      </c>
      <c r="G29" s="13">
        <f t="shared" si="6"/>
        <v>0</v>
      </c>
      <c r="H29" s="14">
        <v>1036</v>
      </c>
      <c r="I29" s="15">
        <v>325</v>
      </c>
      <c r="J29" s="13">
        <v>325</v>
      </c>
      <c r="K29" s="13">
        <v>0</v>
      </c>
      <c r="L29" s="13">
        <v>868</v>
      </c>
      <c r="Q29" s="5">
        <f>SUMIFS(Coin!E:E,Coin!C:C,B29,Coin!D:D,A29)</f>
        <v>0</v>
      </c>
    </row>
    <row r="30" spans="1:22" hidden="1" x14ac:dyDescent="0.25">
      <c r="A30" s="1">
        <f t="shared" si="7"/>
        <v>42829</v>
      </c>
      <c r="B30">
        <v>44</v>
      </c>
      <c r="C30">
        <v>292.95</v>
      </c>
      <c r="E30">
        <f t="shared" si="8"/>
        <v>292.95</v>
      </c>
      <c r="I30" s="15">
        <f>275</f>
        <v>275</v>
      </c>
      <c r="J30" s="13">
        <v>275</v>
      </c>
      <c r="K30" s="13">
        <v>0</v>
      </c>
      <c r="L30" s="13">
        <v>870</v>
      </c>
      <c r="Q30" s="5">
        <f>SUMIFS(Coin!E:E,Coin!C:C,B30,Coin!D:D,A30)</f>
        <v>0</v>
      </c>
      <c r="V30" s="21">
        <v>50</v>
      </c>
    </row>
    <row r="31" spans="1:22" hidden="1" x14ac:dyDescent="0.25">
      <c r="A31" s="1">
        <f t="shared" si="7"/>
        <v>42829</v>
      </c>
      <c r="B31">
        <v>101</v>
      </c>
      <c r="C31">
        <v>450</v>
      </c>
      <c r="E31" s="13">
        <f t="shared" si="8"/>
        <v>450</v>
      </c>
      <c r="F31" s="13">
        <v>450</v>
      </c>
      <c r="G31" s="13">
        <f t="shared" ref="G31:G37" si="9">E31-F31</f>
        <v>0</v>
      </c>
      <c r="H31" s="14">
        <v>1037</v>
      </c>
      <c r="I31" s="15">
        <v>476.75</v>
      </c>
      <c r="J31" s="13">
        <v>476.75</v>
      </c>
      <c r="K31" s="13">
        <v>0</v>
      </c>
      <c r="L31" s="13">
        <v>866</v>
      </c>
      <c r="Q31" s="5">
        <f>SUMIFS(Coin!E:E,Coin!C:C,B31,Coin!D:D,A31)</f>
        <v>0</v>
      </c>
    </row>
    <row r="32" spans="1:22" hidden="1" x14ac:dyDescent="0.25">
      <c r="A32" s="1">
        <f t="shared" si="7"/>
        <v>42829</v>
      </c>
      <c r="B32">
        <v>103</v>
      </c>
      <c r="C32">
        <v>906.85</v>
      </c>
      <c r="E32" s="13">
        <f t="shared" si="8"/>
        <v>906.85</v>
      </c>
      <c r="F32" s="13">
        <v>906.85</v>
      </c>
      <c r="G32" s="13">
        <f t="shared" si="9"/>
        <v>0</v>
      </c>
      <c r="H32" s="14">
        <v>1038</v>
      </c>
      <c r="I32" s="15">
        <v>265.85000000000002</v>
      </c>
      <c r="J32" s="13">
        <v>265.85000000000002</v>
      </c>
      <c r="K32" s="13">
        <v>0</v>
      </c>
      <c r="L32" s="13">
        <v>867</v>
      </c>
      <c r="Q32" s="5">
        <f>SUMIFS(Coin!E:E,Coin!C:C,B32,Coin!D:D,A32)</f>
        <v>0</v>
      </c>
    </row>
    <row r="33" spans="1:22" hidden="1" x14ac:dyDescent="0.25">
      <c r="A33" s="1">
        <f t="shared" si="7"/>
        <v>42829</v>
      </c>
      <c r="B33">
        <v>201</v>
      </c>
      <c r="C33">
        <v>335</v>
      </c>
      <c r="E33" s="13">
        <f t="shared" si="8"/>
        <v>335</v>
      </c>
      <c r="F33" s="13">
        <v>335</v>
      </c>
      <c r="G33" s="13">
        <f t="shared" si="9"/>
        <v>0</v>
      </c>
      <c r="H33" s="14">
        <v>1039</v>
      </c>
      <c r="I33" s="15">
        <v>115</v>
      </c>
      <c r="J33" s="13">
        <v>115</v>
      </c>
      <c r="K33" s="13">
        <v>0</v>
      </c>
      <c r="L33" s="13">
        <v>873</v>
      </c>
      <c r="Q33" s="5">
        <f>SUMIFS(Coin!E:E,Coin!C:C,B33,Coin!D:D,A33)</f>
        <v>0</v>
      </c>
    </row>
    <row r="34" spans="1:22" hidden="1" x14ac:dyDescent="0.25">
      <c r="A34" s="1">
        <f t="shared" ref="A34:A41" si="10">DATE(2017,4,5)</f>
        <v>42830</v>
      </c>
      <c r="B34">
        <v>35</v>
      </c>
      <c r="C34">
        <v>755.9</v>
      </c>
      <c r="E34" s="13">
        <f t="shared" si="8"/>
        <v>755</v>
      </c>
      <c r="F34" s="13">
        <v>755</v>
      </c>
      <c r="G34" s="13">
        <f t="shared" si="9"/>
        <v>0</v>
      </c>
      <c r="H34" s="14">
        <v>1025</v>
      </c>
      <c r="I34" s="15">
        <v>522.89</v>
      </c>
      <c r="J34" s="13">
        <v>522.89</v>
      </c>
      <c r="K34" s="13">
        <v>0</v>
      </c>
      <c r="L34" s="13">
        <v>862</v>
      </c>
      <c r="Q34" s="15">
        <v>0.9</v>
      </c>
      <c r="R34" s="13">
        <v>0.9</v>
      </c>
      <c r="S34" s="13">
        <v>0</v>
      </c>
      <c r="T34" s="19">
        <v>1041</v>
      </c>
    </row>
    <row r="35" spans="1:22" hidden="1" x14ac:dyDescent="0.25">
      <c r="A35" s="1">
        <f t="shared" si="10"/>
        <v>42830</v>
      </c>
      <c r="B35">
        <v>37</v>
      </c>
      <c r="C35">
        <v>630.79999999999995</v>
      </c>
      <c r="E35" s="13">
        <f t="shared" si="8"/>
        <v>630.79999999999995</v>
      </c>
      <c r="F35" s="13">
        <v>630.79999999999995</v>
      </c>
      <c r="G35" s="13">
        <f t="shared" si="9"/>
        <v>0</v>
      </c>
      <c r="H35" s="14">
        <v>1042</v>
      </c>
      <c r="I35" s="15">
        <v>477.8</v>
      </c>
      <c r="J35" s="13">
        <v>477.8</v>
      </c>
      <c r="K35" s="13">
        <v>0</v>
      </c>
      <c r="L35" s="13">
        <v>871</v>
      </c>
      <c r="Q35" s="5">
        <f>SUMIFS(Coin!E:E,Coin!C:C,B35,Coin!D:D,A35)</f>
        <v>0</v>
      </c>
    </row>
    <row r="36" spans="1:22" hidden="1" x14ac:dyDescent="0.25">
      <c r="A36" s="1">
        <f t="shared" si="10"/>
        <v>42830</v>
      </c>
      <c r="B36">
        <v>41</v>
      </c>
      <c r="C36">
        <v>770.9</v>
      </c>
      <c r="D36">
        <v>-7</v>
      </c>
      <c r="E36" s="13">
        <f t="shared" si="8"/>
        <v>767.4</v>
      </c>
      <c r="F36" s="13">
        <v>767.4</v>
      </c>
      <c r="G36" s="13">
        <f t="shared" si="9"/>
        <v>0</v>
      </c>
      <c r="H36" s="14">
        <v>1043</v>
      </c>
      <c r="I36" s="15">
        <v>550.9</v>
      </c>
      <c r="J36" s="13">
        <v>550.9</v>
      </c>
      <c r="K36" s="13">
        <v>0</v>
      </c>
      <c r="L36" s="13">
        <v>864</v>
      </c>
      <c r="Q36" s="5">
        <f>SUMIFS(Coin!E:E,Coin!C:C,B36,Coin!D:D,A36)</f>
        <v>0</v>
      </c>
      <c r="U36" s="21">
        <v>3.5</v>
      </c>
    </row>
    <row r="37" spans="1:22" hidden="1" x14ac:dyDescent="0.25">
      <c r="A37" s="1">
        <f t="shared" si="10"/>
        <v>42830</v>
      </c>
      <c r="B37">
        <v>43</v>
      </c>
      <c r="C37">
        <v>1047.9000000000001</v>
      </c>
      <c r="E37" s="13">
        <f t="shared" si="8"/>
        <v>1047.9000000000001</v>
      </c>
      <c r="F37" s="13">
        <v>1047.9000000000001</v>
      </c>
      <c r="G37" s="13">
        <f t="shared" si="9"/>
        <v>0</v>
      </c>
      <c r="H37" s="14">
        <v>1044</v>
      </c>
      <c r="I37" s="15">
        <v>294.98</v>
      </c>
      <c r="J37" s="13">
        <v>294.98</v>
      </c>
      <c r="K37" s="13">
        <v>0</v>
      </c>
      <c r="L37" s="13">
        <v>859</v>
      </c>
      <c r="Q37" s="5">
        <f>SUMIFS(Coin!E:E,Coin!C:C,B37,Coin!D:D,A37)</f>
        <v>0</v>
      </c>
    </row>
    <row r="38" spans="1:22" hidden="1" x14ac:dyDescent="0.25">
      <c r="A38" s="1">
        <f t="shared" si="10"/>
        <v>42830</v>
      </c>
      <c r="B38">
        <v>44</v>
      </c>
      <c r="C38">
        <v>315.64999999999998</v>
      </c>
      <c r="D38">
        <v>322.95</v>
      </c>
      <c r="E38">
        <f t="shared" si="8"/>
        <v>638.59999999999991</v>
      </c>
      <c r="I38" s="15">
        <v>445</v>
      </c>
      <c r="J38" s="13">
        <v>445</v>
      </c>
      <c r="K38" s="13">
        <v>0</v>
      </c>
      <c r="L38" s="13">
        <v>860</v>
      </c>
      <c r="Q38" s="5">
        <f>SUMIFS(Coin!E:E,Coin!C:C,B38,Coin!D:D,A38)</f>
        <v>0</v>
      </c>
    </row>
    <row r="39" spans="1:22" hidden="1" x14ac:dyDescent="0.25">
      <c r="A39" s="1">
        <f t="shared" si="10"/>
        <v>42830</v>
      </c>
      <c r="B39">
        <v>101</v>
      </c>
      <c r="C39">
        <v>382.95</v>
      </c>
      <c r="E39" s="13">
        <f t="shared" si="8"/>
        <v>382.95</v>
      </c>
      <c r="F39" s="13">
        <v>382.95</v>
      </c>
      <c r="G39" s="13">
        <f t="shared" ref="G39:G45" si="11">E39-F39</f>
        <v>0</v>
      </c>
      <c r="H39" s="14">
        <v>1045</v>
      </c>
      <c r="I39" s="15">
        <v>404.98</v>
      </c>
      <c r="J39" s="13">
        <v>404.98</v>
      </c>
      <c r="K39" s="13">
        <v>0</v>
      </c>
      <c r="L39" s="13">
        <v>863</v>
      </c>
      <c r="Q39" s="5">
        <f>SUMIFS(Coin!E:E,Coin!C:C,B39,Coin!D:D,A39)</f>
        <v>0</v>
      </c>
    </row>
    <row r="40" spans="1:22" hidden="1" x14ac:dyDescent="0.25">
      <c r="A40" s="1">
        <f t="shared" si="10"/>
        <v>42830</v>
      </c>
      <c r="B40">
        <v>103</v>
      </c>
      <c r="C40">
        <v>971.6</v>
      </c>
      <c r="D40">
        <v>-8.5</v>
      </c>
      <c r="E40" s="13">
        <f t="shared" si="8"/>
        <v>967.30000000000007</v>
      </c>
      <c r="F40" s="13">
        <v>967.3</v>
      </c>
      <c r="G40" s="13">
        <f t="shared" si="11"/>
        <v>0</v>
      </c>
      <c r="H40" s="14">
        <v>1046</v>
      </c>
      <c r="I40" s="15">
        <v>492.78</v>
      </c>
      <c r="J40" s="13">
        <v>492.78</v>
      </c>
      <c r="K40" s="13">
        <v>0</v>
      </c>
      <c r="L40" s="13">
        <v>861</v>
      </c>
      <c r="Q40" s="5">
        <f>SUMIFS(Coin!E:E,Coin!C:C,B40,Coin!D:D,A40)</f>
        <v>0</v>
      </c>
      <c r="U40" s="21">
        <v>4.2</v>
      </c>
    </row>
    <row r="41" spans="1:22" hidden="1" x14ac:dyDescent="0.25">
      <c r="A41" s="1">
        <f t="shared" si="10"/>
        <v>42830</v>
      </c>
      <c r="B41">
        <v>201</v>
      </c>
      <c r="C41">
        <v>395</v>
      </c>
      <c r="E41" s="13">
        <f t="shared" si="8"/>
        <v>395</v>
      </c>
      <c r="F41" s="13">
        <v>395</v>
      </c>
      <c r="G41" s="13">
        <f t="shared" si="11"/>
        <v>0</v>
      </c>
      <c r="H41" s="14">
        <v>1074</v>
      </c>
      <c r="I41" s="15">
        <v>110</v>
      </c>
      <c r="J41" s="13">
        <v>110</v>
      </c>
      <c r="K41" s="13">
        <v>0</v>
      </c>
      <c r="L41" s="13">
        <v>872</v>
      </c>
      <c r="Q41" s="5">
        <f>SUMIFS(Coin!E:E,Coin!C:C,B41,Coin!D:D,A41)</f>
        <v>0</v>
      </c>
    </row>
    <row r="42" spans="1:22" hidden="1" x14ac:dyDescent="0.25">
      <c r="A42" s="1">
        <f t="shared" ref="A42:A49" si="12">DATE(2017,4,6)</f>
        <v>42831</v>
      </c>
      <c r="B42">
        <v>35</v>
      </c>
      <c r="C42">
        <v>1240.8</v>
      </c>
      <c r="E42" s="13">
        <f t="shared" ref="E42:E49" si="13">C42+D42-Q42+U42</f>
        <v>1240.8</v>
      </c>
      <c r="F42" s="13">
        <v>1240.8</v>
      </c>
      <c r="G42" s="13">
        <f t="shared" si="11"/>
        <v>0</v>
      </c>
      <c r="H42" s="14">
        <v>1049</v>
      </c>
      <c r="I42" s="15">
        <v>1380.74</v>
      </c>
      <c r="J42" s="13">
        <v>1380.74</v>
      </c>
      <c r="K42" s="13">
        <v>0</v>
      </c>
      <c r="L42" s="13">
        <v>875</v>
      </c>
      <c r="Q42" s="5">
        <f>SUMIFS(Coin!E:E,Coin!C:C,B42,Coin!D:D,A42)</f>
        <v>0</v>
      </c>
    </row>
    <row r="43" spans="1:22" hidden="1" x14ac:dyDescent="0.25">
      <c r="A43" s="1">
        <f t="shared" si="12"/>
        <v>42831</v>
      </c>
      <c r="B43">
        <v>37</v>
      </c>
      <c r="C43">
        <v>565</v>
      </c>
      <c r="E43" s="13">
        <f t="shared" si="13"/>
        <v>590</v>
      </c>
      <c r="F43" s="13">
        <v>590</v>
      </c>
      <c r="G43" s="13">
        <f t="shared" si="11"/>
        <v>0</v>
      </c>
      <c r="H43" s="14">
        <v>1050</v>
      </c>
      <c r="I43" s="15">
        <f>1134.95-25</f>
        <v>1109.95</v>
      </c>
      <c r="J43" s="13">
        <v>1109.95</v>
      </c>
      <c r="K43" s="13">
        <v>0</v>
      </c>
      <c r="L43" s="13">
        <v>881</v>
      </c>
      <c r="Q43" s="5">
        <f>SUMIFS(Coin!E:E,Coin!C:C,B43,Coin!D:D,A43)</f>
        <v>0</v>
      </c>
      <c r="U43" s="21">
        <v>25</v>
      </c>
      <c r="V43" s="21">
        <v>-25</v>
      </c>
    </row>
    <row r="44" spans="1:22" hidden="1" x14ac:dyDescent="0.25">
      <c r="A44" s="1">
        <f t="shared" si="12"/>
        <v>42831</v>
      </c>
      <c r="B44">
        <v>41</v>
      </c>
      <c r="C44">
        <v>629</v>
      </c>
      <c r="E44" s="13">
        <f t="shared" si="13"/>
        <v>629</v>
      </c>
      <c r="F44" s="13">
        <v>629</v>
      </c>
      <c r="G44" s="13">
        <f t="shared" si="11"/>
        <v>0</v>
      </c>
      <c r="H44" s="14">
        <v>1051</v>
      </c>
      <c r="I44" s="15">
        <v>463.88</v>
      </c>
      <c r="J44" s="13">
        <v>463.88</v>
      </c>
      <c r="K44" s="13">
        <v>0</v>
      </c>
      <c r="L44" s="13">
        <v>878</v>
      </c>
      <c r="Q44" s="5">
        <f>SUMIFS(Coin!E:E,Coin!C:C,B44,Coin!D:D,A44)</f>
        <v>0</v>
      </c>
    </row>
    <row r="45" spans="1:22" hidden="1" x14ac:dyDescent="0.25">
      <c r="A45" s="1">
        <f t="shared" si="12"/>
        <v>42831</v>
      </c>
      <c r="B45">
        <v>43</v>
      </c>
      <c r="C45">
        <v>915</v>
      </c>
      <c r="E45" s="13">
        <f t="shared" si="13"/>
        <v>915</v>
      </c>
      <c r="F45" s="13">
        <v>915</v>
      </c>
      <c r="G45" s="13">
        <f t="shared" si="11"/>
        <v>0</v>
      </c>
      <c r="H45" s="14">
        <v>1052</v>
      </c>
      <c r="I45" s="15">
        <v>425</v>
      </c>
      <c r="J45" s="13">
        <v>425</v>
      </c>
      <c r="K45" s="13">
        <v>0</v>
      </c>
      <c r="L45" s="13">
        <v>880</v>
      </c>
      <c r="Q45" s="5">
        <f>SUMIFS(Coin!E:E,Coin!C:C,B45,Coin!D:D,A45)</f>
        <v>0</v>
      </c>
    </row>
    <row r="46" spans="1:22" hidden="1" x14ac:dyDescent="0.25">
      <c r="A46" s="1">
        <f t="shared" si="12"/>
        <v>42831</v>
      </c>
      <c r="B46">
        <v>44</v>
      </c>
      <c r="C46">
        <v>711.8</v>
      </c>
      <c r="E46">
        <f t="shared" si="13"/>
        <v>711.8</v>
      </c>
      <c r="I46" s="15">
        <v>488.8</v>
      </c>
      <c r="J46" s="13">
        <v>488.8</v>
      </c>
      <c r="K46" s="13">
        <v>0</v>
      </c>
      <c r="L46" s="13">
        <v>877</v>
      </c>
      <c r="M46" s="15">
        <v>77.95</v>
      </c>
      <c r="N46" s="13">
        <v>77.95</v>
      </c>
      <c r="O46" s="13">
        <v>0</v>
      </c>
      <c r="P46" s="13">
        <v>31</v>
      </c>
      <c r="Q46" s="5">
        <f>SUMIFS(Coin!E:E,Coin!C:C,B46,Coin!D:D,A46)</f>
        <v>0</v>
      </c>
    </row>
    <row r="47" spans="1:22" hidden="1" x14ac:dyDescent="0.25">
      <c r="A47" s="1">
        <f t="shared" si="12"/>
        <v>42831</v>
      </c>
      <c r="B47">
        <v>101</v>
      </c>
      <c r="C47">
        <v>620</v>
      </c>
      <c r="E47" s="13">
        <f t="shared" si="13"/>
        <v>620</v>
      </c>
      <c r="F47" s="13">
        <v>620</v>
      </c>
      <c r="G47" s="13">
        <f t="shared" ref="G47:G53" si="14">E47-F47</f>
        <v>0</v>
      </c>
      <c r="H47" s="14">
        <v>1053</v>
      </c>
      <c r="I47" s="15">
        <v>559.92999999999995</v>
      </c>
      <c r="J47" s="13">
        <v>559.92999999999995</v>
      </c>
      <c r="K47" s="13">
        <v>0</v>
      </c>
      <c r="L47" s="13">
        <v>879</v>
      </c>
      <c r="Q47" s="5">
        <f>SUMIFS(Coin!E:E,Coin!C:C,B47,Coin!D:D,A47)</f>
        <v>0</v>
      </c>
    </row>
    <row r="48" spans="1:22" hidden="1" x14ac:dyDescent="0.25">
      <c r="A48" s="1">
        <f t="shared" si="12"/>
        <v>42831</v>
      </c>
      <c r="B48">
        <v>103</v>
      </c>
      <c r="C48">
        <v>1318.65</v>
      </c>
      <c r="E48" s="13">
        <f t="shared" si="13"/>
        <v>1318.65</v>
      </c>
      <c r="F48" s="13">
        <v>1318.65</v>
      </c>
      <c r="G48" s="13">
        <f t="shared" si="14"/>
        <v>0</v>
      </c>
      <c r="H48" s="14">
        <v>1054</v>
      </c>
      <c r="I48" s="15">
        <v>1117.8900000000001</v>
      </c>
      <c r="J48" s="13">
        <v>1117.8900000000001</v>
      </c>
      <c r="K48" s="13">
        <v>0</v>
      </c>
      <c r="L48" s="13">
        <v>876</v>
      </c>
      <c r="Q48" s="5">
        <f>SUMIFS(Coin!E:E,Coin!C:C,B48,Coin!D:D,A48)</f>
        <v>0</v>
      </c>
    </row>
    <row r="49" spans="1:20" hidden="1" x14ac:dyDescent="0.25">
      <c r="A49" s="1">
        <f t="shared" si="12"/>
        <v>42831</v>
      </c>
      <c r="B49">
        <v>201</v>
      </c>
      <c r="C49">
        <v>465</v>
      </c>
      <c r="E49" s="13">
        <f t="shared" si="13"/>
        <v>465</v>
      </c>
      <c r="F49" s="13">
        <v>465</v>
      </c>
      <c r="G49" s="13">
        <f t="shared" si="14"/>
        <v>0</v>
      </c>
      <c r="H49" s="14">
        <v>1073</v>
      </c>
      <c r="I49" s="15">
        <v>445</v>
      </c>
      <c r="J49" s="13">
        <v>445</v>
      </c>
      <c r="K49" s="13">
        <v>0</v>
      </c>
      <c r="L49" s="13">
        <v>882</v>
      </c>
      <c r="Q49" s="5">
        <f>SUMIFS(Coin!E:E,Coin!C:C,B49,Coin!D:D,A49)</f>
        <v>0</v>
      </c>
    </row>
    <row r="50" spans="1:20" hidden="1" x14ac:dyDescent="0.25">
      <c r="A50" s="1">
        <f t="shared" ref="A50:A57" si="15">DATE(2017,4,7)</f>
        <v>42832</v>
      </c>
      <c r="B50">
        <v>35</v>
      </c>
      <c r="C50">
        <v>1029.6500000000001</v>
      </c>
      <c r="E50" s="13">
        <f t="shared" ref="E50:E72" si="16">C50+D50-Q50+U50</f>
        <v>1025</v>
      </c>
      <c r="F50" s="13">
        <v>1025</v>
      </c>
      <c r="G50" s="13">
        <f t="shared" si="14"/>
        <v>0</v>
      </c>
      <c r="H50" s="14">
        <v>1048</v>
      </c>
      <c r="I50" s="15">
        <v>680.86</v>
      </c>
      <c r="J50" s="13">
        <v>680.86</v>
      </c>
      <c r="K50" s="13">
        <v>0</v>
      </c>
      <c r="L50" s="13">
        <v>894</v>
      </c>
      <c r="Q50" s="15">
        <v>4.6500000000000004</v>
      </c>
      <c r="R50" s="13">
        <v>4.6500000000000004</v>
      </c>
      <c r="S50" s="13">
        <v>0</v>
      </c>
      <c r="T50" s="19">
        <v>1058</v>
      </c>
    </row>
    <row r="51" spans="1:20" hidden="1" x14ac:dyDescent="0.25">
      <c r="A51" s="1">
        <f t="shared" si="15"/>
        <v>42832</v>
      </c>
      <c r="B51">
        <v>37</v>
      </c>
      <c r="C51">
        <v>885</v>
      </c>
      <c r="E51" s="13">
        <f t="shared" si="16"/>
        <v>885</v>
      </c>
      <c r="F51" s="13">
        <v>885</v>
      </c>
      <c r="G51" s="13">
        <f t="shared" si="14"/>
        <v>0</v>
      </c>
      <c r="H51" s="14">
        <v>1061</v>
      </c>
      <c r="I51" s="15">
        <v>834.9</v>
      </c>
      <c r="J51" s="13">
        <v>834.9</v>
      </c>
      <c r="K51" s="13">
        <v>0</v>
      </c>
      <c r="L51" s="13">
        <v>904</v>
      </c>
      <c r="Q51" s="5">
        <f>SUMIFS(Coin!E:E,Coin!C:C,B51,Coin!D:D,A51)</f>
        <v>0</v>
      </c>
    </row>
    <row r="52" spans="1:20" hidden="1" x14ac:dyDescent="0.25">
      <c r="A52" s="1">
        <f t="shared" si="15"/>
        <v>42832</v>
      </c>
      <c r="B52">
        <v>41</v>
      </c>
      <c r="C52">
        <v>357.9</v>
      </c>
      <c r="E52" s="13">
        <f t="shared" si="16"/>
        <v>357.9</v>
      </c>
      <c r="F52" s="13">
        <v>357.9</v>
      </c>
      <c r="G52" s="13">
        <f t="shared" si="14"/>
        <v>0</v>
      </c>
      <c r="H52" s="14">
        <v>1079</v>
      </c>
      <c r="I52" s="15">
        <v>289.91000000000003</v>
      </c>
      <c r="J52" s="13">
        <v>289.91000000000003</v>
      </c>
      <c r="K52" s="13">
        <v>0</v>
      </c>
      <c r="L52" s="13">
        <v>898</v>
      </c>
      <c r="Q52" s="5">
        <f>SUMIFS(Coin!E:E,Coin!C:C,B52,Coin!D:D,A52)</f>
        <v>0</v>
      </c>
    </row>
    <row r="53" spans="1:20" hidden="1" x14ac:dyDescent="0.25">
      <c r="A53" s="1">
        <f t="shared" si="15"/>
        <v>42832</v>
      </c>
      <c r="B53">
        <v>43</v>
      </c>
      <c r="C53">
        <v>1274.8</v>
      </c>
      <c r="E53" s="13">
        <f t="shared" si="16"/>
        <v>1274.8</v>
      </c>
      <c r="F53" s="13">
        <v>1274.8</v>
      </c>
      <c r="G53" s="13">
        <f t="shared" si="14"/>
        <v>0</v>
      </c>
      <c r="H53" s="14">
        <v>1064</v>
      </c>
      <c r="I53" s="15">
        <v>374.93</v>
      </c>
      <c r="J53" s="13">
        <v>374.93</v>
      </c>
      <c r="K53" s="13">
        <v>0</v>
      </c>
      <c r="L53" s="13">
        <v>905</v>
      </c>
      <c r="Q53" s="5">
        <f>SUMIFS(Coin!E:E,Coin!C:C,B53,Coin!D:D,A53)</f>
        <v>0</v>
      </c>
    </row>
    <row r="54" spans="1:20" hidden="1" x14ac:dyDescent="0.25">
      <c r="A54" s="1">
        <f t="shared" si="15"/>
        <v>42832</v>
      </c>
      <c r="B54">
        <v>44</v>
      </c>
      <c r="C54">
        <v>236.75</v>
      </c>
      <c r="E54">
        <f t="shared" si="16"/>
        <v>236.75</v>
      </c>
      <c r="I54" s="15">
        <v>618.78</v>
      </c>
      <c r="J54" s="13">
        <v>618.78</v>
      </c>
      <c r="K54" s="13">
        <v>0</v>
      </c>
      <c r="L54" s="13">
        <v>895</v>
      </c>
      <c r="Q54" s="5">
        <f>SUMIFS(Coin!E:E,Coin!C:C,B54,Coin!D:D,A54)</f>
        <v>0</v>
      </c>
    </row>
    <row r="55" spans="1:20" hidden="1" x14ac:dyDescent="0.25">
      <c r="A55" s="1">
        <f t="shared" si="15"/>
        <v>42832</v>
      </c>
      <c r="B55">
        <v>101</v>
      </c>
      <c r="C55">
        <v>557.9</v>
      </c>
      <c r="E55" s="13">
        <f t="shared" si="16"/>
        <v>557.9</v>
      </c>
      <c r="F55" s="13">
        <v>557.9</v>
      </c>
      <c r="G55" s="13">
        <f t="shared" ref="G55:G61" si="17">E55-F55</f>
        <v>0</v>
      </c>
      <c r="H55" s="14">
        <v>1068</v>
      </c>
      <c r="I55" s="15">
        <v>337.95</v>
      </c>
      <c r="J55" s="13">
        <v>337.95</v>
      </c>
      <c r="K55" s="13">
        <v>0</v>
      </c>
      <c r="L55" s="13">
        <v>897</v>
      </c>
      <c r="Q55" s="5">
        <f>SUMIFS(Coin!E:E,Coin!C:C,B55,Coin!D:D,A55)</f>
        <v>0</v>
      </c>
    </row>
    <row r="56" spans="1:20" hidden="1" x14ac:dyDescent="0.25">
      <c r="A56" s="1">
        <f t="shared" si="15"/>
        <v>42832</v>
      </c>
      <c r="B56">
        <v>103</v>
      </c>
      <c r="C56">
        <v>1126.5999999999999</v>
      </c>
      <c r="E56" s="13">
        <f t="shared" si="16"/>
        <v>1126.5999999999999</v>
      </c>
      <c r="F56" s="13">
        <v>1126.5999999999999</v>
      </c>
      <c r="G56" s="13">
        <f t="shared" si="17"/>
        <v>0</v>
      </c>
      <c r="H56" s="14">
        <v>1047</v>
      </c>
      <c r="I56" s="15">
        <v>552.67999999999995</v>
      </c>
      <c r="J56" s="13">
        <v>552.67999999999995</v>
      </c>
      <c r="K56" s="13">
        <v>0</v>
      </c>
      <c r="L56" s="13">
        <v>896</v>
      </c>
      <c r="Q56" s="5">
        <f>SUMIFS(Coin!E:E,Coin!C:C,B56,Coin!D:D,A56)</f>
        <v>0</v>
      </c>
    </row>
    <row r="57" spans="1:20" hidden="1" x14ac:dyDescent="0.25">
      <c r="A57" s="1">
        <f t="shared" si="15"/>
        <v>42832</v>
      </c>
      <c r="B57">
        <v>201</v>
      </c>
      <c r="C57">
        <v>627.54999999999995</v>
      </c>
      <c r="E57" s="13">
        <f t="shared" si="16"/>
        <v>627.54999999999995</v>
      </c>
      <c r="F57" s="13">
        <v>627.54999999999995</v>
      </c>
      <c r="G57" s="13">
        <f t="shared" si="17"/>
        <v>0</v>
      </c>
      <c r="H57" s="14">
        <v>1071</v>
      </c>
      <c r="I57" s="15">
        <v>667.62</v>
      </c>
      <c r="J57" s="13">
        <v>667.62</v>
      </c>
      <c r="K57" s="13">
        <v>0</v>
      </c>
      <c r="L57" s="13">
        <v>903</v>
      </c>
      <c r="Q57" s="5">
        <f>SUMIFS(Coin!E:E,Coin!C:C,B57,Coin!D:D,A57)</f>
        <v>0</v>
      </c>
    </row>
    <row r="58" spans="1:20" hidden="1" x14ac:dyDescent="0.25">
      <c r="A58" s="1">
        <f t="shared" ref="A58:A65" si="18">DATE(2017,4,8)</f>
        <v>42833</v>
      </c>
      <c r="B58">
        <v>35</v>
      </c>
      <c r="C58">
        <v>694.95</v>
      </c>
      <c r="E58" s="13">
        <f t="shared" si="16"/>
        <v>694.95</v>
      </c>
      <c r="F58" s="13">
        <v>694.95</v>
      </c>
      <c r="G58" s="13">
        <f t="shared" si="17"/>
        <v>0</v>
      </c>
      <c r="H58" s="14">
        <v>1057</v>
      </c>
      <c r="I58" s="15">
        <v>974.44</v>
      </c>
      <c r="J58" s="13">
        <v>974.44</v>
      </c>
      <c r="K58" s="13">
        <v>0</v>
      </c>
      <c r="L58" s="13">
        <v>888</v>
      </c>
      <c r="Q58" s="5">
        <f>SUMIFS(Coin!E:E,Coin!C:C,B58,Coin!D:D,A58)</f>
        <v>0</v>
      </c>
    </row>
    <row r="59" spans="1:20" hidden="1" x14ac:dyDescent="0.25">
      <c r="A59" s="1">
        <f t="shared" si="18"/>
        <v>42833</v>
      </c>
      <c r="B59">
        <v>37</v>
      </c>
      <c r="C59">
        <v>605</v>
      </c>
      <c r="E59" s="13">
        <f t="shared" si="16"/>
        <v>605</v>
      </c>
      <c r="F59" s="13">
        <v>605</v>
      </c>
      <c r="G59" s="13">
        <f t="shared" si="17"/>
        <v>0</v>
      </c>
      <c r="H59" s="14">
        <v>1059</v>
      </c>
      <c r="I59" s="15">
        <v>1879.69</v>
      </c>
      <c r="J59" s="13">
        <v>1879.69</v>
      </c>
      <c r="K59" s="13">
        <v>0</v>
      </c>
      <c r="L59" s="13">
        <v>902</v>
      </c>
      <c r="Q59" s="5">
        <f>SUMIFS(Coin!E:E,Coin!C:C,B59,Coin!D:D,A59)</f>
        <v>0</v>
      </c>
    </row>
    <row r="60" spans="1:20" hidden="1" x14ac:dyDescent="0.25">
      <c r="A60" s="1">
        <f t="shared" si="18"/>
        <v>42833</v>
      </c>
      <c r="B60">
        <v>41</v>
      </c>
      <c r="C60">
        <v>460.85</v>
      </c>
      <c r="E60" s="13">
        <f t="shared" si="16"/>
        <v>460.85</v>
      </c>
      <c r="F60" s="13">
        <v>460.85</v>
      </c>
      <c r="G60" s="13">
        <f t="shared" si="17"/>
        <v>0</v>
      </c>
      <c r="H60" s="14">
        <v>1080</v>
      </c>
      <c r="I60" s="15">
        <v>713.75</v>
      </c>
      <c r="J60" s="13">
        <v>713.75</v>
      </c>
      <c r="K60" s="13">
        <v>0</v>
      </c>
      <c r="L60" s="13">
        <v>890</v>
      </c>
      <c r="Q60" s="5">
        <f>SUMIFS(Coin!E:E,Coin!C:C,B60,Coin!D:D,A60)</f>
        <v>0</v>
      </c>
    </row>
    <row r="61" spans="1:20" hidden="1" x14ac:dyDescent="0.25">
      <c r="A61" s="1">
        <f t="shared" si="18"/>
        <v>42833</v>
      </c>
      <c r="B61">
        <v>43</v>
      </c>
      <c r="C61">
        <v>982.75</v>
      </c>
      <c r="E61" s="13">
        <f t="shared" si="16"/>
        <v>982.75</v>
      </c>
      <c r="F61" s="13">
        <v>982.75</v>
      </c>
      <c r="G61" s="13">
        <f t="shared" si="17"/>
        <v>0</v>
      </c>
      <c r="H61" s="14">
        <v>1063</v>
      </c>
      <c r="I61" s="15">
        <v>219.93</v>
      </c>
      <c r="J61" s="13">
        <v>219.93</v>
      </c>
      <c r="K61" s="13">
        <v>0</v>
      </c>
      <c r="L61" s="13">
        <v>906</v>
      </c>
      <c r="Q61" s="5">
        <f>SUMIFS(Coin!E:E,Coin!C:C,B61,Coin!D:D,A61)</f>
        <v>0</v>
      </c>
    </row>
    <row r="62" spans="1:20" hidden="1" x14ac:dyDescent="0.25">
      <c r="A62" s="1">
        <f t="shared" si="18"/>
        <v>42833</v>
      </c>
      <c r="B62">
        <v>44</v>
      </c>
      <c r="C62">
        <v>246.35</v>
      </c>
      <c r="E62">
        <f t="shared" si="16"/>
        <v>246.35</v>
      </c>
      <c r="I62" s="15">
        <v>429.7</v>
      </c>
      <c r="J62" s="13">
        <v>429.7</v>
      </c>
      <c r="K62" s="13">
        <v>0</v>
      </c>
      <c r="L62" s="13">
        <v>892</v>
      </c>
      <c r="Q62" s="5">
        <f>SUMIFS(Coin!E:E,Coin!C:C,B62,Coin!D:D,A62)</f>
        <v>0</v>
      </c>
    </row>
    <row r="63" spans="1:20" hidden="1" x14ac:dyDescent="0.25">
      <c r="A63" s="1">
        <f t="shared" si="18"/>
        <v>42833</v>
      </c>
      <c r="B63">
        <v>101</v>
      </c>
      <c r="C63">
        <v>623.04999999999995</v>
      </c>
      <c r="E63" s="13">
        <f t="shared" si="16"/>
        <v>623.04999999999995</v>
      </c>
      <c r="F63" s="13">
        <v>623.04999999999995</v>
      </c>
      <c r="G63" s="13">
        <f t="shared" ref="G63:G76" si="19">E63-F63</f>
        <v>0</v>
      </c>
      <c r="H63" s="14">
        <v>1067</v>
      </c>
      <c r="I63" s="15">
        <v>357.9</v>
      </c>
      <c r="J63" s="13">
        <v>357.9</v>
      </c>
      <c r="K63" s="13">
        <v>0</v>
      </c>
      <c r="L63" s="13">
        <v>889</v>
      </c>
      <c r="Q63" s="5">
        <f>SUMIFS(Coin!E:E,Coin!C:C,B63,Coin!D:D,A63)</f>
        <v>0</v>
      </c>
    </row>
    <row r="64" spans="1:20" hidden="1" x14ac:dyDescent="0.25">
      <c r="A64" s="1">
        <f t="shared" si="18"/>
        <v>42833</v>
      </c>
      <c r="B64">
        <v>103</v>
      </c>
      <c r="C64">
        <v>824.5</v>
      </c>
      <c r="E64" s="13">
        <f t="shared" si="16"/>
        <v>824.5</v>
      </c>
      <c r="F64" s="13">
        <v>824.5</v>
      </c>
      <c r="G64" s="13">
        <f t="shared" si="19"/>
        <v>0</v>
      </c>
      <c r="H64" s="14">
        <v>1069</v>
      </c>
      <c r="I64" s="15">
        <v>1106.4100000000001</v>
      </c>
      <c r="J64" s="13">
        <v>1106.4100000000001</v>
      </c>
      <c r="K64" s="13">
        <v>0</v>
      </c>
      <c r="L64" s="13">
        <v>891</v>
      </c>
      <c r="Q64" s="5">
        <f>SUMIFS(Coin!E:E,Coin!C:C,B64,Coin!D:D,A64)</f>
        <v>0</v>
      </c>
    </row>
    <row r="65" spans="1:21" hidden="1" x14ac:dyDescent="0.25">
      <c r="A65" s="1">
        <f t="shared" si="18"/>
        <v>42833</v>
      </c>
      <c r="B65">
        <v>201</v>
      </c>
      <c r="C65">
        <v>509.85</v>
      </c>
      <c r="E65" s="13">
        <f t="shared" si="16"/>
        <v>509.85</v>
      </c>
      <c r="F65" s="13">
        <v>509.85</v>
      </c>
      <c r="G65" s="13">
        <f t="shared" si="19"/>
        <v>0</v>
      </c>
      <c r="H65" s="14">
        <v>1072</v>
      </c>
      <c r="I65" s="15">
        <v>275</v>
      </c>
      <c r="J65" s="13">
        <v>275</v>
      </c>
      <c r="K65" s="13">
        <v>0</v>
      </c>
      <c r="L65" s="13">
        <v>901</v>
      </c>
      <c r="Q65" s="5">
        <f>SUMIFS(Coin!E:E,Coin!C:C,B65,Coin!D:D,A65)</f>
        <v>0</v>
      </c>
    </row>
    <row r="66" spans="1:21" hidden="1" x14ac:dyDescent="0.25">
      <c r="A66" s="1">
        <f t="shared" ref="A66:A72" si="20">DATE(2017,4,9)</f>
        <v>42834</v>
      </c>
      <c r="B66">
        <v>35</v>
      </c>
      <c r="C66">
        <v>460.65</v>
      </c>
      <c r="E66" s="13">
        <f t="shared" si="16"/>
        <v>460.65</v>
      </c>
      <c r="F66" s="13">
        <v>460.65</v>
      </c>
      <c r="G66" s="13">
        <f t="shared" si="19"/>
        <v>0</v>
      </c>
      <c r="H66" s="14">
        <v>1056</v>
      </c>
      <c r="I66" s="15">
        <v>799.26</v>
      </c>
      <c r="J66" s="13">
        <v>799.26</v>
      </c>
      <c r="K66" s="13">
        <v>0</v>
      </c>
      <c r="L66" s="13">
        <v>885</v>
      </c>
      <c r="Q66" s="5">
        <f>SUMIFS(Coin!E:E,Coin!C:C,B66,Coin!D:D,A66)</f>
        <v>0</v>
      </c>
    </row>
    <row r="67" spans="1:21" hidden="1" x14ac:dyDescent="0.25">
      <c r="A67" s="1">
        <f t="shared" si="20"/>
        <v>42834</v>
      </c>
      <c r="B67">
        <v>37</v>
      </c>
      <c r="C67">
        <v>460</v>
      </c>
      <c r="E67" s="13">
        <f t="shared" si="16"/>
        <v>460</v>
      </c>
      <c r="F67" s="13">
        <v>460</v>
      </c>
      <c r="G67" s="13">
        <f t="shared" si="19"/>
        <v>0</v>
      </c>
      <c r="H67" s="14">
        <v>1060</v>
      </c>
      <c r="I67" s="15">
        <v>679.86</v>
      </c>
      <c r="J67" s="13">
        <v>679.86</v>
      </c>
      <c r="K67" s="13">
        <v>0</v>
      </c>
      <c r="L67" s="13">
        <v>899</v>
      </c>
      <c r="Q67" s="5">
        <f>SUMIFS(Coin!E:E,Coin!C:C,B67,Coin!D:D,A67)</f>
        <v>0</v>
      </c>
    </row>
    <row r="68" spans="1:21" hidden="1" x14ac:dyDescent="0.25">
      <c r="A68" s="1">
        <f t="shared" si="20"/>
        <v>42834</v>
      </c>
      <c r="B68">
        <v>41</v>
      </c>
      <c r="C68">
        <v>110</v>
      </c>
      <c r="E68" s="13">
        <f t="shared" si="16"/>
        <v>110</v>
      </c>
      <c r="F68" s="13">
        <v>110</v>
      </c>
      <c r="G68" s="13">
        <f t="shared" si="19"/>
        <v>0</v>
      </c>
      <c r="H68" s="14">
        <v>1081</v>
      </c>
      <c r="I68" s="15">
        <v>339.98</v>
      </c>
      <c r="J68" s="13">
        <v>339.98</v>
      </c>
      <c r="K68" s="13">
        <v>0</v>
      </c>
      <c r="L68" s="13">
        <v>884</v>
      </c>
      <c r="Q68" s="5">
        <f>SUMIFS(Coin!E:E,Coin!C:C,B68,Coin!D:D,A68)</f>
        <v>0</v>
      </c>
    </row>
    <row r="69" spans="1:21" hidden="1" x14ac:dyDescent="0.25">
      <c r="A69" s="1">
        <f t="shared" si="20"/>
        <v>42834</v>
      </c>
      <c r="B69">
        <v>43</v>
      </c>
      <c r="C69">
        <v>645</v>
      </c>
      <c r="E69" s="13">
        <f t="shared" si="16"/>
        <v>645</v>
      </c>
      <c r="F69" s="13">
        <v>645</v>
      </c>
      <c r="G69" s="13">
        <f t="shared" si="19"/>
        <v>0</v>
      </c>
      <c r="H69" s="14">
        <v>1062</v>
      </c>
      <c r="I69" s="15">
        <v>199.98</v>
      </c>
      <c r="J69" s="13">
        <v>199.98</v>
      </c>
      <c r="K69" s="13">
        <v>0</v>
      </c>
      <c r="L69" s="13">
        <v>886</v>
      </c>
      <c r="Q69" s="5">
        <f>SUMIFS(Coin!E:E,Coin!C:C,B69,Coin!D:D,A69)</f>
        <v>0</v>
      </c>
    </row>
    <row r="70" spans="1:21" hidden="1" x14ac:dyDescent="0.25">
      <c r="A70" s="1">
        <f t="shared" si="20"/>
        <v>42834</v>
      </c>
      <c r="B70">
        <v>44</v>
      </c>
      <c r="C70">
        <v>210.85</v>
      </c>
      <c r="E70" s="13">
        <f t="shared" si="16"/>
        <v>210.85</v>
      </c>
      <c r="F70" s="13">
        <v>210.85</v>
      </c>
      <c r="G70" s="13">
        <f t="shared" si="19"/>
        <v>0</v>
      </c>
      <c r="H70" s="14">
        <v>1065</v>
      </c>
      <c r="I70" s="15">
        <v>309.95</v>
      </c>
      <c r="J70" s="13">
        <v>309.95</v>
      </c>
      <c r="K70" s="13">
        <v>0</v>
      </c>
      <c r="L70" s="13">
        <v>887</v>
      </c>
      <c r="Q70" s="5">
        <f>SUMIFS(Coin!E:E,Coin!C:C,B70,Coin!D:D,A70)</f>
        <v>0</v>
      </c>
    </row>
    <row r="71" spans="1:21" hidden="1" x14ac:dyDescent="0.25">
      <c r="A71" s="1">
        <f t="shared" si="20"/>
        <v>42834</v>
      </c>
      <c r="B71">
        <v>103</v>
      </c>
      <c r="C71">
        <v>485</v>
      </c>
      <c r="E71" s="13">
        <f t="shared" si="16"/>
        <v>485</v>
      </c>
      <c r="F71" s="13">
        <v>485</v>
      </c>
      <c r="G71" s="13">
        <f t="shared" si="19"/>
        <v>0</v>
      </c>
      <c r="H71" s="14">
        <v>1070</v>
      </c>
      <c r="I71" s="15">
        <v>459.95</v>
      </c>
      <c r="J71" s="13">
        <v>459.95</v>
      </c>
      <c r="K71" s="13">
        <v>0</v>
      </c>
      <c r="L71" s="13">
        <v>883</v>
      </c>
      <c r="Q71" s="5">
        <f>SUMIFS(Coin!E:E,Coin!C:C,B71,Coin!D:D,A71)</f>
        <v>0</v>
      </c>
    </row>
    <row r="72" spans="1:21" hidden="1" x14ac:dyDescent="0.25">
      <c r="A72" s="1">
        <f t="shared" si="20"/>
        <v>42834</v>
      </c>
      <c r="B72">
        <v>201</v>
      </c>
      <c r="C72">
        <v>360</v>
      </c>
      <c r="E72" s="13">
        <f t="shared" si="16"/>
        <v>360</v>
      </c>
      <c r="F72" s="13">
        <v>360</v>
      </c>
      <c r="G72" s="13">
        <f t="shared" si="19"/>
        <v>0</v>
      </c>
      <c r="H72" s="14">
        <v>1075</v>
      </c>
      <c r="I72" s="15">
        <v>260</v>
      </c>
      <c r="J72" s="13">
        <v>260</v>
      </c>
      <c r="K72" s="13">
        <v>0</v>
      </c>
      <c r="L72" s="13">
        <v>900</v>
      </c>
      <c r="Q72" s="5">
        <f>SUMIFS(Coin!E:E,Coin!C:C,B72,Coin!D:D,A72)</f>
        <v>0</v>
      </c>
    </row>
    <row r="73" spans="1:21" hidden="1" x14ac:dyDescent="0.25">
      <c r="A73" s="1">
        <f t="shared" ref="A73:A80" si="21">DATE(2017,4,10)</f>
        <v>42835</v>
      </c>
      <c r="B73">
        <v>35</v>
      </c>
      <c r="C73">
        <v>698.55</v>
      </c>
      <c r="E73" s="13">
        <f t="shared" ref="E73:E88" si="22">C73+D73-Q73+U73</f>
        <v>695</v>
      </c>
      <c r="F73" s="13">
        <v>695</v>
      </c>
      <c r="G73" s="13">
        <f t="shared" si="19"/>
        <v>0</v>
      </c>
      <c r="H73" s="14">
        <v>1055</v>
      </c>
      <c r="I73" s="15">
        <v>482.88</v>
      </c>
      <c r="J73" s="13">
        <v>482.88</v>
      </c>
      <c r="K73" s="13">
        <v>0</v>
      </c>
      <c r="L73" s="13">
        <v>911</v>
      </c>
      <c r="Q73" s="15">
        <v>3.55</v>
      </c>
      <c r="R73" s="13">
        <v>3.55</v>
      </c>
      <c r="S73" s="13">
        <v>0</v>
      </c>
      <c r="T73" s="19">
        <v>1077</v>
      </c>
    </row>
    <row r="74" spans="1:21" hidden="1" x14ac:dyDescent="0.25">
      <c r="A74" s="1">
        <f t="shared" si="21"/>
        <v>42835</v>
      </c>
      <c r="B74">
        <v>37</v>
      </c>
      <c r="C74">
        <v>454.95</v>
      </c>
      <c r="E74" s="13">
        <f t="shared" si="22"/>
        <v>454.95</v>
      </c>
      <c r="F74" s="13">
        <v>454.95</v>
      </c>
      <c r="G74" s="13">
        <f t="shared" si="19"/>
        <v>0</v>
      </c>
      <c r="H74" s="14">
        <v>1078</v>
      </c>
      <c r="I74" s="15">
        <v>1039.82</v>
      </c>
      <c r="J74" s="13">
        <v>1039.82</v>
      </c>
      <c r="K74" s="13">
        <v>0</v>
      </c>
      <c r="L74" s="13">
        <v>913</v>
      </c>
    </row>
    <row r="75" spans="1:21" hidden="1" x14ac:dyDescent="0.25">
      <c r="A75" s="1">
        <f t="shared" si="21"/>
        <v>42835</v>
      </c>
      <c r="B75">
        <v>41</v>
      </c>
      <c r="C75">
        <v>282.60000000000002</v>
      </c>
      <c r="E75" s="13">
        <f t="shared" si="22"/>
        <v>282.60000000000002</v>
      </c>
      <c r="F75" s="13">
        <v>282.60000000000002</v>
      </c>
      <c r="G75" s="13">
        <f t="shared" si="19"/>
        <v>0</v>
      </c>
      <c r="H75" s="14">
        <v>1082</v>
      </c>
      <c r="I75" s="15">
        <v>129.9</v>
      </c>
      <c r="J75" s="13">
        <v>129.9</v>
      </c>
      <c r="K75" s="13">
        <v>0</v>
      </c>
      <c r="L75" s="13">
        <v>908</v>
      </c>
      <c r="Q75" s="5">
        <f>SUMIFS(Coin!E:E,Coin!C:C,B75,Coin!D:D,A75)</f>
        <v>0</v>
      </c>
    </row>
    <row r="76" spans="1:21" hidden="1" x14ac:dyDescent="0.25">
      <c r="A76" s="1">
        <f t="shared" si="21"/>
        <v>42835</v>
      </c>
      <c r="B76">
        <v>43</v>
      </c>
      <c r="C76">
        <v>707.95</v>
      </c>
      <c r="E76" s="13">
        <f t="shared" si="22"/>
        <v>787.95</v>
      </c>
      <c r="F76" s="13">
        <v>787.95</v>
      </c>
      <c r="G76" s="13">
        <f t="shared" si="19"/>
        <v>0</v>
      </c>
      <c r="H76" s="14">
        <v>1083</v>
      </c>
      <c r="I76" s="15">
        <v>379.83</v>
      </c>
      <c r="J76" s="13">
        <v>379.83</v>
      </c>
      <c r="K76" s="13">
        <v>0</v>
      </c>
      <c r="L76" s="13">
        <v>907</v>
      </c>
      <c r="Q76" s="5">
        <f>SUMIFS(Coin!E:E,Coin!C:C,B76,Coin!D:D,A76)</f>
        <v>0</v>
      </c>
      <c r="U76" s="21">
        <v>80</v>
      </c>
    </row>
    <row r="77" spans="1:21" hidden="1" x14ac:dyDescent="0.25">
      <c r="A77" s="1">
        <f t="shared" si="21"/>
        <v>42835</v>
      </c>
      <c r="B77">
        <v>44</v>
      </c>
      <c r="C77">
        <v>293.05</v>
      </c>
      <c r="E77" s="13">
        <f t="shared" si="22"/>
        <v>293.05</v>
      </c>
      <c r="F77" s="13">
        <v>293.05</v>
      </c>
      <c r="G77" s="13">
        <f t="shared" ref="G77:G88" si="23">E77-F77</f>
        <v>0</v>
      </c>
      <c r="H77" s="14">
        <v>1090</v>
      </c>
      <c r="I77" s="15">
        <v>194.93</v>
      </c>
      <c r="J77" s="13">
        <v>194.93</v>
      </c>
      <c r="K77" s="13">
        <v>0</v>
      </c>
      <c r="L77" s="13">
        <v>909</v>
      </c>
      <c r="Q77" s="5">
        <f>SUMIFS(Coin!E:E,Coin!C:C,B77,Coin!D:D,A77)</f>
        <v>0</v>
      </c>
    </row>
    <row r="78" spans="1:21" hidden="1" x14ac:dyDescent="0.25">
      <c r="A78" s="1">
        <f t="shared" si="21"/>
        <v>42835</v>
      </c>
      <c r="B78">
        <v>101</v>
      </c>
      <c r="C78">
        <v>415</v>
      </c>
      <c r="E78" s="13">
        <f t="shared" si="22"/>
        <v>415</v>
      </c>
      <c r="F78" s="13">
        <v>415</v>
      </c>
      <c r="G78" s="13">
        <f t="shared" si="23"/>
        <v>0</v>
      </c>
      <c r="H78" s="14">
        <v>1084</v>
      </c>
      <c r="I78" s="15">
        <v>239.95</v>
      </c>
      <c r="J78" s="13">
        <v>239.95</v>
      </c>
      <c r="K78" s="13">
        <v>0</v>
      </c>
      <c r="L78" s="13">
        <v>912</v>
      </c>
      <c r="Q78" s="5">
        <f>SUMIFS(Coin!E:E,Coin!C:C,B78,Coin!D:D,A78)</f>
        <v>0</v>
      </c>
    </row>
    <row r="79" spans="1:21" hidden="1" x14ac:dyDescent="0.25">
      <c r="A79" s="1">
        <f t="shared" si="21"/>
        <v>42835</v>
      </c>
      <c r="B79">
        <v>103</v>
      </c>
      <c r="C79">
        <v>992.25</v>
      </c>
      <c r="E79" s="13">
        <f t="shared" si="22"/>
        <v>990</v>
      </c>
      <c r="F79" s="13">
        <v>990</v>
      </c>
      <c r="G79" s="13">
        <f t="shared" si="23"/>
        <v>0</v>
      </c>
      <c r="H79" s="14">
        <v>1085</v>
      </c>
      <c r="I79" s="15">
        <v>422.68</v>
      </c>
      <c r="J79" s="13">
        <v>422.68</v>
      </c>
      <c r="K79" s="13">
        <v>0</v>
      </c>
      <c r="L79" s="13">
        <v>910</v>
      </c>
      <c r="Q79" s="15">
        <v>2.25</v>
      </c>
      <c r="R79" s="13">
        <v>2.25</v>
      </c>
      <c r="S79" s="13">
        <v>0</v>
      </c>
      <c r="T79" s="19">
        <v>1076</v>
      </c>
    </row>
    <row r="80" spans="1:21" hidden="1" x14ac:dyDescent="0.25">
      <c r="A80" s="1">
        <f t="shared" si="21"/>
        <v>42835</v>
      </c>
      <c r="B80">
        <v>201</v>
      </c>
      <c r="C80">
        <v>679.75</v>
      </c>
      <c r="E80" s="13">
        <f t="shared" si="22"/>
        <v>679.75</v>
      </c>
      <c r="F80" s="13">
        <v>679.75</v>
      </c>
      <c r="G80" s="13">
        <f t="shared" si="23"/>
        <v>0</v>
      </c>
      <c r="H80" s="14">
        <v>1094</v>
      </c>
      <c r="I80" s="15">
        <v>149.83000000000001</v>
      </c>
      <c r="J80" s="13">
        <v>149.83000000000001</v>
      </c>
      <c r="K80" s="13">
        <v>0</v>
      </c>
      <c r="L80" s="13">
        <v>914</v>
      </c>
      <c r="Q80" s="5">
        <f>SUMIFS(Coin!E:E,Coin!C:C,B80,Coin!D:D,A80)</f>
        <v>0</v>
      </c>
    </row>
    <row r="81" spans="1:22" hidden="1" x14ac:dyDescent="0.25">
      <c r="A81" s="1">
        <f t="shared" ref="A81:A88" si="24">DATE(2017,4,11)</f>
        <v>42836</v>
      </c>
      <c r="B81">
        <v>35</v>
      </c>
      <c r="C81">
        <v>787.6</v>
      </c>
      <c r="E81" s="13">
        <f t="shared" si="22"/>
        <v>787.6</v>
      </c>
      <c r="F81" s="13">
        <v>787.6</v>
      </c>
      <c r="G81" s="13">
        <f t="shared" si="23"/>
        <v>0</v>
      </c>
      <c r="H81" s="14">
        <v>1087</v>
      </c>
      <c r="I81" s="15">
        <v>574.80999999999995</v>
      </c>
      <c r="J81" s="13">
        <v>574.80999999999995</v>
      </c>
      <c r="K81" s="13">
        <v>0</v>
      </c>
      <c r="L81" s="13">
        <v>919</v>
      </c>
      <c r="Q81" s="5">
        <f>SUMIFS(Coin!E:E,Coin!C:C,B81,Coin!D:D,A81)</f>
        <v>0</v>
      </c>
    </row>
    <row r="82" spans="1:22" hidden="1" x14ac:dyDescent="0.25">
      <c r="A82" s="1">
        <f t="shared" si="24"/>
        <v>42836</v>
      </c>
      <c r="B82">
        <v>37</v>
      </c>
      <c r="C82">
        <v>655</v>
      </c>
      <c r="E82" s="13">
        <f t="shared" si="22"/>
        <v>655</v>
      </c>
      <c r="F82" s="13">
        <v>655</v>
      </c>
      <c r="G82" s="13">
        <f t="shared" si="23"/>
        <v>0</v>
      </c>
      <c r="H82" s="14">
        <v>1088</v>
      </c>
      <c r="I82" s="15">
        <v>1112.3499999999999</v>
      </c>
      <c r="J82" s="13">
        <v>1112.3499999999999</v>
      </c>
      <c r="K82" s="13">
        <v>0</v>
      </c>
      <c r="L82" s="13">
        <v>922</v>
      </c>
      <c r="Q82" s="5">
        <f>SUMIFS(Coin!E:E,Coin!C:C,B82,Coin!D:D,A82)</f>
        <v>0</v>
      </c>
    </row>
    <row r="83" spans="1:22" hidden="1" x14ac:dyDescent="0.25">
      <c r="A83" s="1">
        <f t="shared" si="24"/>
        <v>42836</v>
      </c>
      <c r="B83">
        <v>41</v>
      </c>
      <c r="C83">
        <v>633.54999999999995</v>
      </c>
      <c r="E83" s="13">
        <f t="shared" si="22"/>
        <v>633.54999999999995</v>
      </c>
      <c r="F83" s="13">
        <v>633.54999999999995</v>
      </c>
      <c r="G83" s="13">
        <f t="shared" si="23"/>
        <v>0</v>
      </c>
      <c r="H83" s="14">
        <v>1086</v>
      </c>
      <c r="I83" s="15">
        <v>484.6</v>
      </c>
      <c r="J83" s="13">
        <v>484.6</v>
      </c>
      <c r="K83" s="13">
        <v>0</v>
      </c>
      <c r="L83" s="13">
        <v>915</v>
      </c>
      <c r="Q83" s="5">
        <f>SUMIFS(Coin!E:E,Coin!C:C,B83,Coin!D:D,A83)</f>
        <v>0</v>
      </c>
    </row>
    <row r="84" spans="1:22" hidden="1" x14ac:dyDescent="0.25">
      <c r="A84" s="1">
        <f t="shared" si="24"/>
        <v>42836</v>
      </c>
      <c r="B84">
        <v>43</v>
      </c>
      <c r="C84">
        <v>612.70000000000005</v>
      </c>
      <c r="E84" s="13">
        <f t="shared" si="22"/>
        <v>652.70000000000005</v>
      </c>
      <c r="F84" s="13">
        <v>652.70000000000005</v>
      </c>
      <c r="G84" s="13">
        <f t="shared" si="23"/>
        <v>0</v>
      </c>
      <c r="H84" s="14">
        <v>1089</v>
      </c>
      <c r="I84" s="15">
        <v>180</v>
      </c>
      <c r="J84" s="13">
        <v>180</v>
      </c>
      <c r="K84" s="13">
        <v>0</v>
      </c>
      <c r="L84" s="13">
        <v>920</v>
      </c>
      <c r="Q84" s="5">
        <f>SUMIFS(Coin!E:E,Coin!C:C,B84,Coin!D:D,A84)</f>
        <v>0</v>
      </c>
      <c r="U84" s="21">
        <v>40</v>
      </c>
      <c r="V84" s="21">
        <v>20</v>
      </c>
    </row>
    <row r="85" spans="1:22" hidden="1" x14ac:dyDescent="0.25">
      <c r="A85" s="1">
        <f t="shared" si="24"/>
        <v>42836</v>
      </c>
      <c r="B85">
        <v>44</v>
      </c>
      <c r="C85">
        <v>140.85</v>
      </c>
      <c r="E85" s="13">
        <f t="shared" si="22"/>
        <v>140.85</v>
      </c>
      <c r="F85" s="13">
        <v>140.85</v>
      </c>
      <c r="G85" s="13">
        <f t="shared" si="23"/>
        <v>0</v>
      </c>
      <c r="H85" s="14">
        <v>1091</v>
      </c>
      <c r="I85" s="15">
        <v>581.69000000000005</v>
      </c>
      <c r="J85" s="13">
        <v>581.69000000000005</v>
      </c>
      <c r="K85" s="13">
        <v>0</v>
      </c>
      <c r="L85" s="13">
        <v>916</v>
      </c>
      <c r="M85" s="15">
        <v>20</v>
      </c>
      <c r="N85" s="13">
        <v>20</v>
      </c>
      <c r="O85" s="13">
        <v>0</v>
      </c>
      <c r="P85" s="13">
        <v>32</v>
      </c>
      <c r="Q85" s="5">
        <f>SUMIFS(Coin!E:E,Coin!C:C,B85,Coin!D:D,A85)</f>
        <v>0</v>
      </c>
    </row>
    <row r="86" spans="1:22" hidden="1" x14ac:dyDescent="0.25">
      <c r="A86" s="1">
        <f t="shared" si="24"/>
        <v>42836</v>
      </c>
      <c r="B86">
        <v>101</v>
      </c>
      <c r="C86">
        <v>532.9</v>
      </c>
      <c r="E86" s="13">
        <f t="shared" si="22"/>
        <v>532.9</v>
      </c>
      <c r="F86" s="13">
        <v>532.9</v>
      </c>
      <c r="G86" s="13">
        <f t="shared" si="23"/>
        <v>0</v>
      </c>
      <c r="H86" s="14">
        <v>1092</v>
      </c>
      <c r="I86" s="15">
        <v>140</v>
      </c>
      <c r="J86" s="13">
        <v>140</v>
      </c>
      <c r="K86" s="13">
        <v>0</v>
      </c>
      <c r="L86" s="13">
        <v>917</v>
      </c>
      <c r="Q86" s="5">
        <f>SUMIFS(Coin!E:E,Coin!C:C,B86,Coin!D:D,A86)</f>
        <v>0</v>
      </c>
    </row>
    <row r="87" spans="1:22" hidden="1" x14ac:dyDescent="0.25">
      <c r="A87" s="1">
        <f t="shared" si="24"/>
        <v>42836</v>
      </c>
      <c r="B87">
        <v>103</v>
      </c>
      <c r="C87">
        <v>776.3</v>
      </c>
      <c r="E87" s="13">
        <f t="shared" si="22"/>
        <v>776.3</v>
      </c>
      <c r="F87" s="13">
        <v>776.3</v>
      </c>
      <c r="G87" s="13">
        <f t="shared" si="23"/>
        <v>0</v>
      </c>
      <c r="H87" s="14">
        <v>1093</v>
      </c>
      <c r="I87" s="15">
        <v>397.8</v>
      </c>
      <c r="J87" s="13">
        <v>397.8</v>
      </c>
      <c r="K87" s="13">
        <v>0</v>
      </c>
      <c r="L87" s="13">
        <v>918</v>
      </c>
      <c r="Q87" s="5">
        <f>SUMIFS(Coin!E:E,Coin!C:C,B87,Coin!D:D,A87)</f>
        <v>0</v>
      </c>
    </row>
    <row r="88" spans="1:22" hidden="1" x14ac:dyDescent="0.25">
      <c r="A88" s="1">
        <f t="shared" si="24"/>
        <v>42836</v>
      </c>
      <c r="B88">
        <v>201</v>
      </c>
      <c r="C88">
        <v>404.8</v>
      </c>
      <c r="E88" s="13">
        <f t="shared" si="22"/>
        <v>404.8</v>
      </c>
      <c r="F88" s="13">
        <v>404.8</v>
      </c>
      <c r="G88" s="13">
        <f t="shared" si="23"/>
        <v>0</v>
      </c>
      <c r="H88" s="14">
        <v>1095</v>
      </c>
      <c r="I88" s="15">
        <v>229.9</v>
      </c>
      <c r="J88" s="13">
        <v>229.9</v>
      </c>
      <c r="K88" s="13">
        <v>0</v>
      </c>
      <c r="L88" s="13">
        <v>921</v>
      </c>
      <c r="Q88" s="5">
        <f>SUMIFS(Coin!E:E,Coin!C:C,B88,Coin!D:D,A88)</f>
        <v>0</v>
      </c>
    </row>
    <row r="89" spans="1:22" hidden="1" x14ac:dyDescent="0.25">
      <c r="A89" s="1">
        <f t="shared" ref="A89:A96" si="25">DATE(2017,4,12)</f>
        <v>42837</v>
      </c>
      <c r="B89">
        <v>35</v>
      </c>
      <c r="C89">
        <v>1008.65</v>
      </c>
      <c r="E89" s="13">
        <f t="shared" ref="E89:E96" si="26">C89+D89-Q89+U89</f>
        <v>1008.65</v>
      </c>
      <c r="F89" s="13">
        <v>1008.65</v>
      </c>
      <c r="G89" s="13">
        <f>E89-F89</f>
        <v>0</v>
      </c>
      <c r="H89" s="14">
        <v>1097</v>
      </c>
      <c r="I89" s="15">
        <v>723.61</v>
      </c>
      <c r="J89" s="13">
        <v>723.61</v>
      </c>
      <c r="K89" s="13">
        <v>0</v>
      </c>
      <c r="L89" s="13">
        <v>924</v>
      </c>
      <c r="Q89" s="5">
        <f>SUMIFS(Coin!E:E,Coin!C:C,B89,Coin!D:D,A89)</f>
        <v>0</v>
      </c>
    </row>
    <row r="90" spans="1:22" hidden="1" x14ac:dyDescent="0.25">
      <c r="A90" s="1">
        <f t="shared" si="25"/>
        <v>42837</v>
      </c>
      <c r="B90">
        <v>37</v>
      </c>
      <c r="C90">
        <v>789.95</v>
      </c>
      <c r="E90" s="13">
        <f t="shared" si="26"/>
        <v>737.95</v>
      </c>
      <c r="F90" s="13">
        <v>737.95</v>
      </c>
      <c r="G90" s="13">
        <f>E90-F90</f>
        <v>0</v>
      </c>
      <c r="H90" s="14">
        <v>1098</v>
      </c>
      <c r="I90" s="15">
        <v>994.8</v>
      </c>
      <c r="J90" s="13">
        <v>994.8</v>
      </c>
      <c r="K90" s="13">
        <v>0</v>
      </c>
      <c r="L90" s="13">
        <v>930</v>
      </c>
      <c r="Q90" s="15">
        <v>52</v>
      </c>
      <c r="R90" s="13">
        <v>52</v>
      </c>
      <c r="S90" s="13">
        <v>0</v>
      </c>
      <c r="T90" s="19">
        <v>1099</v>
      </c>
    </row>
    <row r="91" spans="1:22" hidden="1" x14ac:dyDescent="0.25">
      <c r="A91" s="1">
        <f t="shared" si="25"/>
        <v>42837</v>
      </c>
      <c r="B91">
        <v>41</v>
      </c>
      <c r="C91">
        <v>263.85000000000002</v>
      </c>
      <c r="E91" s="13">
        <f t="shared" si="26"/>
        <v>263.85000000000002</v>
      </c>
      <c r="F91" s="13">
        <v>263.85000000000002</v>
      </c>
      <c r="G91" s="13">
        <f>E91-F91</f>
        <v>0</v>
      </c>
      <c r="H91" s="14">
        <v>1100</v>
      </c>
      <c r="I91" s="15">
        <v>367.75</v>
      </c>
      <c r="J91" s="13">
        <v>367.75</v>
      </c>
      <c r="K91" s="13">
        <v>0</v>
      </c>
      <c r="L91" s="13">
        <v>925</v>
      </c>
      <c r="Q91" s="5">
        <f>SUMIFS(Coin!E:E,Coin!C:C,B91,Coin!D:D,A91)</f>
        <v>0</v>
      </c>
    </row>
    <row r="92" spans="1:22" hidden="1" x14ac:dyDescent="0.25">
      <c r="A92" s="1">
        <f t="shared" si="25"/>
        <v>42837</v>
      </c>
      <c r="B92">
        <v>43</v>
      </c>
      <c r="C92">
        <v>1252.75</v>
      </c>
      <c r="E92" s="13">
        <f t="shared" si="26"/>
        <v>1292.75</v>
      </c>
      <c r="F92" s="13">
        <v>1292.75</v>
      </c>
      <c r="G92" s="13">
        <f>E92-F92</f>
        <v>0</v>
      </c>
      <c r="H92" s="14">
        <v>1101</v>
      </c>
      <c r="I92" s="15">
        <v>674.85</v>
      </c>
      <c r="J92" s="13">
        <v>674.85</v>
      </c>
      <c r="K92" s="13">
        <v>0</v>
      </c>
      <c r="L92" s="13">
        <v>928</v>
      </c>
      <c r="Q92" s="5">
        <f>SUMIFS(Coin!E:E,Coin!C:C,B92,Coin!D:D,A92)</f>
        <v>0</v>
      </c>
      <c r="U92" s="21">
        <v>40</v>
      </c>
      <c r="V92" s="21">
        <v>50</v>
      </c>
    </row>
    <row r="93" spans="1:22" hidden="1" x14ac:dyDescent="0.25">
      <c r="A93" s="1">
        <f t="shared" si="25"/>
        <v>42837</v>
      </c>
      <c r="B93">
        <v>44</v>
      </c>
      <c r="C93">
        <v>270</v>
      </c>
      <c r="E93">
        <f t="shared" si="26"/>
        <v>270</v>
      </c>
      <c r="I93" s="15">
        <v>443.33</v>
      </c>
      <c r="J93" s="13">
        <v>443.33</v>
      </c>
      <c r="K93" s="13">
        <v>0</v>
      </c>
      <c r="L93" s="13">
        <v>923</v>
      </c>
      <c r="Q93" s="5">
        <f>SUMIFS(Coin!E:E,Coin!C:C,B93,Coin!D:D,A93)</f>
        <v>0</v>
      </c>
    </row>
    <row r="94" spans="1:22" hidden="1" x14ac:dyDescent="0.25">
      <c r="A94" s="1">
        <f t="shared" si="25"/>
        <v>42837</v>
      </c>
      <c r="B94">
        <v>101</v>
      </c>
      <c r="C94">
        <v>717.95</v>
      </c>
      <c r="E94" s="13">
        <f t="shared" si="26"/>
        <v>717.95</v>
      </c>
      <c r="F94" s="13">
        <v>717.95</v>
      </c>
      <c r="G94" s="13">
        <f t="shared" ref="G94:G100" si="27">E94-F94</f>
        <v>0</v>
      </c>
      <c r="H94" s="14">
        <v>1102</v>
      </c>
      <c r="I94" s="15">
        <v>390</v>
      </c>
      <c r="J94" s="13">
        <v>390</v>
      </c>
      <c r="K94" s="13">
        <v>0</v>
      </c>
      <c r="L94" s="13">
        <v>926</v>
      </c>
      <c r="Q94" s="5">
        <f>SUMIFS(Coin!E:E,Coin!C:C,B94,Coin!D:D,A94)</f>
        <v>0</v>
      </c>
    </row>
    <row r="95" spans="1:22" hidden="1" x14ac:dyDescent="0.25">
      <c r="A95" s="1">
        <f t="shared" si="25"/>
        <v>42837</v>
      </c>
      <c r="B95">
        <v>103</v>
      </c>
      <c r="C95">
        <v>957.35</v>
      </c>
      <c r="E95" s="13">
        <f t="shared" si="26"/>
        <v>957.35</v>
      </c>
      <c r="F95" s="13">
        <v>957.35</v>
      </c>
      <c r="G95" s="13">
        <f t="shared" si="27"/>
        <v>0</v>
      </c>
      <c r="H95" s="14">
        <v>1103</v>
      </c>
      <c r="I95" s="15">
        <v>727.86</v>
      </c>
      <c r="J95" s="13">
        <v>727.86</v>
      </c>
      <c r="K95" s="13">
        <v>0</v>
      </c>
      <c r="L95" s="13">
        <v>927</v>
      </c>
      <c r="Q95" s="5">
        <f>SUMIFS(Coin!E:E,Coin!C:C,B95,Coin!D:D,A95)</f>
        <v>0</v>
      </c>
    </row>
    <row r="96" spans="1:22" hidden="1" x14ac:dyDescent="0.25">
      <c r="A96" s="1">
        <f t="shared" si="25"/>
        <v>42837</v>
      </c>
      <c r="B96">
        <v>201</v>
      </c>
      <c r="C96">
        <v>544.95000000000005</v>
      </c>
      <c r="E96" s="13">
        <f t="shared" si="26"/>
        <v>544.95000000000005</v>
      </c>
      <c r="F96" s="13">
        <v>544.95000000000005</v>
      </c>
      <c r="G96" s="13">
        <f t="shared" si="27"/>
        <v>0</v>
      </c>
      <c r="H96" s="25">
        <v>1123</v>
      </c>
      <c r="I96" s="15">
        <v>514.83000000000004</v>
      </c>
      <c r="J96" s="13">
        <v>514.83000000000004</v>
      </c>
      <c r="K96" s="13">
        <v>0</v>
      </c>
      <c r="L96" s="13">
        <v>929</v>
      </c>
      <c r="Q96" s="5">
        <f>SUMIFS(Coin!E:E,Coin!C:C,B96,Coin!D:D,A96)</f>
        <v>0</v>
      </c>
    </row>
    <row r="97" spans="1:22" hidden="1" x14ac:dyDescent="0.25">
      <c r="A97" s="1">
        <f t="shared" ref="A97:A104" si="28">DATE(2017,4,13)</f>
        <v>42838</v>
      </c>
      <c r="B97">
        <v>35</v>
      </c>
      <c r="C97">
        <v>880.7</v>
      </c>
      <c r="E97" s="13">
        <f t="shared" ref="E97:E115" si="29">C97+D97-Q97+U97</f>
        <v>910</v>
      </c>
      <c r="F97" s="13">
        <v>910</v>
      </c>
      <c r="G97" s="13">
        <f t="shared" si="27"/>
        <v>0</v>
      </c>
      <c r="H97" s="14">
        <v>1096</v>
      </c>
      <c r="I97" s="15">
        <v>1397.79</v>
      </c>
      <c r="J97" s="13">
        <v>1397.79</v>
      </c>
      <c r="K97" s="13">
        <v>0</v>
      </c>
      <c r="L97" s="13">
        <v>941</v>
      </c>
      <c r="Q97" s="15">
        <v>0.7</v>
      </c>
      <c r="R97" s="13">
        <v>0.7</v>
      </c>
      <c r="S97" s="13">
        <v>0</v>
      </c>
      <c r="T97" s="19">
        <v>1107</v>
      </c>
      <c r="U97" s="21">
        <v>30</v>
      </c>
      <c r="V97" s="21">
        <v>50</v>
      </c>
    </row>
    <row r="98" spans="1:22" hidden="1" x14ac:dyDescent="0.25">
      <c r="A98" s="1">
        <f t="shared" si="28"/>
        <v>42838</v>
      </c>
      <c r="B98">
        <v>37</v>
      </c>
      <c r="C98">
        <v>999.9</v>
      </c>
      <c r="E98" s="13">
        <f t="shared" si="29"/>
        <v>999.9</v>
      </c>
      <c r="F98" s="13">
        <v>999.9</v>
      </c>
      <c r="G98" s="13">
        <f t="shared" si="27"/>
        <v>0</v>
      </c>
      <c r="H98" s="14">
        <v>1110</v>
      </c>
      <c r="I98" s="15">
        <v>829.9</v>
      </c>
      <c r="J98" s="13">
        <v>829.9</v>
      </c>
      <c r="K98" s="13">
        <v>0</v>
      </c>
      <c r="L98" s="13">
        <v>948</v>
      </c>
      <c r="Q98" s="5">
        <f>SUMIFS(Coin!E:E,Coin!C:C,B98,Coin!D:D,A98)</f>
        <v>0</v>
      </c>
    </row>
    <row r="99" spans="1:22" hidden="1" x14ac:dyDescent="0.25">
      <c r="A99" s="1">
        <f t="shared" si="28"/>
        <v>42838</v>
      </c>
      <c r="B99">
        <v>41</v>
      </c>
      <c r="C99">
        <v>527.85</v>
      </c>
      <c r="E99" s="13">
        <f t="shared" si="29"/>
        <v>527.85</v>
      </c>
      <c r="F99" s="13">
        <v>527.85</v>
      </c>
      <c r="G99" s="13">
        <f t="shared" si="27"/>
        <v>0</v>
      </c>
      <c r="H99" s="14">
        <v>1111</v>
      </c>
      <c r="I99" s="15">
        <v>1068.7</v>
      </c>
      <c r="J99" s="13">
        <v>1068.7</v>
      </c>
      <c r="K99" s="13">
        <v>0</v>
      </c>
      <c r="L99" s="13">
        <v>940</v>
      </c>
      <c r="Q99" s="5">
        <f>SUMIFS(Coin!E:E,Coin!C:C,B99,Coin!D:D,A99)</f>
        <v>0</v>
      </c>
    </row>
    <row r="100" spans="1:22" hidden="1" x14ac:dyDescent="0.25">
      <c r="A100" s="1">
        <f t="shared" si="28"/>
        <v>42838</v>
      </c>
      <c r="B100">
        <v>43</v>
      </c>
      <c r="C100">
        <v>1430.45</v>
      </c>
      <c r="E100" s="13">
        <f t="shared" si="29"/>
        <v>1430.45</v>
      </c>
      <c r="F100" s="13">
        <v>1430.45</v>
      </c>
      <c r="G100" s="13">
        <f t="shared" si="27"/>
        <v>0</v>
      </c>
      <c r="H100" s="14">
        <v>1113</v>
      </c>
      <c r="I100" s="15">
        <v>817.79</v>
      </c>
      <c r="J100" s="13">
        <v>817.79</v>
      </c>
      <c r="K100" s="13">
        <v>0</v>
      </c>
      <c r="L100" s="13">
        <v>942</v>
      </c>
      <c r="Q100" s="5">
        <f>SUMIFS(Coin!E:E,Coin!C:C,B100,Coin!D:D,A100)</f>
        <v>0</v>
      </c>
    </row>
    <row r="101" spans="1:22" hidden="1" x14ac:dyDescent="0.25">
      <c r="A101" s="1">
        <f t="shared" si="28"/>
        <v>42838</v>
      </c>
      <c r="B101">
        <v>44</v>
      </c>
      <c r="C101">
        <v>320.89999999999998</v>
      </c>
      <c r="E101">
        <f t="shared" si="29"/>
        <v>320.89999999999998</v>
      </c>
      <c r="I101" s="15">
        <v>872.65</v>
      </c>
      <c r="J101" s="13">
        <v>872.65</v>
      </c>
      <c r="K101" s="13">
        <v>0</v>
      </c>
      <c r="L101" s="13">
        <v>943</v>
      </c>
      <c r="Q101" s="5">
        <f>SUMIFS(Coin!E:E,Coin!C:C,B101,Coin!D:D,A101)</f>
        <v>0</v>
      </c>
    </row>
    <row r="102" spans="1:22" hidden="1" x14ac:dyDescent="0.25">
      <c r="A102" s="1">
        <f t="shared" si="28"/>
        <v>42838</v>
      </c>
      <c r="B102">
        <v>101</v>
      </c>
      <c r="C102">
        <v>523.75</v>
      </c>
      <c r="E102" s="13">
        <f t="shared" si="29"/>
        <v>520</v>
      </c>
      <c r="F102" s="13">
        <v>520</v>
      </c>
      <c r="G102" s="13">
        <f t="shared" ref="G102:G108" si="30">E102-F102</f>
        <v>0</v>
      </c>
      <c r="H102" s="14">
        <v>1117</v>
      </c>
      <c r="I102" s="15">
        <v>515.85</v>
      </c>
      <c r="J102" s="13">
        <v>515.85</v>
      </c>
      <c r="K102" s="13">
        <v>0</v>
      </c>
      <c r="L102" s="13">
        <v>944</v>
      </c>
      <c r="Q102" s="5">
        <f>SUMIFS(Coin!E:E,Coin!C:C,B102,Coin!D:D,A102)</f>
        <v>0</v>
      </c>
      <c r="U102" s="21">
        <v>-3.75</v>
      </c>
    </row>
    <row r="103" spans="1:22" hidden="1" x14ac:dyDescent="0.25">
      <c r="A103" s="1">
        <f t="shared" si="28"/>
        <v>42838</v>
      </c>
      <c r="B103">
        <v>103</v>
      </c>
      <c r="C103">
        <v>1216.25</v>
      </c>
      <c r="E103" s="13">
        <f t="shared" si="29"/>
        <v>1212.95</v>
      </c>
      <c r="F103" s="13">
        <v>1212.95</v>
      </c>
      <c r="G103" s="13">
        <f t="shared" si="30"/>
        <v>0</v>
      </c>
      <c r="H103" s="14">
        <v>1119</v>
      </c>
      <c r="I103" s="15">
        <v>1450.26</v>
      </c>
      <c r="J103" s="13">
        <v>1450.26</v>
      </c>
      <c r="K103" s="13">
        <v>0</v>
      </c>
      <c r="L103" s="13">
        <v>939</v>
      </c>
      <c r="Q103" s="5">
        <f>SUMIFS(Coin!E:E,Coin!C:C,B103,Coin!D:D,A103)</f>
        <v>0</v>
      </c>
      <c r="U103" s="21">
        <v>-3.3</v>
      </c>
    </row>
    <row r="104" spans="1:22" hidden="1" x14ac:dyDescent="0.25">
      <c r="A104" s="1">
        <f t="shared" si="28"/>
        <v>42838</v>
      </c>
      <c r="B104">
        <v>201</v>
      </c>
      <c r="C104">
        <v>744.75</v>
      </c>
      <c r="E104" s="13">
        <f t="shared" si="29"/>
        <v>744.75</v>
      </c>
      <c r="F104" s="13">
        <v>744.75</v>
      </c>
      <c r="G104" s="13">
        <f t="shared" si="30"/>
        <v>0</v>
      </c>
      <c r="H104" s="14">
        <v>1122</v>
      </c>
      <c r="I104" s="15">
        <v>644.95000000000005</v>
      </c>
      <c r="J104" s="13">
        <v>644.95000000000005</v>
      </c>
      <c r="K104" s="13">
        <v>0</v>
      </c>
      <c r="L104" s="13">
        <v>949</v>
      </c>
      <c r="Q104" s="5">
        <f>SUMIFS(Coin!E:E,Coin!C:C,B104,Coin!D:D,A104)</f>
        <v>0</v>
      </c>
    </row>
    <row r="105" spans="1:22" hidden="1" x14ac:dyDescent="0.25">
      <c r="A105" s="1">
        <f t="shared" ref="A105:A112" si="31">DATE(2017,4,15)</f>
        <v>42840</v>
      </c>
      <c r="B105">
        <v>35</v>
      </c>
      <c r="C105">
        <v>863.55</v>
      </c>
      <c r="E105" s="13">
        <f t="shared" si="29"/>
        <v>863.55</v>
      </c>
      <c r="F105" s="13">
        <v>863.55</v>
      </c>
      <c r="G105" s="13">
        <f t="shared" si="30"/>
        <v>0</v>
      </c>
      <c r="H105" s="14">
        <v>1108</v>
      </c>
      <c r="I105" s="15">
        <v>922.28</v>
      </c>
      <c r="J105" s="13">
        <v>922.28</v>
      </c>
      <c r="K105" s="13">
        <v>0</v>
      </c>
      <c r="L105" s="13">
        <v>936</v>
      </c>
      <c r="Q105" s="5">
        <f>SUMIFS(Coin!E:E,Coin!C:C,B105,Coin!D:D,A105)</f>
        <v>0</v>
      </c>
    </row>
    <row r="106" spans="1:22" hidden="1" x14ac:dyDescent="0.25">
      <c r="A106" s="1">
        <f t="shared" si="31"/>
        <v>42840</v>
      </c>
      <c r="B106">
        <v>37</v>
      </c>
      <c r="C106">
        <v>859.95</v>
      </c>
      <c r="E106" s="13">
        <f t="shared" si="29"/>
        <v>859.95</v>
      </c>
      <c r="F106" s="13">
        <v>859.95</v>
      </c>
      <c r="G106" s="13">
        <f t="shared" si="30"/>
        <v>0</v>
      </c>
      <c r="H106" s="14">
        <v>1109</v>
      </c>
      <c r="I106" s="15">
        <v>894.8</v>
      </c>
      <c r="J106" s="13">
        <v>894.8</v>
      </c>
      <c r="K106" s="13">
        <v>0</v>
      </c>
      <c r="L106" s="13">
        <v>947</v>
      </c>
      <c r="Q106" s="5">
        <f>SUMIFS(Coin!E:E,Coin!C:C,B106,Coin!D:D,A106)</f>
        <v>0</v>
      </c>
    </row>
    <row r="107" spans="1:22" hidden="1" x14ac:dyDescent="0.25">
      <c r="A107" s="1">
        <f t="shared" si="31"/>
        <v>42840</v>
      </c>
      <c r="B107">
        <v>41</v>
      </c>
      <c r="C107">
        <v>561.65</v>
      </c>
      <c r="E107" s="13">
        <f t="shared" si="29"/>
        <v>561.65</v>
      </c>
      <c r="F107" s="13">
        <v>561.65</v>
      </c>
      <c r="G107" s="13">
        <f t="shared" si="30"/>
        <v>0</v>
      </c>
      <c r="H107" s="14">
        <v>1112</v>
      </c>
      <c r="I107" s="15">
        <v>688.63</v>
      </c>
      <c r="J107" s="13">
        <v>688.63</v>
      </c>
      <c r="K107" s="13">
        <v>0</v>
      </c>
      <c r="L107" s="13">
        <v>933</v>
      </c>
      <c r="Q107" s="5">
        <f>SUMIFS(Coin!E:E,Coin!C:C,B107,Coin!D:D,A107)</f>
        <v>0</v>
      </c>
    </row>
    <row r="108" spans="1:22" hidden="1" x14ac:dyDescent="0.25">
      <c r="A108" s="1">
        <f t="shared" si="31"/>
        <v>42840</v>
      </c>
      <c r="B108">
        <v>43</v>
      </c>
      <c r="C108">
        <v>682.7</v>
      </c>
      <c r="E108" s="13">
        <f t="shared" si="29"/>
        <v>682.7</v>
      </c>
      <c r="F108" s="13">
        <v>682.7</v>
      </c>
      <c r="G108" s="13">
        <f t="shared" si="30"/>
        <v>0</v>
      </c>
      <c r="H108" s="14">
        <v>1114</v>
      </c>
      <c r="I108" s="15">
        <v>394.83</v>
      </c>
      <c r="J108" s="13">
        <v>394.83</v>
      </c>
      <c r="K108" s="13">
        <v>0</v>
      </c>
      <c r="L108" s="13">
        <v>938</v>
      </c>
      <c r="Q108" s="5">
        <f>SUMIFS(Coin!E:E,Coin!C:C,B108,Coin!D:D,A108)</f>
        <v>0</v>
      </c>
    </row>
    <row r="109" spans="1:22" hidden="1" x14ac:dyDescent="0.25">
      <c r="A109" s="1">
        <f t="shared" si="31"/>
        <v>42840</v>
      </c>
      <c r="B109">
        <v>44</v>
      </c>
      <c r="C109">
        <v>258.85000000000002</v>
      </c>
      <c r="E109" s="13">
        <f t="shared" si="29"/>
        <v>258.85000000000002</v>
      </c>
      <c r="F109" s="13">
        <v>258.85000000000002</v>
      </c>
      <c r="G109" s="13">
        <f>E109-F109</f>
        <v>0</v>
      </c>
      <c r="H109" s="14">
        <v>1127</v>
      </c>
      <c r="I109" s="15">
        <v>229.95</v>
      </c>
      <c r="J109" s="13">
        <v>229.95</v>
      </c>
      <c r="K109" s="13">
        <v>0</v>
      </c>
      <c r="L109" s="13">
        <v>934</v>
      </c>
      <c r="Q109" s="5">
        <f>SUMIFS(Coin!E:E,Coin!C:C,B109,Coin!D:D,A109)</f>
        <v>0</v>
      </c>
      <c r="V109" s="21">
        <v>110</v>
      </c>
    </row>
    <row r="110" spans="1:22" hidden="1" x14ac:dyDescent="0.25">
      <c r="A110" s="1">
        <f t="shared" si="31"/>
        <v>42840</v>
      </c>
      <c r="B110">
        <v>101</v>
      </c>
      <c r="C110">
        <v>520</v>
      </c>
      <c r="E110" s="13">
        <f t="shared" si="29"/>
        <v>523.75</v>
      </c>
      <c r="F110" s="13">
        <v>523.75</v>
      </c>
      <c r="G110" s="13">
        <f t="shared" ref="G110:G116" si="32">E110-F110</f>
        <v>0</v>
      </c>
      <c r="H110" s="14">
        <v>1116</v>
      </c>
      <c r="I110" s="15">
        <v>320</v>
      </c>
      <c r="J110" s="13">
        <v>320</v>
      </c>
      <c r="K110" s="13">
        <v>0</v>
      </c>
      <c r="L110" s="13">
        <v>935</v>
      </c>
      <c r="Q110" s="5">
        <f>SUMIFS(Coin!E:E,Coin!C:C,B110,Coin!D:D,A110)</f>
        <v>0</v>
      </c>
      <c r="U110" s="21">
        <v>3.75</v>
      </c>
    </row>
    <row r="111" spans="1:22" hidden="1" x14ac:dyDescent="0.25">
      <c r="A111" s="1">
        <f t="shared" si="31"/>
        <v>42840</v>
      </c>
      <c r="B111">
        <v>103</v>
      </c>
      <c r="C111">
        <v>769.95</v>
      </c>
      <c r="E111" s="13">
        <f t="shared" si="29"/>
        <v>767.95</v>
      </c>
      <c r="F111" s="13">
        <v>767.95</v>
      </c>
      <c r="G111" s="13">
        <f t="shared" si="32"/>
        <v>0</v>
      </c>
      <c r="H111" s="14">
        <v>1120</v>
      </c>
      <c r="I111" s="15">
        <v>909.82</v>
      </c>
      <c r="J111" s="13">
        <v>909.82</v>
      </c>
      <c r="K111" s="13">
        <v>0</v>
      </c>
      <c r="L111" s="13">
        <v>937</v>
      </c>
      <c r="Q111" s="15">
        <v>2.0499999999999998</v>
      </c>
      <c r="R111" s="13">
        <v>2.0499999999999998</v>
      </c>
      <c r="S111" s="13">
        <v>0</v>
      </c>
      <c r="T111" s="19">
        <v>1130</v>
      </c>
      <c r="U111" s="21">
        <v>0.05</v>
      </c>
    </row>
    <row r="112" spans="1:22" hidden="1" x14ac:dyDescent="0.25">
      <c r="A112" s="1">
        <f t="shared" si="31"/>
        <v>42840</v>
      </c>
      <c r="B112">
        <v>201</v>
      </c>
      <c r="C112">
        <v>789.95</v>
      </c>
      <c r="E112" s="13">
        <f t="shared" si="29"/>
        <v>789.95</v>
      </c>
      <c r="F112" s="13">
        <v>789.95</v>
      </c>
      <c r="G112" s="13">
        <f t="shared" si="32"/>
        <v>0</v>
      </c>
      <c r="H112" s="14">
        <v>1121</v>
      </c>
      <c r="I112" s="15">
        <v>754.93</v>
      </c>
      <c r="J112" s="13">
        <v>754.93</v>
      </c>
      <c r="K112" s="13">
        <v>0</v>
      </c>
      <c r="L112" s="13">
        <v>946</v>
      </c>
      <c r="Q112" s="5">
        <f>SUMIFS(Coin!E:E,Coin!C:C,B112,Coin!D:D,A112)</f>
        <v>0</v>
      </c>
    </row>
    <row r="113" spans="1:21" hidden="1" x14ac:dyDescent="0.25">
      <c r="A113" s="1">
        <f>DATE(2017,4,17)</f>
        <v>42842</v>
      </c>
      <c r="B113">
        <v>35</v>
      </c>
      <c r="C113">
        <v>242.8</v>
      </c>
      <c r="E113" s="13">
        <f t="shared" si="29"/>
        <v>242.8</v>
      </c>
      <c r="F113" s="13">
        <v>242.8</v>
      </c>
      <c r="G113" s="13">
        <f t="shared" si="32"/>
        <v>0</v>
      </c>
      <c r="H113" s="14">
        <v>1106</v>
      </c>
      <c r="I113" s="15">
        <v>442.7</v>
      </c>
      <c r="J113" s="13">
        <v>442.7</v>
      </c>
      <c r="K113" s="13">
        <v>0</v>
      </c>
      <c r="L113" s="13">
        <v>931</v>
      </c>
      <c r="Q113" s="5">
        <f>SUMIFS(Coin!E:E,Coin!C:C,B113,Coin!D:D,A113)</f>
        <v>0</v>
      </c>
    </row>
    <row r="114" spans="1:21" hidden="1" x14ac:dyDescent="0.25">
      <c r="A114" s="1">
        <f>DATE(2017,4,17)</f>
        <v>42842</v>
      </c>
      <c r="B114">
        <v>37</v>
      </c>
      <c r="C114">
        <v>494.95</v>
      </c>
      <c r="E114" s="13">
        <f t="shared" si="29"/>
        <v>489.95</v>
      </c>
      <c r="F114" s="13">
        <v>489.95</v>
      </c>
      <c r="G114" s="13">
        <f t="shared" si="32"/>
        <v>0</v>
      </c>
      <c r="H114" s="14">
        <v>1104</v>
      </c>
      <c r="I114" s="15">
        <v>455</v>
      </c>
      <c r="J114" s="13">
        <v>455</v>
      </c>
      <c r="K114" s="13">
        <v>0</v>
      </c>
      <c r="L114" s="13">
        <v>945</v>
      </c>
      <c r="Q114" s="5">
        <f>SUMIFS(Coin!E:E,Coin!C:C,B114,Coin!D:D,A114)</f>
        <v>0</v>
      </c>
      <c r="U114" s="21">
        <v>-5</v>
      </c>
    </row>
    <row r="115" spans="1:21" hidden="1" x14ac:dyDescent="0.25">
      <c r="A115" s="1">
        <f>DATE(2017,4,17)</f>
        <v>42842</v>
      </c>
      <c r="B115">
        <v>103</v>
      </c>
      <c r="C115">
        <v>254.9</v>
      </c>
      <c r="E115" s="13">
        <f t="shared" si="29"/>
        <v>255.4</v>
      </c>
      <c r="F115" s="13">
        <v>255.4</v>
      </c>
      <c r="G115" s="13">
        <f t="shared" si="32"/>
        <v>0</v>
      </c>
      <c r="H115" s="14">
        <v>1118</v>
      </c>
      <c r="I115" s="15">
        <v>54.95</v>
      </c>
      <c r="J115" s="13">
        <v>54.95</v>
      </c>
      <c r="K115" s="13">
        <v>0</v>
      </c>
      <c r="L115" s="13">
        <v>932</v>
      </c>
      <c r="Q115" s="5">
        <f>SUMIFS(Coin!E:E,Coin!C:C,B115,Coin!D:D,A115)</f>
        <v>0</v>
      </c>
      <c r="U115" s="21">
        <v>0.5</v>
      </c>
    </row>
    <row r="116" spans="1:21" hidden="1" x14ac:dyDescent="0.25">
      <c r="A116" s="1">
        <f t="shared" ref="A116:A123" si="33">DATE(2017,4,18)</f>
        <v>42843</v>
      </c>
      <c r="B116">
        <v>35</v>
      </c>
      <c r="C116">
        <v>507.7</v>
      </c>
      <c r="E116" s="13">
        <f t="shared" ref="E116:E123" si="34">C116+D116-Q116+U116</f>
        <v>505</v>
      </c>
      <c r="F116" s="13">
        <v>505</v>
      </c>
      <c r="G116" s="13">
        <f t="shared" si="32"/>
        <v>0</v>
      </c>
      <c r="H116" s="14">
        <v>1105</v>
      </c>
      <c r="I116" s="15">
        <v>194.98</v>
      </c>
      <c r="J116" s="13">
        <v>194.98</v>
      </c>
      <c r="K116" s="13">
        <v>0</v>
      </c>
      <c r="L116" s="13">
        <v>953</v>
      </c>
      <c r="Q116" s="15">
        <v>2.7</v>
      </c>
      <c r="R116" s="13">
        <v>2.7</v>
      </c>
      <c r="S116" s="13">
        <v>0</v>
      </c>
      <c r="T116" s="19">
        <v>1125</v>
      </c>
    </row>
    <row r="117" spans="1:21" hidden="1" x14ac:dyDescent="0.25">
      <c r="A117" s="1">
        <f t="shared" si="33"/>
        <v>42843</v>
      </c>
      <c r="B117">
        <v>37</v>
      </c>
      <c r="C117">
        <v>569.9</v>
      </c>
      <c r="E117" s="13">
        <f t="shared" si="34"/>
        <v>569.9</v>
      </c>
      <c r="F117" s="13">
        <v>569.9</v>
      </c>
      <c r="G117" s="13">
        <f t="shared" ref="G117:G123" si="35">E117-F117</f>
        <v>0</v>
      </c>
      <c r="H117" s="14">
        <v>1126</v>
      </c>
      <c r="I117" s="15">
        <v>369.9</v>
      </c>
      <c r="J117" s="13">
        <v>369.9</v>
      </c>
      <c r="K117" s="13">
        <v>0</v>
      </c>
      <c r="L117" s="13">
        <v>957</v>
      </c>
      <c r="Q117" s="5">
        <f>SUMIFS(Coin!E:E,Coin!C:C,B117,Coin!D:D,A117)</f>
        <v>0</v>
      </c>
    </row>
    <row r="118" spans="1:21" hidden="1" x14ac:dyDescent="0.25">
      <c r="A118" s="1">
        <f t="shared" si="33"/>
        <v>42843</v>
      </c>
      <c r="B118">
        <v>41</v>
      </c>
      <c r="C118">
        <v>338.85</v>
      </c>
      <c r="E118" s="13">
        <f t="shared" si="34"/>
        <v>338.85</v>
      </c>
      <c r="F118" s="13">
        <v>338.85</v>
      </c>
      <c r="G118" s="13">
        <f t="shared" si="35"/>
        <v>0</v>
      </c>
      <c r="H118" s="14">
        <v>1134</v>
      </c>
      <c r="I118" s="15">
        <v>318.75</v>
      </c>
      <c r="J118" s="13">
        <v>318.75</v>
      </c>
      <c r="K118" s="13">
        <v>0</v>
      </c>
      <c r="L118" s="13">
        <v>951</v>
      </c>
      <c r="M118" s="15">
        <v>20</v>
      </c>
      <c r="N118" s="13">
        <v>20</v>
      </c>
      <c r="O118" s="13">
        <v>0</v>
      </c>
      <c r="P118" s="13">
        <v>34</v>
      </c>
      <c r="Q118" s="5">
        <f>SUMIFS(Coin!E:E,Coin!C:C,B118,Coin!D:D,A118)</f>
        <v>0</v>
      </c>
    </row>
    <row r="119" spans="1:21" hidden="1" x14ac:dyDescent="0.25">
      <c r="A119" s="1">
        <f t="shared" si="33"/>
        <v>42843</v>
      </c>
      <c r="B119">
        <v>43</v>
      </c>
      <c r="C119">
        <v>515</v>
      </c>
      <c r="E119" s="13">
        <f t="shared" si="34"/>
        <v>515</v>
      </c>
      <c r="F119" s="13">
        <v>515</v>
      </c>
      <c r="G119" s="13">
        <f t="shared" si="35"/>
        <v>0</v>
      </c>
      <c r="H119" s="14">
        <v>1124</v>
      </c>
      <c r="I119" s="15">
        <v>244.98</v>
      </c>
      <c r="J119" s="13">
        <v>244.98</v>
      </c>
      <c r="K119" s="13">
        <v>0</v>
      </c>
      <c r="L119" s="13">
        <v>950</v>
      </c>
      <c r="Q119" s="5">
        <f>SUMIFS(Coin!E:E,Coin!C:C,B119,Coin!D:D,A119)</f>
        <v>0</v>
      </c>
    </row>
    <row r="120" spans="1:21" hidden="1" x14ac:dyDescent="0.25">
      <c r="A120" s="1">
        <f t="shared" si="33"/>
        <v>42843</v>
      </c>
      <c r="B120">
        <v>44</v>
      </c>
      <c r="C120">
        <v>337.8</v>
      </c>
      <c r="E120" s="13">
        <f t="shared" si="34"/>
        <v>337.8</v>
      </c>
      <c r="F120" s="13">
        <v>337.8</v>
      </c>
      <c r="G120" s="13">
        <f t="shared" si="35"/>
        <v>0</v>
      </c>
      <c r="H120" s="14">
        <v>1128</v>
      </c>
      <c r="I120" s="15">
        <v>190</v>
      </c>
      <c r="J120" s="13">
        <v>190</v>
      </c>
      <c r="K120" s="13">
        <v>0</v>
      </c>
      <c r="L120" s="13">
        <v>952</v>
      </c>
      <c r="M120" s="15">
        <v>125.3</v>
      </c>
      <c r="N120" s="13">
        <v>125.3</v>
      </c>
      <c r="O120" s="13">
        <v>0</v>
      </c>
      <c r="P120" s="13">
        <v>33</v>
      </c>
      <c r="Q120" s="5">
        <f>SUMIFS(Coin!E:E,Coin!C:C,B120,Coin!D:D,A120)</f>
        <v>0</v>
      </c>
    </row>
    <row r="121" spans="1:21" hidden="1" x14ac:dyDescent="0.25">
      <c r="A121" s="1">
        <f t="shared" si="33"/>
        <v>42843</v>
      </c>
      <c r="B121">
        <v>101</v>
      </c>
      <c r="C121">
        <v>615</v>
      </c>
      <c r="E121" s="13">
        <f t="shared" si="34"/>
        <v>645</v>
      </c>
      <c r="F121" s="13">
        <v>645</v>
      </c>
      <c r="G121" s="13">
        <f t="shared" si="35"/>
        <v>0</v>
      </c>
      <c r="H121" s="14">
        <v>1129</v>
      </c>
      <c r="I121" s="15">
        <v>185</v>
      </c>
      <c r="J121" s="13">
        <v>185</v>
      </c>
      <c r="K121" s="13">
        <v>0</v>
      </c>
      <c r="L121" s="13">
        <v>955</v>
      </c>
      <c r="Q121" s="5">
        <f>SUMIFS(Coin!E:E,Coin!C:C,B121,Coin!D:D,A121)</f>
        <v>0</v>
      </c>
      <c r="U121" s="21">
        <v>30</v>
      </c>
    </row>
    <row r="122" spans="1:21" hidden="1" x14ac:dyDescent="0.25">
      <c r="A122" s="1">
        <f t="shared" si="33"/>
        <v>42843</v>
      </c>
      <c r="B122">
        <v>103</v>
      </c>
      <c r="C122">
        <v>1030.7</v>
      </c>
      <c r="E122" s="13">
        <f t="shared" si="34"/>
        <v>1046.5</v>
      </c>
      <c r="F122" s="13">
        <v>1046.5</v>
      </c>
      <c r="G122" s="13">
        <f t="shared" si="35"/>
        <v>0</v>
      </c>
      <c r="H122" s="14">
        <v>1131</v>
      </c>
      <c r="I122" s="15">
        <v>332.63</v>
      </c>
      <c r="J122" s="13">
        <v>332.63</v>
      </c>
      <c r="K122" s="13">
        <v>0</v>
      </c>
      <c r="L122" s="13">
        <v>954</v>
      </c>
      <c r="Q122" s="5">
        <f>SUMIFS(Coin!E:E,Coin!C:C,B122,Coin!D:D,A122)</f>
        <v>0</v>
      </c>
      <c r="U122" s="21">
        <v>15.8</v>
      </c>
    </row>
    <row r="123" spans="1:21" hidden="1" x14ac:dyDescent="0.25">
      <c r="A123" s="1">
        <f t="shared" si="33"/>
        <v>42843</v>
      </c>
      <c r="B123">
        <v>201</v>
      </c>
      <c r="C123">
        <v>355</v>
      </c>
      <c r="E123" s="13">
        <f t="shared" si="34"/>
        <v>355</v>
      </c>
      <c r="F123" s="13">
        <v>355</v>
      </c>
      <c r="G123" s="13">
        <f t="shared" si="35"/>
        <v>0</v>
      </c>
      <c r="H123" s="25">
        <v>1167</v>
      </c>
      <c r="I123" s="15">
        <v>284.8</v>
      </c>
      <c r="J123" s="13">
        <v>284.8</v>
      </c>
      <c r="K123" s="13">
        <v>0</v>
      </c>
      <c r="L123" s="13">
        <v>956</v>
      </c>
      <c r="Q123" s="5">
        <f>SUMIFS(Coin!E:E,Coin!C:C,B123,Coin!D:D,A123)</f>
        <v>0</v>
      </c>
    </row>
    <row r="124" spans="1:21" hidden="1" x14ac:dyDescent="0.25">
      <c r="A124" s="1">
        <f t="shared" ref="A124:A131" si="36">DATE(2017,4,19)</f>
        <v>42844</v>
      </c>
      <c r="B124">
        <v>35</v>
      </c>
      <c r="C124">
        <v>586.5</v>
      </c>
      <c r="E124" s="13">
        <f t="shared" ref="E124:E131" si="37">C124+D124-Q124+U124</f>
        <v>586.5</v>
      </c>
      <c r="F124" s="13">
        <v>586.5</v>
      </c>
      <c r="G124" s="13">
        <f>E124-F124</f>
        <v>0</v>
      </c>
      <c r="H124" s="14">
        <v>1133</v>
      </c>
      <c r="I124" s="15">
        <v>359.95</v>
      </c>
      <c r="J124" s="13">
        <v>359.95</v>
      </c>
      <c r="K124" s="13">
        <v>0</v>
      </c>
      <c r="L124" s="13">
        <v>959</v>
      </c>
      <c r="Q124" s="5">
        <f>SUMIFS(Coin!E:E,Coin!C:C,B124,Coin!D:D,A124)</f>
        <v>0</v>
      </c>
    </row>
    <row r="125" spans="1:21" hidden="1" x14ac:dyDescent="0.25">
      <c r="A125" s="1">
        <f t="shared" si="36"/>
        <v>42844</v>
      </c>
      <c r="B125">
        <v>37</v>
      </c>
      <c r="C125">
        <v>324.89999999999998</v>
      </c>
      <c r="E125" s="13">
        <f t="shared" si="37"/>
        <v>324.89999999999998</v>
      </c>
      <c r="F125" s="13">
        <v>324.89999999999998</v>
      </c>
      <c r="G125" s="13">
        <f>E125-F125</f>
        <v>0</v>
      </c>
      <c r="H125" s="14">
        <v>1132</v>
      </c>
      <c r="I125" s="15">
        <v>549.85</v>
      </c>
      <c r="J125" s="13">
        <v>549.85</v>
      </c>
      <c r="K125" s="13">
        <v>0</v>
      </c>
      <c r="L125" s="13">
        <v>964</v>
      </c>
      <c r="Q125" s="5">
        <f>SUMIFS(Coin!E:E,Coin!C:C,B125,Coin!D:D,A125)</f>
        <v>0</v>
      </c>
    </row>
    <row r="126" spans="1:21" hidden="1" x14ac:dyDescent="0.25">
      <c r="A126" s="1">
        <f t="shared" si="36"/>
        <v>42844</v>
      </c>
      <c r="B126">
        <v>41</v>
      </c>
      <c r="C126">
        <v>218.75</v>
      </c>
      <c r="E126" s="13">
        <f t="shared" si="37"/>
        <v>218.75</v>
      </c>
      <c r="F126" s="13">
        <v>218.75</v>
      </c>
      <c r="G126" s="13">
        <f>E126-F126</f>
        <v>0</v>
      </c>
      <c r="H126" s="14">
        <v>1135</v>
      </c>
      <c r="I126" s="15">
        <v>139.94999999999999</v>
      </c>
      <c r="J126" s="13">
        <v>139.94999999999999</v>
      </c>
      <c r="K126" s="13">
        <v>0</v>
      </c>
      <c r="L126" s="13">
        <v>963</v>
      </c>
      <c r="Q126" s="5">
        <f>SUMIFS(Coin!E:E,Coin!C:C,B126,Coin!D:D,A126)</f>
        <v>0</v>
      </c>
    </row>
    <row r="127" spans="1:21" hidden="1" x14ac:dyDescent="0.25">
      <c r="A127" s="1">
        <f t="shared" si="36"/>
        <v>42844</v>
      </c>
      <c r="B127">
        <v>43</v>
      </c>
      <c r="C127">
        <v>847.85</v>
      </c>
      <c r="E127" s="13">
        <f t="shared" si="37"/>
        <v>847.85</v>
      </c>
      <c r="F127" s="13">
        <v>847.85</v>
      </c>
      <c r="G127" s="13">
        <f>E127-F127</f>
        <v>0</v>
      </c>
      <c r="H127" s="14">
        <v>1136</v>
      </c>
      <c r="I127" s="15">
        <v>657.8</v>
      </c>
      <c r="J127" s="13">
        <v>657.8</v>
      </c>
      <c r="K127" s="13">
        <v>0</v>
      </c>
      <c r="L127" s="13">
        <v>961</v>
      </c>
      <c r="Q127" s="5">
        <f>SUMIFS(Coin!E:E,Coin!C:C,B127,Coin!D:D,A127)</f>
        <v>0</v>
      </c>
    </row>
    <row r="128" spans="1:21" hidden="1" x14ac:dyDescent="0.25">
      <c r="A128" s="1">
        <f t="shared" si="36"/>
        <v>42844</v>
      </c>
      <c r="B128">
        <v>44</v>
      </c>
      <c r="C128">
        <v>184.85</v>
      </c>
      <c r="E128">
        <f t="shared" si="37"/>
        <v>184.85</v>
      </c>
      <c r="I128" s="15">
        <v>367.38</v>
      </c>
      <c r="J128" s="13">
        <v>367.38</v>
      </c>
      <c r="K128" s="13">
        <v>0</v>
      </c>
      <c r="L128" s="13">
        <v>960</v>
      </c>
      <c r="Q128" s="5">
        <f>SUMIFS(Coin!E:E,Coin!C:C,B128,Coin!D:D,A128)</f>
        <v>0</v>
      </c>
    </row>
    <row r="129" spans="1:22" hidden="1" x14ac:dyDescent="0.25">
      <c r="A129" s="1">
        <f t="shared" si="36"/>
        <v>42844</v>
      </c>
      <c r="B129">
        <v>101</v>
      </c>
      <c r="C129">
        <v>767.45</v>
      </c>
      <c r="D129">
        <v>-12</v>
      </c>
      <c r="E129" s="13">
        <f t="shared" si="37"/>
        <v>755.45</v>
      </c>
      <c r="F129" s="13">
        <v>755.45</v>
      </c>
      <c r="G129" s="13">
        <f t="shared" ref="G129:G135" si="38">E129-F129</f>
        <v>0</v>
      </c>
      <c r="H129" s="14">
        <v>1137</v>
      </c>
      <c r="I129" s="15">
        <v>294.95</v>
      </c>
      <c r="J129" s="13">
        <v>294.95</v>
      </c>
      <c r="K129" s="13">
        <v>0</v>
      </c>
      <c r="L129" s="13">
        <v>958</v>
      </c>
      <c r="Q129" s="5">
        <f>SUMIFS(Coin!E:E,Coin!C:C,B129,Coin!D:D,A129)</f>
        <v>0</v>
      </c>
    </row>
    <row r="130" spans="1:22" hidden="1" x14ac:dyDescent="0.25">
      <c r="A130" s="1">
        <f t="shared" si="36"/>
        <v>42844</v>
      </c>
      <c r="B130">
        <v>103</v>
      </c>
      <c r="C130">
        <v>585.54999999999995</v>
      </c>
      <c r="E130" s="13">
        <f t="shared" si="37"/>
        <v>585.54999999999995</v>
      </c>
      <c r="F130" s="13">
        <v>585.54999999999995</v>
      </c>
      <c r="G130" s="13">
        <f t="shared" si="38"/>
        <v>0</v>
      </c>
      <c r="H130" s="14">
        <v>1164</v>
      </c>
      <c r="I130" s="15">
        <v>354.9</v>
      </c>
      <c r="J130" s="13">
        <v>354.9</v>
      </c>
      <c r="K130" s="13">
        <v>0</v>
      </c>
      <c r="L130" s="13">
        <v>962</v>
      </c>
      <c r="Q130" s="5">
        <f>SUMIFS(Coin!E:E,Coin!C:C,B130,Coin!D:D,A130)</f>
        <v>0</v>
      </c>
    </row>
    <row r="131" spans="1:22" hidden="1" x14ac:dyDescent="0.25">
      <c r="A131" s="1">
        <f t="shared" si="36"/>
        <v>42844</v>
      </c>
      <c r="B131">
        <v>201</v>
      </c>
      <c r="C131">
        <v>304.95</v>
      </c>
      <c r="E131" s="13">
        <f t="shared" si="37"/>
        <v>304.95</v>
      </c>
      <c r="F131" s="13">
        <v>304.89999999999998</v>
      </c>
      <c r="G131" s="13">
        <f t="shared" si="38"/>
        <v>5.0000000000011369E-2</v>
      </c>
      <c r="H131" s="14">
        <v>1170</v>
      </c>
      <c r="I131" s="15">
        <v>124.95</v>
      </c>
      <c r="J131" s="13">
        <v>124.95</v>
      </c>
      <c r="K131" s="13">
        <v>0</v>
      </c>
      <c r="L131" s="13">
        <v>965</v>
      </c>
      <c r="Q131" s="5">
        <f>SUMIFS(Coin!E:E,Coin!C:C,B131,Coin!D:D,A131)</f>
        <v>0</v>
      </c>
    </row>
    <row r="132" spans="1:22" hidden="1" x14ac:dyDescent="0.25">
      <c r="A132" s="1">
        <f t="shared" ref="A132:A139" si="39">DATE(2017,4,20)</f>
        <v>42845</v>
      </c>
      <c r="B132">
        <v>35</v>
      </c>
      <c r="C132">
        <v>668.55</v>
      </c>
      <c r="E132" s="13">
        <f t="shared" ref="E132:E139" si="40">C132+D132-Q132+U132</f>
        <v>668.55</v>
      </c>
      <c r="F132" s="13">
        <v>668.55</v>
      </c>
      <c r="G132" s="13">
        <f t="shared" si="38"/>
        <v>0</v>
      </c>
      <c r="H132" s="14">
        <v>1159</v>
      </c>
      <c r="I132" s="15">
        <v>662.6</v>
      </c>
      <c r="J132" s="13">
        <v>662.6</v>
      </c>
      <c r="K132" s="13">
        <v>0</v>
      </c>
      <c r="L132" s="13">
        <v>967</v>
      </c>
      <c r="Q132" s="5">
        <f>SUMIFS(Coin!E:E,Coin!C:C,B132,Coin!D:D,A132)</f>
        <v>0</v>
      </c>
    </row>
    <row r="133" spans="1:22" hidden="1" x14ac:dyDescent="0.25">
      <c r="A133" s="1">
        <f t="shared" si="39"/>
        <v>42845</v>
      </c>
      <c r="B133">
        <v>37</v>
      </c>
      <c r="C133">
        <v>829.9</v>
      </c>
      <c r="E133" s="13">
        <f t="shared" si="40"/>
        <v>829.9</v>
      </c>
      <c r="F133" s="13">
        <v>829.9</v>
      </c>
      <c r="G133" s="13">
        <f t="shared" si="38"/>
        <v>0</v>
      </c>
      <c r="H133" s="14">
        <v>1160</v>
      </c>
      <c r="I133" s="15">
        <v>914.75</v>
      </c>
      <c r="J133" s="13">
        <v>914.75</v>
      </c>
      <c r="K133" s="13">
        <v>0</v>
      </c>
      <c r="L133" s="13">
        <v>972</v>
      </c>
      <c r="Q133" s="5">
        <f>SUMIFS(Coin!E:E,Coin!C:C,B133,Coin!D:D,A133)</f>
        <v>0</v>
      </c>
    </row>
    <row r="134" spans="1:22" hidden="1" x14ac:dyDescent="0.25">
      <c r="A134" s="1">
        <f t="shared" si="39"/>
        <v>42845</v>
      </c>
      <c r="B134">
        <v>41</v>
      </c>
      <c r="C134">
        <v>589.79999999999995</v>
      </c>
      <c r="E134" s="13">
        <f t="shared" si="40"/>
        <v>589.79999999999995</v>
      </c>
      <c r="F134" s="13">
        <v>589.79999999999995</v>
      </c>
      <c r="G134" s="13">
        <f t="shared" si="38"/>
        <v>0</v>
      </c>
      <c r="H134" s="14">
        <v>1161</v>
      </c>
      <c r="I134" s="15">
        <v>459.75</v>
      </c>
      <c r="J134" s="13">
        <v>459.75</v>
      </c>
      <c r="K134" s="13">
        <v>0</v>
      </c>
      <c r="L134" s="13">
        <v>968</v>
      </c>
      <c r="Q134" s="5">
        <f>SUMIFS(Coin!E:E,Coin!C:C,B134,Coin!D:D,A134)</f>
        <v>0</v>
      </c>
    </row>
    <row r="135" spans="1:22" hidden="1" x14ac:dyDescent="0.25">
      <c r="A135" s="1">
        <f t="shared" si="39"/>
        <v>42845</v>
      </c>
      <c r="B135">
        <v>43</v>
      </c>
      <c r="C135">
        <v>1052.5999999999999</v>
      </c>
      <c r="E135" s="13">
        <f t="shared" si="40"/>
        <v>1052.5999999999999</v>
      </c>
      <c r="F135" s="13">
        <v>1052.5999999999999</v>
      </c>
      <c r="G135" s="13">
        <f t="shared" si="38"/>
        <v>0</v>
      </c>
      <c r="H135" s="14">
        <v>1162</v>
      </c>
      <c r="I135" s="15">
        <v>784.65</v>
      </c>
      <c r="J135" s="13">
        <v>784.65</v>
      </c>
      <c r="K135" s="13">
        <v>0</v>
      </c>
      <c r="L135" s="13">
        <v>970</v>
      </c>
      <c r="Q135" s="5">
        <f>SUMIFS(Coin!E:E,Coin!C:C,B135,Coin!D:D,A135)</f>
        <v>0</v>
      </c>
    </row>
    <row r="136" spans="1:22" hidden="1" x14ac:dyDescent="0.25">
      <c r="A136" s="1">
        <f t="shared" si="39"/>
        <v>42845</v>
      </c>
      <c r="B136">
        <v>44</v>
      </c>
      <c r="C136">
        <v>247.85</v>
      </c>
      <c r="E136">
        <f t="shared" si="40"/>
        <v>247.85</v>
      </c>
      <c r="I136" s="15">
        <v>529.70000000000005</v>
      </c>
      <c r="J136" s="13">
        <v>529.70000000000005</v>
      </c>
      <c r="K136" s="13">
        <v>0</v>
      </c>
      <c r="L136" s="13">
        <v>971</v>
      </c>
      <c r="Q136" s="5">
        <f>SUMIFS(Coin!E:E,Coin!C:C,B136,Coin!D:D,A136)</f>
        <v>0</v>
      </c>
      <c r="V136" s="21">
        <v>25</v>
      </c>
    </row>
    <row r="137" spans="1:22" hidden="1" x14ac:dyDescent="0.25">
      <c r="A137" s="1">
        <f t="shared" si="39"/>
        <v>42845</v>
      </c>
      <c r="B137">
        <v>101</v>
      </c>
      <c r="C137">
        <v>755.85</v>
      </c>
      <c r="E137" s="13">
        <f t="shared" si="40"/>
        <v>755.85</v>
      </c>
      <c r="F137" s="13">
        <v>755.85</v>
      </c>
      <c r="G137" s="13">
        <f t="shared" ref="G137:G143" si="41">E137-F137</f>
        <v>0</v>
      </c>
      <c r="H137" s="14">
        <v>1163</v>
      </c>
      <c r="I137" s="15">
        <v>504.95</v>
      </c>
      <c r="J137" s="13">
        <v>504.95</v>
      </c>
      <c r="K137" s="13">
        <v>0</v>
      </c>
      <c r="L137" s="13">
        <v>966</v>
      </c>
      <c r="Q137" s="5">
        <f>SUMIFS(Coin!E:E,Coin!C:C,B137,Coin!D:D,A137)</f>
        <v>0</v>
      </c>
    </row>
    <row r="138" spans="1:22" hidden="1" x14ac:dyDescent="0.25">
      <c r="A138" s="1">
        <f t="shared" si="39"/>
        <v>42845</v>
      </c>
      <c r="B138">
        <v>103</v>
      </c>
      <c r="C138">
        <v>790.4</v>
      </c>
      <c r="E138" s="13">
        <f t="shared" si="40"/>
        <v>790.4</v>
      </c>
      <c r="F138" s="13">
        <v>790.4</v>
      </c>
      <c r="G138" s="13">
        <f t="shared" si="41"/>
        <v>0</v>
      </c>
      <c r="H138" s="14">
        <v>1165</v>
      </c>
      <c r="I138" s="15">
        <v>952.5</v>
      </c>
      <c r="J138" s="13">
        <v>952.5</v>
      </c>
      <c r="K138" s="13">
        <v>0</v>
      </c>
      <c r="L138" s="13">
        <v>969</v>
      </c>
      <c r="Q138" s="5">
        <f>SUMIFS(Coin!E:E,Coin!C:C,B138,Coin!D:D,A138)</f>
        <v>0</v>
      </c>
    </row>
    <row r="139" spans="1:22" hidden="1" x14ac:dyDescent="0.25">
      <c r="A139" s="1">
        <f t="shared" si="39"/>
        <v>42845</v>
      </c>
      <c r="B139">
        <v>201</v>
      </c>
      <c r="C139">
        <v>589.75</v>
      </c>
      <c r="E139" s="13">
        <f t="shared" si="40"/>
        <v>589.75</v>
      </c>
      <c r="F139" s="13">
        <v>589.75</v>
      </c>
      <c r="G139" s="13">
        <f t="shared" si="41"/>
        <v>0</v>
      </c>
      <c r="H139" s="14">
        <v>1169</v>
      </c>
      <c r="I139" s="15">
        <v>354.9</v>
      </c>
      <c r="J139" s="13">
        <v>354.9</v>
      </c>
      <c r="K139" s="13">
        <v>0</v>
      </c>
      <c r="L139" s="13">
        <v>973</v>
      </c>
      <c r="Q139" s="5">
        <f>SUMIFS(Coin!E:E,Coin!C:C,B139,Coin!D:D,A139)</f>
        <v>0</v>
      </c>
    </row>
    <row r="140" spans="1:22" hidden="1" x14ac:dyDescent="0.25">
      <c r="A140" s="1">
        <f t="shared" ref="A140:A147" si="42">DATE(2017,4,21)</f>
        <v>42846</v>
      </c>
      <c r="B140">
        <v>35</v>
      </c>
      <c r="C140">
        <v>799.55</v>
      </c>
      <c r="E140" s="13">
        <f t="shared" ref="E140:E170" si="43">C140+D140-Q140+U140</f>
        <v>790</v>
      </c>
      <c r="F140" s="13">
        <v>790</v>
      </c>
      <c r="G140" s="13">
        <f t="shared" si="41"/>
        <v>0</v>
      </c>
      <c r="H140" s="14">
        <v>1166</v>
      </c>
      <c r="I140" s="15">
        <v>725.5</v>
      </c>
      <c r="J140" s="13">
        <v>725.5</v>
      </c>
      <c r="K140" s="13">
        <v>0</v>
      </c>
      <c r="L140" s="13">
        <v>998</v>
      </c>
      <c r="Q140" s="15">
        <v>9.5500000000000007</v>
      </c>
      <c r="R140" s="13">
        <v>9.5500000000000007</v>
      </c>
      <c r="S140" s="13">
        <v>0</v>
      </c>
      <c r="T140" s="19">
        <v>1158</v>
      </c>
    </row>
    <row r="141" spans="1:22" hidden="1" x14ac:dyDescent="0.25">
      <c r="A141" s="1">
        <f t="shared" si="42"/>
        <v>42846</v>
      </c>
      <c r="B141">
        <v>37</v>
      </c>
      <c r="C141">
        <v>479.8</v>
      </c>
      <c r="E141" s="13">
        <f t="shared" si="43"/>
        <v>478.8</v>
      </c>
      <c r="F141" s="13">
        <v>476.8</v>
      </c>
      <c r="G141" s="13">
        <f t="shared" si="41"/>
        <v>2</v>
      </c>
      <c r="H141" s="14">
        <v>1144</v>
      </c>
      <c r="I141" s="15">
        <v>1154.7</v>
      </c>
      <c r="J141" s="13">
        <v>1154.7</v>
      </c>
      <c r="K141" s="13">
        <v>0</v>
      </c>
      <c r="L141" s="13">
        <v>1003</v>
      </c>
      <c r="U141" s="21">
        <v>-1</v>
      </c>
    </row>
    <row r="142" spans="1:22" hidden="1" x14ac:dyDescent="0.25">
      <c r="A142" s="1">
        <f t="shared" si="42"/>
        <v>42846</v>
      </c>
      <c r="B142">
        <v>41</v>
      </c>
      <c r="C142">
        <v>302.85000000000002</v>
      </c>
      <c r="E142" s="13">
        <f t="shared" si="43"/>
        <v>302.85000000000002</v>
      </c>
      <c r="F142" s="13">
        <v>302.85000000000002</v>
      </c>
      <c r="G142" s="13">
        <f t="shared" si="41"/>
        <v>0</v>
      </c>
      <c r="H142" s="14">
        <v>1147</v>
      </c>
      <c r="I142" s="15">
        <v>219.95</v>
      </c>
      <c r="J142" s="13">
        <v>219.95</v>
      </c>
      <c r="K142" s="13">
        <v>0</v>
      </c>
      <c r="L142" s="13">
        <v>997</v>
      </c>
      <c r="Q142" s="5">
        <f>SUMIFS(Coin!E:E,Coin!C:C,B142,Coin!D:D,A142)</f>
        <v>0</v>
      </c>
    </row>
    <row r="143" spans="1:22" hidden="1" x14ac:dyDescent="0.25">
      <c r="A143" s="1">
        <f t="shared" si="42"/>
        <v>42846</v>
      </c>
      <c r="B143">
        <v>43</v>
      </c>
      <c r="C143">
        <v>1159.7</v>
      </c>
      <c r="E143" s="13">
        <f t="shared" si="43"/>
        <v>1159.7</v>
      </c>
      <c r="F143" s="13">
        <v>1159.7</v>
      </c>
      <c r="G143" s="13">
        <f t="shared" si="41"/>
        <v>0</v>
      </c>
      <c r="H143" s="14">
        <v>1148</v>
      </c>
      <c r="I143" s="15">
        <v>359.8</v>
      </c>
      <c r="J143" s="13">
        <v>359.8</v>
      </c>
      <c r="K143" s="13">
        <v>0</v>
      </c>
      <c r="L143" s="13">
        <v>995</v>
      </c>
      <c r="Q143" s="5">
        <f>SUMIFS(Coin!E:E,Coin!C:C,B143,Coin!D:D,A143)</f>
        <v>0</v>
      </c>
    </row>
    <row r="144" spans="1:22" hidden="1" x14ac:dyDescent="0.25">
      <c r="A144" s="1">
        <f t="shared" si="42"/>
        <v>42846</v>
      </c>
      <c r="B144">
        <v>44</v>
      </c>
      <c r="C144">
        <v>294.85000000000002</v>
      </c>
      <c r="E144">
        <f t="shared" si="43"/>
        <v>294.85000000000002</v>
      </c>
      <c r="I144" s="15">
        <v>292.85000000000002</v>
      </c>
      <c r="J144" s="13">
        <v>292.85000000000002</v>
      </c>
      <c r="K144" s="13">
        <v>0</v>
      </c>
      <c r="L144" s="13">
        <v>994</v>
      </c>
      <c r="Q144" s="5">
        <f>SUMIFS(Coin!E:E,Coin!C:C,B144,Coin!D:D,A144)</f>
        <v>0</v>
      </c>
    </row>
    <row r="145" spans="1:21" hidden="1" x14ac:dyDescent="0.25">
      <c r="A145" s="1">
        <f t="shared" si="42"/>
        <v>42846</v>
      </c>
      <c r="B145">
        <v>101</v>
      </c>
      <c r="C145">
        <v>884.85</v>
      </c>
      <c r="E145" s="13">
        <f t="shared" si="43"/>
        <v>884.85</v>
      </c>
      <c r="F145" s="13">
        <v>884.85</v>
      </c>
      <c r="G145" s="13">
        <f t="shared" ref="G145:G162" si="44">E145-F145</f>
        <v>0</v>
      </c>
      <c r="H145" s="14">
        <v>1153</v>
      </c>
      <c r="I145" s="15">
        <v>689.95</v>
      </c>
      <c r="J145" s="13">
        <v>689.95</v>
      </c>
      <c r="K145" s="13">
        <v>0</v>
      </c>
      <c r="L145" s="13">
        <v>993</v>
      </c>
      <c r="Q145" s="5">
        <f>SUMIFS(Coin!E:E,Coin!C:C,B145,Coin!D:D,A145)</f>
        <v>0</v>
      </c>
    </row>
    <row r="146" spans="1:21" hidden="1" x14ac:dyDescent="0.25">
      <c r="A146" s="1">
        <f t="shared" si="42"/>
        <v>42846</v>
      </c>
      <c r="B146">
        <v>103</v>
      </c>
      <c r="C146">
        <v>799.65</v>
      </c>
      <c r="E146" s="13">
        <f t="shared" si="43"/>
        <v>799.65</v>
      </c>
      <c r="F146" s="13">
        <v>799.65</v>
      </c>
      <c r="G146" s="13">
        <f t="shared" si="44"/>
        <v>0</v>
      </c>
      <c r="H146" s="14">
        <v>1156</v>
      </c>
      <c r="I146" s="15">
        <v>475.75</v>
      </c>
      <c r="J146" s="13">
        <v>475.75</v>
      </c>
      <c r="K146" s="13">
        <v>0</v>
      </c>
      <c r="L146" s="13">
        <v>996</v>
      </c>
      <c r="Q146" s="5">
        <f>SUMIFS(Coin!E:E,Coin!C:C,B146,Coin!D:D,A146)</f>
        <v>0</v>
      </c>
    </row>
    <row r="147" spans="1:21" hidden="1" x14ac:dyDescent="0.25">
      <c r="A147" s="1">
        <f t="shared" si="42"/>
        <v>42846</v>
      </c>
      <c r="B147">
        <v>201</v>
      </c>
      <c r="C147">
        <v>304.89999999999998</v>
      </c>
      <c r="E147" s="13">
        <f t="shared" si="43"/>
        <v>304.89999999999998</v>
      </c>
      <c r="F147" s="13">
        <v>304.95</v>
      </c>
      <c r="G147" s="13">
        <f t="shared" si="44"/>
        <v>-5.0000000000011369E-2</v>
      </c>
      <c r="H147" s="14">
        <v>1168</v>
      </c>
      <c r="I147" s="15">
        <v>185</v>
      </c>
      <c r="J147" s="13">
        <v>185</v>
      </c>
      <c r="K147" s="13">
        <v>0</v>
      </c>
      <c r="L147" s="13">
        <v>1004</v>
      </c>
      <c r="Q147" s="5">
        <f>SUMIFS(Coin!E:E,Coin!C:C,B147,Coin!D:D,A147)</f>
        <v>0</v>
      </c>
    </row>
    <row r="148" spans="1:21" hidden="1" x14ac:dyDescent="0.25">
      <c r="A148" s="1">
        <f t="shared" ref="A148:A155" si="45">DATE(2017,4,22)</f>
        <v>42847</v>
      </c>
      <c r="B148">
        <v>35</v>
      </c>
      <c r="C148">
        <v>594.75</v>
      </c>
      <c r="E148" s="13">
        <f t="shared" si="43"/>
        <v>594.75</v>
      </c>
      <c r="F148" s="13">
        <v>594.75</v>
      </c>
      <c r="G148" s="13">
        <f t="shared" si="44"/>
        <v>0</v>
      </c>
      <c r="H148" s="14">
        <v>1139</v>
      </c>
      <c r="I148" s="15">
        <v>803.25</v>
      </c>
      <c r="J148" s="13">
        <v>803.25</v>
      </c>
      <c r="K148" s="13">
        <v>0</v>
      </c>
      <c r="L148" s="13">
        <v>991</v>
      </c>
      <c r="M148" s="15">
        <v>30</v>
      </c>
      <c r="N148" s="13">
        <v>30</v>
      </c>
      <c r="O148" s="13">
        <v>0</v>
      </c>
      <c r="P148" s="13">
        <v>35</v>
      </c>
      <c r="Q148" s="5">
        <f>SUMIFS(Coin!E:E,Coin!C:C,B148,Coin!D:D,A148)</f>
        <v>0</v>
      </c>
    </row>
    <row r="149" spans="1:21" hidden="1" x14ac:dyDescent="0.25">
      <c r="A149" s="1">
        <f t="shared" si="45"/>
        <v>42847</v>
      </c>
      <c r="B149">
        <v>37</v>
      </c>
      <c r="C149">
        <v>449.85</v>
      </c>
      <c r="E149" s="13">
        <f t="shared" si="43"/>
        <v>448.85</v>
      </c>
      <c r="F149" s="13">
        <v>448.85</v>
      </c>
      <c r="G149" s="13">
        <f t="shared" si="44"/>
        <v>0</v>
      </c>
      <c r="H149" s="14">
        <v>1142</v>
      </c>
      <c r="I149" s="15">
        <v>834.48</v>
      </c>
      <c r="J149" s="13">
        <v>834.48</v>
      </c>
      <c r="K149" s="13">
        <v>0</v>
      </c>
      <c r="L149" s="13">
        <v>1001</v>
      </c>
      <c r="Q149" s="5">
        <f>SUMIFS(Coin!E:E,Coin!C:C,B149,Coin!D:D,A149)</f>
        <v>0</v>
      </c>
      <c r="U149" s="21">
        <v>-1</v>
      </c>
    </row>
    <row r="150" spans="1:21" hidden="1" x14ac:dyDescent="0.25">
      <c r="A150" s="1">
        <f t="shared" si="45"/>
        <v>42847</v>
      </c>
      <c r="B150">
        <v>41</v>
      </c>
      <c r="C150">
        <v>279.85000000000002</v>
      </c>
      <c r="E150" s="13">
        <f t="shared" si="43"/>
        <v>279.85000000000002</v>
      </c>
      <c r="F150" s="13">
        <v>279.85000000000002</v>
      </c>
      <c r="G150" s="13">
        <f t="shared" si="44"/>
        <v>0</v>
      </c>
      <c r="H150" s="14">
        <v>1146</v>
      </c>
      <c r="I150" s="15">
        <v>514.9</v>
      </c>
      <c r="J150" s="13">
        <v>514.9</v>
      </c>
      <c r="K150" s="13">
        <v>0</v>
      </c>
      <c r="L150" s="13">
        <v>989</v>
      </c>
      <c r="Q150" s="5">
        <f>SUMIFS(Coin!E:E,Coin!C:C,B150,Coin!D:D,A150)</f>
        <v>0</v>
      </c>
    </row>
    <row r="151" spans="1:21" hidden="1" x14ac:dyDescent="0.25">
      <c r="A151" s="1">
        <f t="shared" si="45"/>
        <v>42847</v>
      </c>
      <c r="B151">
        <v>43</v>
      </c>
      <c r="C151">
        <v>822.5</v>
      </c>
      <c r="E151" s="13">
        <f t="shared" si="43"/>
        <v>822.5</v>
      </c>
      <c r="F151" s="13">
        <v>822.5</v>
      </c>
      <c r="G151" s="13">
        <f t="shared" si="44"/>
        <v>0</v>
      </c>
      <c r="H151" s="14">
        <v>1150</v>
      </c>
      <c r="I151" s="15">
        <v>534.5</v>
      </c>
      <c r="J151" s="13">
        <v>534.5</v>
      </c>
      <c r="K151" s="13">
        <v>0</v>
      </c>
      <c r="L151" s="13">
        <v>990</v>
      </c>
      <c r="Q151" s="5">
        <f>SUMIFS(Coin!E:E,Coin!C:C,B151,Coin!D:D,A151)</f>
        <v>0</v>
      </c>
    </row>
    <row r="152" spans="1:21" hidden="1" x14ac:dyDescent="0.25">
      <c r="A152" s="1">
        <f t="shared" si="45"/>
        <v>42847</v>
      </c>
      <c r="B152">
        <v>44</v>
      </c>
      <c r="C152">
        <v>167.9</v>
      </c>
      <c r="E152" s="13">
        <f t="shared" si="43"/>
        <v>167.9</v>
      </c>
      <c r="F152" s="13">
        <v>167.9</v>
      </c>
      <c r="G152" s="13">
        <f t="shared" si="44"/>
        <v>0</v>
      </c>
      <c r="H152" s="14">
        <v>1151</v>
      </c>
      <c r="I152" s="15">
        <v>379.8</v>
      </c>
      <c r="J152" s="13">
        <v>379.8</v>
      </c>
      <c r="K152" s="13">
        <v>0</v>
      </c>
      <c r="L152" s="13">
        <v>988</v>
      </c>
      <c r="Q152" s="5">
        <f>SUMIFS(Coin!E:E,Coin!C:C,B152,Coin!D:D,A152)</f>
        <v>0</v>
      </c>
    </row>
    <row r="153" spans="1:21" hidden="1" x14ac:dyDescent="0.25">
      <c r="A153" s="1">
        <f t="shared" si="45"/>
        <v>42847</v>
      </c>
      <c r="B153">
        <v>101</v>
      </c>
      <c r="C153">
        <v>732.9</v>
      </c>
      <c r="E153" s="13">
        <f t="shared" si="43"/>
        <v>732.9</v>
      </c>
      <c r="F153" s="13">
        <v>732.9</v>
      </c>
      <c r="G153" s="13">
        <f t="shared" si="44"/>
        <v>0</v>
      </c>
      <c r="H153" s="14">
        <v>1154</v>
      </c>
      <c r="I153" s="15">
        <v>334.9</v>
      </c>
      <c r="J153" s="13">
        <v>334.9</v>
      </c>
      <c r="K153" s="13">
        <v>0</v>
      </c>
      <c r="L153" s="13">
        <v>992</v>
      </c>
      <c r="Q153" s="5">
        <f>SUMIFS(Coin!E:E,Coin!C:C,B153,Coin!D:D,A153)</f>
        <v>0</v>
      </c>
    </row>
    <row r="154" spans="1:21" hidden="1" x14ac:dyDescent="0.25">
      <c r="A154" s="1">
        <f t="shared" si="45"/>
        <v>42847</v>
      </c>
      <c r="B154">
        <v>103</v>
      </c>
      <c r="C154">
        <v>592.85</v>
      </c>
      <c r="E154" s="13">
        <f t="shared" si="43"/>
        <v>590.85</v>
      </c>
      <c r="F154" s="13">
        <v>590.85</v>
      </c>
      <c r="G154" s="13">
        <f t="shared" si="44"/>
        <v>0</v>
      </c>
      <c r="H154" s="14">
        <v>1138</v>
      </c>
      <c r="I154" s="15">
        <v>702.95</v>
      </c>
      <c r="J154" s="13">
        <v>702.95</v>
      </c>
      <c r="K154" s="13">
        <v>0</v>
      </c>
      <c r="L154" s="13">
        <v>987</v>
      </c>
      <c r="Q154" s="5">
        <f>SUMIFS(Coin!E:E,Coin!C:C,B154,Coin!D:D,A154)</f>
        <v>0</v>
      </c>
      <c r="U154" s="21">
        <v>-2</v>
      </c>
    </row>
    <row r="155" spans="1:21" hidden="1" x14ac:dyDescent="0.25">
      <c r="A155" s="1">
        <f t="shared" si="45"/>
        <v>42847</v>
      </c>
      <c r="B155">
        <v>201</v>
      </c>
      <c r="C155">
        <v>394.95</v>
      </c>
      <c r="E155" s="13">
        <f t="shared" si="43"/>
        <v>394.95</v>
      </c>
      <c r="F155" s="13">
        <v>394.95</v>
      </c>
      <c r="G155" s="13">
        <f t="shared" si="44"/>
        <v>0</v>
      </c>
      <c r="H155" s="14">
        <v>1171</v>
      </c>
      <c r="I155" s="15">
        <v>424.94</v>
      </c>
      <c r="J155" s="13">
        <v>424.94</v>
      </c>
      <c r="K155" s="13">
        <v>0</v>
      </c>
      <c r="L155" s="13">
        <v>1002</v>
      </c>
      <c r="Q155" s="5">
        <f>SUMIFS(Coin!E:E,Coin!C:C,B155,Coin!D:D,A155)</f>
        <v>0</v>
      </c>
    </row>
    <row r="156" spans="1:21" hidden="1" x14ac:dyDescent="0.25">
      <c r="A156" s="1">
        <f t="shared" ref="A156:A162" si="46">DATE(2017,4,23)</f>
        <v>42848</v>
      </c>
      <c r="B156">
        <v>35</v>
      </c>
      <c r="C156">
        <v>528.6</v>
      </c>
      <c r="E156" s="13">
        <f t="shared" si="43"/>
        <v>528.6</v>
      </c>
      <c r="F156" s="13">
        <v>528.6</v>
      </c>
      <c r="G156" s="13">
        <f t="shared" si="44"/>
        <v>0</v>
      </c>
      <c r="H156" s="14">
        <v>1141</v>
      </c>
      <c r="I156" s="15">
        <v>469.85</v>
      </c>
      <c r="J156" s="13">
        <v>469.85</v>
      </c>
      <c r="K156" s="13">
        <v>0</v>
      </c>
      <c r="L156" s="13">
        <v>982</v>
      </c>
      <c r="Q156" s="5">
        <f>SUMIFS(Coin!E:E,Coin!C:C,B156,Coin!D:D,A156)</f>
        <v>0</v>
      </c>
    </row>
    <row r="157" spans="1:21" hidden="1" x14ac:dyDescent="0.25">
      <c r="A157" s="1">
        <f t="shared" si="46"/>
        <v>42848</v>
      </c>
      <c r="B157">
        <v>37</v>
      </c>
      <c r="C157">
        <v>469.85</v>
      </c>
      <c r="E157" s="13">
        <f t="shared" si="43"/>
        <v>469.85</v>
      </c>
      <c r="F157" s="13">
        <v>469.85</v>
      </c>
      <c r="G157" s="13">
        <f t="shared" si="44"/>
        <v>0</v>
      </c>
      <c r="H157" s="14">
        <v>1143</v>
      </c>
      <c r="I157" s="15">
        <v>669.8</v>
      </c>
      <c r="J157" s="13">
        <v>669.8</v>
      </c>
      <c r="K157" s="13">
        <v>0</v>
      </c>
      <c r="L157" s="13">
        <v>999</v>
      </c>
      <c r="Q157" s="5">
        <f>SUMIFS(Coin!E:E,Coin!C:C,B157,Coin!D:D,A157)</f>
        <v>0</v>
      </c>
    </row>
    <row r="158" spans="1:21" hidden="1" x14ac:dyDescent="0.25">
      <c r="A158" s="1">
        <f t="shared" si="46"/>
        <v>42848</v>
      </c>
      <c r="B158">
        <v>41</v>
      </c>
      <c r="C158">
        <v>190.95</v>
      </c>
      <c r="E158" s="13">
        <f t="shared" si="43"/>
        <v>190.95</v>
      </c>
      <c r="F158" s="13">
        <v>190.95</v>
      </c>
      <c r="G158" s="13">
        <f t="shared" si="44"/>
        <v>0</v>
      </c>
      <c r="H158" s="14">
        <v>1145</v>
      </c>
      <c r="I158" s="15">
        <v>266.95</v>
      </c>
      <c r="J158" s="13">
        <v>266.95</v>
      </c>
      <c r="K158" s="13">
        <v>0</v>
      </c>
      <c r="L158" s="13">
        <v>986</v>
      </c>
      <c r="Q158" s="5">
        <f>SUMIFS(Coin!E:E,Coin!C:C,B158,Coin!D:D,A158)</f>
        <v>0</v>
      </c>
    </row>
    <row r="159" spans="1:21" hidden="1" x14ac:dyDescent="0.25">
      <c r="A159" s="1">
        <f t="shared" si="46"/>
        <v>42848</v>
      </c>
      <c r="B159">
        <v>43</v>
      </c>
      <c r="C159">
        <v>749.75</v>
      </c>
      <c r="E159" s="13">
        <f t="shared" si="43"/>
        <v>749.75</v>
      </c>
      <c r="F159" s="13">
        <v>749.75</v>
      </c>
      <c r="G159" s="13">
        <f t="shared" si="44"/>
        <v>0</v>
      </c>
      <c r="H159" s="14">
        <v>1149</v>
      </c>
      <c r="I159" s="15">
        <v>129.9</v>
      </c>
      <c r="J159" s="13">
        <v>129.9</v>
      </c>
      <c r="K159" s="13">
        <v>0</v>
      </c>
      <c r="L159" s="13">
        <v>984</v>
      </c>
      <c r="Q159" s="5">
        <f>SUMIFS(Coin!E:E,Coin!C:C,B159,Coin!D:D,A159)</f>
        <v>0</v>
      </c>
    </row>
    <row r="160" spans="1:21" hidden="1" x14ac:dyDescent="0.25">
      <c r="A160" s="1">
        <f t="shared" si="46"/>
        <v>42848</v>
      </c>
      <c r="B160">
        <v>44</v>
      </c>
      <c r="C160">
        <v>57.95</v>
      </c>
      <c r="E160" s="13">
        <f t="shared" si="43"/>
        <v>57.95</v>
      </c>
      <c r="F160" s="13">
        <v>57.95</v>
      </c>
      <c r="G160" s="13">
        <f t="shared" si="44"/>
        <v>0</v>
      </c>
      <c r="H160" s="14">
        <v>1152</v>
      </c>
      <c r="I160" s="15">
        <v>240.75</v>
      </c>
      <c r="J160" s="13">
        <v>240.75</v>
      </c>
      <c r="K160" s="13">
        <v>0</v>
      </c>
      <c r="L160" s="13">
        <v>983</v>
      </c>
      <c r="Q160" s="5">
        <f>SUMIFS(Coin!E:E,Coin!C:C,B160,Coin!D:D,A160)</f>
        <v>0</v>
      </c>
    </row>
    <row r="161" spans="1:22" hidden="1" x14ac:dyDescent="0.25">
      <c r="A161" s="1">
        <f t="shared" si="46"/>
        <v>42848</v>
      </c>
      <c r="B161">
        <v>103</v>
      </c>
      <c r="C161">
        <v>488</v>
      </c>
      <c r="E161" s="13">
        <f t="shared" si="43"/>
        <v>488</v>
      </c>
      <c r="F161" s="13">
        <v>488</v>
      </c>
      <c r="G161" s="13">
        <f>E161-F161</f>
        <v>0</v>
      </c>
      <c r="H161" s="14">
        <v>1155</v>
      </c>
      <c r="I161" s="15">
        <v>269.97000000000003</v>
      </c>
      <c r="J161" s="13">
        <v>269.97000000000003</v>
      </c>
      <c r="K161" s="13">
        <v>0</v>
      </c>
      <c r="L161" s="13">
        <v>985</v>
      </c>
      <c r="Q161" s="5">
        <f>SUMIFS(Coin!E:E,Coin!C:C,B161,Coin!D:D,A161)</f>
        <v>0</v>
      </c>
    </row>
    <row r="162" spans="1:22" hidden="1" x14ac:dyDescent="0.25">
      <c r="A162" s="1">
        <f t="shared" si="46"/>
        <v>42848</v>
      </c>
      <c r="B162">
        <v>201</v>
      </c>
      <c r="C162">
        <v>180</v>
      </c>
      <c r="E162" s="13">
        <f t="shared" si="43"/>
        <v>180</v>
      </c>
      <c r="F162" s="13">
        <v>180</v>
      </c>
      <c r="G162" s="13">
        <f t="shared" si="44"/>
        <v>0</v>
      </c>
      <c r="H162" s="14">
        <v>1172</v>
      </c>
      <c r="I162" s="15">
        <v>215</v>
      </c>
      <c r="J162" s="13">
        <v>215</v>
      </c>
      <c r="K162" s="13">
        <v>0</v>
      </c>
      <c r="L162" s="13">
        <v>1000</v>
      </c>
      <c r="Q162" s="5">
        <f>SUMIFS(Coin!E:E,Coin!C:C,B162,Coin!D:D,A162)</f>
        <v>0</v>
      </c>
    </row>
    <row r="163" spans="1:22" hidden="1" x14ac:dyDescent="0.25">
      <c r="A163" s="1">
        <f t="shared" ref="A163:A170" si="47">DATE(2017,4,24)</f>
        <v>42849</v>
      </c>
      <c r="B163">
        <v>35</v>
      </c>
      <c r="C163">
        <v>657.55</v>
      </c>
      <c r="E163" s="13">
        <f t="shared" si="43"/>
        <v>657.55</v>
      </c>
      <c r="F163" s="13">
        <v>657.55</v>
      </c>
      <c r="G163" s="13">
        <f t="shared" ref="G163:G168" si="48">E163-F163</f>
        <v>0</v>
      </c>
      <c r="H163" s="14">
        <v>1174</v>
      </c>
      <c r="I163" s="15">
        <v>844.6</v>
      </c>
      <c r="J163" s="13">
        <v>844.6</v>
      </c>
      <c r="K163" s="13">
        <v>0</v>
      </c>
      <c r="L163" s="13">
        <v>976</v>
      </c>
      <c r="Q163" s="5">
        <f>SUMIFS(Coin!E:E,Coin!C:C,B163,Coin!D:D,A163)</f>
        <v>0</v>
      </c>
    </row>
    <row r="164" spans="1:22" hidden="1" x14ac:dyDescent="0.25">
      <c r="A164" s="1">
        <f t="shared" si="47"/>
        <v>42849</v>
      </c>
      <c r="B164">
        <v>37</v>
      </c>
      <c r="C164">
        <v>399.95</v>
      </c>
      <c r="E164" s="13">
        <f t="shared" si="43"/>
        <v>399.95</v>
      </c>
      <c r="F164" s="13">
        <v>399.95</v>
      </c>
      <c r="G164" s="13">
        <f t="shared" si="48"/>
        <v>0</v>
      </c>
      <c r="H164" s="14">
        <v>1175</v>
      </c>
      <c r="I164" s="15">
        <v>437.36</v>
      </c>
      <c r="J164" s="13">
        <v>437.36</v>
      </c>
      <c r="K164" s="13">
        <v>0</v>
      </c>
      <c r="L164" s="13">
        <v>980</v>
      </c>
      <c r="Q164" s="5">
        <f>SUMIFS(Coin!E:E,Coin!C:C,B164,Coin!D:D,A164)</f>
        <v>0</v>
      </c>
    </row>
    <row r="165" spans="1:22" hidden="1" x14ac:dyDescent="0.25">
      <c r="A165" s="1">
        <f t="shared" si="47"/>
        <v>42849</v>
      </c>
      <c r="B165">
        <v>41</v>
      </c>
      <c r="C165">
        <v>209.95</v>
      </c>
      <c r="E165" s="13">
        <f t="shared" si="43"/>
        <v>209.95</v>
      </c>
      <c r="F165" s="13">
        <v>209.95</v>
      </c>
      <c r="G165" s="13">
        <f t="shared" si="48"/>
        <v>0</v>
      </c>
      <c r="H165" s="14">
        <v>1184</v>
      </c>
      <c r="I165" s="15">
        <v>264.85000000000002</v>
      </c>
      <c r="J165" s="13">
        <v>264.85000000000002</v>
      </c>
      <c r="K165" s="13">
        <v>0</v>
      </c>
      <c r="L165" s="13">
        <v>975</v>
      </c>
      <c r="Q165" s="5">
        <f>SUMIFS(Coin!E:E,Coin!C:C,B165,Coin!D:D,A165)</f>
        <v>0</v>
      </c>
    </row>
    <row r="166" spans="1:22" hidden="1" x14ac:dyDescent="0.25">
      <c r="A166" s="1">
        <f t="shared" si="47"/>
        <v>42849</v>
      </c>
      <c r="B166">
        <v>43</v>
      </c>
      <c r="C166">
        <v>637.70000000000005</v>
      </c>
      <c r="E166" s="13">
        <f t="shared" si="43"/>
        <v>637.70000000000005</v>
      </c>
      <c r="F166" s="13">
        <v>637.70000000000005</v>
      </c>
      <c r="G166" s="13">
        <f t="shared" si="48"/>
        <v>0</v>
      </c>
      <c r="H166" s="14">
        <v>1173</v>
      </c>
      <c r="I166" s="15">
        <v>384.85</v>
      </c>
      <c r="J166" s="13">
        <v>384.85</v>
      </c>
      <c r="K166" s="13">
        <v>0</v>
      </c>
      <c r="L166" s="13">
        <v>977</v>
      </c>
      <c r="Q166" s="5">
        <f>SUMIFS(Coin!E:E,Coin!C:C,B166,Coin!D:D,A166)</f>
        <v>0</v>
      </c>
    </row>
    <row r="167" spans="1:22" hidden="1" x14ac:dyDescent="0.25">
      <c r="A167" s="1">
        <f t="shared" si="47"/>
        <v>42849</v>
      </c>
      <c r="B167">
        <v>44</v>
      </c>
      <c r="C167">
        <v>109.9</v>
      </c>
      <c r="E167" s="13">
        <f t="shared" si="43"/>
        <v>109.9</v>
      </c>
      <c r="F167" s="13">
        <v>109.9</v>
      </c>
      <c r="G167" s="13">
        <f t="shared" si="48"/>
        <v>0</v>
      </c>
      <c r="H167" s="14">
        <v>1176</v>
      </c>
      <c r="I167" s="15">
        <v>164.95</v>
      </c>
      <c r="J167" s="13">
        <v>164.95</v>
      </c>
      <c r="K167" s="13">
        <v>0</v>
      </c>
      <c r="L167" s="13"/>
      <c r="Q167" s="5">
        <f>SUMIFS(Coin!E:E,Coin!C:C,B167,Coin!D:D,A167)</f>
        <v>0</v>
      </c>
    </row>
    <row r="168" spans="1:22" hidden="1" x14ac:dyDescent="0.25">
      <c r="A168" s="1">
        <f t="shared" si="47"/>
        <v>42849</v>
      </c>
      <c r="B168">
        <v>101</v>
      </c>
      <c r="C168">
        <v>1310</v>
      </c>
      <c r="D168">
        <v>-12</v>
      </c>
      <c r="E168" s="13">
        <f t="shared" si="43"/>
        <v>1298</v>
      </c>
      <c r="F168" s="13">
        <v>1298</v>
      </c>
      <c r="G168" s="13">
        <f t="shared" si="48"/>
        <v>0</v>
      </c>
      <c r="H168" s="14">
        <v>1193</v>
      </c>
      <c r="I168" s="15">
        <v>667.95</v>
      </c>
      <c r="J168" s="13">
        <v>667.95</v>
      </c>
      <c r="K168" s="13">
        <v>0</v>
      </c>
      <c r="L168" s="13">
        <v>979</v>
      </c>
      <c r="Q168" s="5">
        <f>SUMIFS(Coin!E:E,Coin!C:C,B168,Coin!D:D,A168)</f>
        <v>0</v>
      </c>
    </row>
    <row r="169" spans="1:22" hidden="1" x14ac:dyDescent="0.25">
      <c r="A169" s="1">
        <f t="shared" si="47"/>
        <v>42849</v>
      </c>
      <c r="B169">
        <v>103</v>
      </c>
      <c r="C169">
        <v>801.9</v>
      </c>
      <c r="E169" s="13">
        <f t="shared" si="43"/>
        <v>795</v>
      </c>
      <c r="F169" s="13">
        <v>795</v>
      </c>
      <c r="G169" s="13">
        <f>E169-F169</f>
        <v>0</v>
      </c>
      <c r="H169" s="14">
        <v>1177</v>
      </c>
      <c r="I169" s="15">
        <v>438.7</v>
      </c>
      <c r="J169" s="13">
        <v>438.7</v>
      </c>
      <c r="K169" s="13">
        <v>0</v>
      </c>
      <c r="L169" s="13">
        <v>978</v>
      </c>
      <c r="Q169" s="15">
        <v>6.9</v>
      </c>
      <c r="R169" s="13">
        <v>6.9</v>
      </c>
      <c r="S169" s="13">
        <v>0</v>
      </c>
      <c r="T169" s="19">
        <v>1178</v>
      </c>
    </row>
    <row r="170" spans="1:22" hidden="1" x14ac:dyDescent="0.25">
      <c r="A170" s="1">
        <f t="shared" si="47"/>
        <v>42849</v>
      </c>
      <c r="B170">
        <v>201</v>
      </c>
      <c r="C170">
        <v>289.85000000000002</v>
      </c>
      <c r="E170" s="13">
        <f t="shared" si="43"/>
        <v>289.85000000000002</v>
      </c>
      <c r="F170" s="13">
        <v>289.85000000000002</v>
      </c>
      <c r="G170" s="13">
        <f t="shared" ref="G170:G171" si="49">E170-F170</f>
        <v>0</v>
      </c>
      <c r="H170" s="14">
        <v>1179</v>
      </c>
      <c r="I170" s="15">
        <v>134.85</v>
      </c>
      <c r="J170" s="13">
        <v>134.85</v>
      </c>
      <c r="K170" s="13">
        <v>0</v>
      </c>
      <c r="L170" s="13">
        <v>981</v>
      </c>
      <c r="Q170" s="5">
        <f>SUMIFS(Coin!E:E,Coin!C:C,B170,Coin!D:D,A170)</f>
        <v>0</v>
      </c>
    </row>
    <row r="171" spans="1:22" hidden="1" x14ac:dyDescent="0.25">
      <c r="A171" s="1">
        <f t="shared" ref="A171:A178" si="50">DATE(2017,4,26)</f>
        <v>42851</v>
      </c>
      <c r="B171">
        <v>35</v>
      </c>
      <c r="C171">
        <v>707.8</v>
      </c>
      <c r="E171" s="13">
        <f t="shared" ref="E171:E178" si="51">C171+D171-Q171+U171</f>
        <v>707.8</v>
      </c>
      <c r="F171" s="13">
        <v>707.8</v>
      </c>
      <c r="G171" s="13">
        <f t="shared" si="49"/>
        <v>0</v>
      </c>
      <c r="H171" s="14">
        <v>1181</v>
      </c>
      <c r="I171" s="15">
        <v>900.45</v>
      </c>
      <c r="J171" s="13">
        <v>900.45</v>
      </c>
      <c r="K171" s="13">
        <v>0</v>
      </c>
      <c r="L171" s="13">
        <v>1007</v>
      </c>
      <c r="Q171" s="5">
        <f>SUMIFS(Coin!E:E,Coin!C:C,B171,Coin!D:D,A171)</f>
        <v>0</v>
      </c>
    </row>
    <row r="172" spans="1:22" hidden="1" x14ac:dyDescent="0.25">
      <c r="A172" s="1">
        <f t="shared" si="50"/>
        <v>42851</v>
      </c>
      <c r="B172">
        <v>37</v>
      </c>
      <c r="C172">
        <v>479.9</v>
      </c>
      <c r="E172" s="13">
        <f t="shared" si="51"/>
        <v>469.4</v>
      </c>
      <c r="F172" s="13">
        <v>469.4</v>
      </c>
      <c r="G172" s="13">
        <f t="shared" ref="G172:G182" si="52">E172-F172</f>
        <v>0</v>
      </c>
      <c r="H172" s="14">
        <v>1182</v>
      </c>
      <c r="I172" s="15">
        <v>384.8</v>
      </c>
      <c r="J172" s="13">
        <v>384.8</v>
      </c>
      <c r="K172" s="13">
        <v>0</v>
      </c>
      <c r="L172" s="13">
        <v>1011</v>
      </c>
      <c r="U172" s="21">
        <v>-10.5</v>
      </c>
    </row>
    <row r="173" spans="1:22" hidden="1" x14ac:dyDescent="0.25">
      <c r="A173" s="1">
        <f t="shared" si="50"/>
        <v>42851</v>
      </c>
      <c r="B173">
        <v>41</v>
      </c>
      <c r="C173">
        <v>229.95</v>
      </c>
      <c r="E173" s="13">
        <f t="shared" si="51"/>
        <v>241</v>
      </c>
      <c r="F173" s="13">
        <v>241</v>
      </c>
      <c r="G173" s="13">
        <f t="shared" si="52"/>
        <v>0</v>
      </c>
      <c r="H173" s="14">
        <v>1183</v>
      </c>
      <c r="I173" s="15">
        <v>249.7</v>
      </c>
      <c r="J173" s="13">
        <v>249.7</v>
      </c>
      <c r="K173" s="13">
        <v>0</v>
      </c>
      <c r="L173" s="13">
        <v>1008</v>
      </c>
      <c r="Q173" s="5">
        <f>SUMIFS(Coin!E:E,Coin!C:C,B173,Coin!D:D,A173)</f>
        <v>0</v>
      </c>
      <c r="U173" s="21">
        <v>11.05</v>
      </c>
      <c r="V173" s="21">
        <v>59.95</v>
      </c>
    </row>
    <row r="174" spans="1:22" hidden="1" x14ac:dyDescent="0.25">
      <c r="A174" s="1">
        <f t="shared" si="50"/>
        <v>42851</v>
      </c>
      <c r="B174">
        <v>43</v>
      </c>
      <c r="C174">
        <v>997.4</v>
      </c>
      <c r="E174" s="13">
        <f t="shared" si="51"/>
        <v>997.4</v>
      </c>
      <c r="F174" s="13">
        <v>997.4</v>
      </c>
      <c r="G174" s="13">
        <f t="shared" si="52"/>
        <v>0</v>
      </c>
      <c r="H174" s="14">
        <v>1185</v>
      </c>
      <c r="I174" s="15">
        <v>259.89999999999998</v>
      </c>
      <c r="J174" s="13">
        <v>259.89999999999998</v>
      </c>
      <c r="K174" s="13">
        <v>0</v>
      </c>
      <c r="L174" s="13">
        <v>1005</v>
      </c>
      <c r="Q174" s="5">
        <f>SUMIFS(Coin!E:E,Coin!C:C,B174,Coin!D:D,A174)</f>
        <v>0</v>
      </c>
    </row>
    <row r="175" spans="1:22" hidden="1" x14ac:dyDescent="0.25">
      <c r="A175" s="1">
        <f t="shared" si="50"/>
        <v>42851</v>
      </c>
      <c r="B175">
        <v>44</v>
      </c>
      <c r="C175">
        <v>340.65</v>
      </c>
      <c r="D175">
        <v>-6</v>
      </c>
      <c r="E175" s="13">
        <f t="shared" si="51"/>
        <v>334.65</v>
      </c>
      <c r="F175" s="13">
        <v>334.65</v>
      </c>
      <c r="G175" s="13">
        <f t="shared" si="52"/>
        <v>0</v>
      </c>
      <c r="H175" s="14">
        <v>1186</v>
      </c>
      <c r="I175" s="15">
        <v>419.45</v>
      </c>
      <c r="J175" s="13">
        <v>419.45</v>
      </c>
      <c r="K175" s="13">
        <v>0</v>
      </c>
      <c r="L175" s="13">
        <v>1010</v>
      </c>
      <c r="Q175" s="5">
        <f>SUMIFS(Coin!E:E,Coin!C:C,B175,Coin!D:D,A175)</f>
        <v>0</v>
      </c>
    </row>
    <row r="176" spans="1:22" hidden="1" x14ac:dyDescent="0.25">
      <c r="A176" s="1">
        <f t="shared" si="50"/>
        <v>42851</v>
      </c>
      <c r="B176">
        <v>101</v>
      </c>
      <c r="C176">
        <v>835.05</v>
      </c>
      <c r="E176" s="13">
        <f t="shared" si="51"/>
        <v>835.05</v>
      </c>
      <c r="F176" s="13">
        <v>835.05</v>
      </c>
      <c r="G176" s="13">
        <f t="shared" si="52"/>
        <v>0</v>
      </c>
      <c r="H176" s="14">
        <v>1187</v>
      </c>
      <c r="I176" s="15">
        <v>1077.45</v>
      </c>
      <c r="J176" s="13">
        <v>1077.45</v>
      </c>
      <c r="K176" s="13">
        <v>0</v>
      </c>
      <c r="L176" s="13">
        <v>1009</v>
      </c>
      <c r="Q176" s="5">
        <f>SUMIFS(Coin!E:E,Coin!C:C,B176,Coin!D:D,A176)</f>
        <v>0</v>
      </c>
    </row>
    <row r="177" spans="1:22" hidden="1" x14ac:dyDescent="0.25">
      <c r="A177" s="1">
        <f t="shared" si="50"/>
        <v>42851</v>
      </c>
      <c r="B177">
        <v>103</v>
      </c>
      <c r="C177">
        <v>529.6</v>
      </c>
      <c r="E177" s="13">
        <f t="shared" si="51"/>
        <v>529.70000000000005</v>
      </c>
      <c r="F177" s="13">
        <v>529.70000000000005</v>
      </c>
      <c r="G177" s="13">
        <f t="shared" si="52"/>
        <v>0</v>
      </c>
      <c r="H177" s="14">
        <v>1180</v>
      </c>
      <c r="I177" s="15">
        <v>574.9</v>
      </c>
      <c r="J177" s="13">
        <v>574.9</v>
      </c>
      <c r="K177" s="13">
        <v>0</v>
      </c>
      <c r="L177" s="13">
        <v>1006</v>
      </c>
      <c r="Q177" s="5">
        <f>SUMIFS(Coin!E:E,Coin!C:C,B177,Coin!D:D,A177)</f>
        <v>0</v>
      </c>
      <c r="U177" s="21">
        <v>0.1</v>
      </c>
    </row>
    <row r="178" spans="1:22" hidden="1" x14ac:dyDescent="0.25">
      <c r="A178" s="1">
        <f t="shared" si="50"/>
        <v>42851</v>
      </c>
      <c r="B178">
        <v>201</v>
      </c>
      <c r="C178">
        <v>464.75</v>
      </c>
      <c r="E178" s="13">
        <f t="shared" si="51"/>
        <v>464.75</v>
      </c>
      <c r="F178" s="13">
        <v>464.75</v>
      </c>
      <c r="G178" s="13">
        <f t="shared" si="52"/>
        <v>0</v>
      </c>
      <c r="H178" s="14">
        <v>1222</v>
      </c>
      <c r="I178" s="15">
        <v>249.95</v>
      </c>
      <c r="J178" s="13">
        <v>249.95</v>
      </c>
      <c r="K178" s="13">
        <v>0</v>
      </c>
      <c r="L178" s="13">
        <v>1012</v>
      </c>
      <c r="Q178" s="5">
        <f>SUMIFS(Coin!E:E,Coin!C:C,B178,Coin!D:D,A178)</f>
        <v>0</v>
      </c>
    </row>
    <row r="179" spans="1:22" hidden="1" x14ac:dyDescent="0.25">
      <c r="A179" s="1">
        <f t="shared" ref="A179:A186" si="53">DATE(2017,4,27)</f>
        <v>42852</v>
      </c>
      <c r="B179">
        <v>35</v>
      </c>
      <c r="C179">
        <v>963.25</v>
      </c>
      <c r="E179" s="13">
        <f t="shared" ref="E179:E186" si="54">C179+D179-Q179+U179</f>
        <v>963.25</v>
      </c>
      <c r="F179" s="13">
        <v>963.25</v>
      </c>
      <c r="G179" s="13">
        <f t="shared" si="52"/>
        <v>0</v>
      </c>
      <c r="H179" s="14">
        <v>1189</v>
      </c>
      <c r="I179" s="15">
        <v>1142.0999999999999</v>
      </c>
      <c r="J179" s="13">
        <v>1142.0999999999999</v>
      </c>
      <c r="K179" s="13">
        <v>0</v>
      </c>
      <c r="L179" s="13">
        <v>1019</v>
      </c>
      <c r="Q179" s="5">
        <f>SUMIFS(Coin!E:E,Coin!C:C,B179,Coin!D:D,A179)</f>
        <v>0</v>
      </c>
    </row>
    <row r="180" spans="1:22" hidden="1" x14ac:dyDescent="0.25">
      <c r="A180" s="1">
        <f t="shared" si="53"/>
        <v>42852</v>
      </c>
      <c r="B180">
        <v>37</v>
      </c>
      <c r="C180">
        <v>962.1</v>
      </c>
      <c r="E180" s="13">
        <f t="shared" si="54"/>
        <v>962.1</v>
      </c>
      <c r="F180" s="13">
        <v>962.1</v>
      </c>
      <c r="G180" s="13">
        <f t="shared" si="52"/>
        <v>0</v>
      </c>
      <c r="H180" s="14">
        <v>1190</v>
      </c>
      <c r="I180" s="15">
        <v>1429.58</v>
      </c>
      <c r="J180" s="13">
        <v>1429.58</v>
      </c>
      <c r="K180" s="13">
        <v>0</v>
      </c>
      <c r="L180" s="13">
        <v>1020</v>
      </c>
      <c r="Q180" s="5">
        <f>SUMIFS(Coin!E:E,Coin!C:C,B180,Coin!D:D,A180)</f>
        <v>0</v>
      </c>
    </row>
    <row r="181" spans="1:22" hidden="1" x14ac:dyDescent="0.25">
      <c r="A181" s="1">
        <f t="shared" si="53"/>
        <v>42852</v>
      </c>
      <c r="B181">
        <v>41</v>
      </c>
      <c r="C181">
        <v>629.5</v>
      </c>
      <c r="D181">
        <v>-8.9499999999999993</v>
      </c>
      <c r="E181" s="13">
        <f t="shared" si="54"/>
        <v>638.44999999999993</v>
      </c>
      <c r="F181" s="13">
        <v>638.45000000000005</v>
      </c>
      <c r="G181" s="13">
        <f t="shared" si="52"/>
        <v>0</v>
      </c>
      <c r="H181" s="14">
        <v>1191</v>
      </c>
      <c r="I181" s="15">
        <v>544.9</v>
      </c>
      <c r="J181" s="13">
        <v>544.9</v>
      </c>
      <c r="K181" s="13">
        <v>0</v>
      </c>
      <c r="L181" s="13">
        <v>1015</v>
      </c>
      <c r="Q181" s="5">
        <f>SUMIFS(Coin!E:E,Coin!C:C,B181,Coin!D:D,A181)</f>
        <v>0</v>
      </c>
      <c r="U181" s="21">
        <v>17.899999999999999</v>
      </c>
    </row>
    <row r="182" spans="1:22" hidden="1" x14ac:dyDescent="0.25">
      <c r="A182" s="1">
        <f t="shared" si="53"/>
        <v>42852</v>
      </c>
      <c r="B182">
        <v>43</v>
      </c>
      <c r="C182">
        <v>1459.95</v>
      </c>
      <c r="E182" s="13">
        <f t="shared" si="54"/>
        <v>1459.95</v>
      </c>
      <c r="F182" s="13">
        <v>1459.95</v>
      </c>
      <c r="G182" s="13">
        <f t="shared" si="52"/>
        <v>0</v>
      </c>
      <c r="H182" s="14">
        <v>1192</v>
      </c>
      <c r="I182" s="15">
        <v>539.75</v>
      </c>
      <c r="J182" s="13">
        <v>539.75</v>
      </c>
      <c r="K182" s="13">
        <v>0</v>
      </c>
      <c r="L182" s="13">
        <v>1013</v>
      </c>
      <c r="Q182" s="5">
        <f>SUMIFS(Coin!E:E,Coin!C:C,B182,Coin!D:D,A182)</f>
        <v>0</v>
      </c>
    </row>
    <row r="183" spans="1:22" hidden="1" x14ac:dyDescent="0.25">
      <c r="A183" s="1">
        <f t="shared" si="53"/>
        <v>42852</v>
      </c>
      <c r="B183">
        <v>44</v>
      </c>
      <c r="C183">
        <v>429</v>
      </c>
      <c r="E183">
        <f t="shared" si="54"/>
        <v>429</v>
      </c>
      <c r="I183" s="15">
        <v>526.35</v>
      </c>
      <c r="J183" s="13">
        <v>526.35</v>
      </c>
      <c r="K183" s="13">
        <v>0</v>
      </c>
      <c r="L183" s="13">
        <v>1016</v>
      </c>
      <c r="Q183" s="5">
        <f>SUMIFS(Coin!E:E,Coin!C:C,B183,Coin!D:D,A183)</f>
        <v>0</v>
      </c>
      <c r="V183" s="21">
        <v>-10</v>
      </c>
    </row>
    <row r="184" spans="1:22" hidden="1" x14ac:dyDescent="0.25">
      <c r="A184" s="1">
        <f t="shared" si="53"/>
        <v>42852</v>
      </c>
      <c r="B184">
        <v>101</v>
      </c>
      <c r="C184">
        <v>1724.9</v>
      </c>
      <c r="D184">
        <v>-10</v>
      </c>
      <c r="E184" s="13">
        <f t="shared" si="54"/>
        <v>1714.9</v>
      </c>
      <c r="F184" s="13">
        <v>1714.9</v>
      </c>
      <c r="G184" s="13">
        <v>0</v>
      </c>
      <c r="H184" s="14"/>
      <c r="I184" s="15">
        <v>794.9</v>
      </c>
      <c r="J184" s="13">
        <v>794.9</v>
      </c>
      <c r="K184" s="13">
        <v>0</v>
      </c>
      <c r="L184" s="13">
        <v>1017</v>
      </c>
      <c r="Q184" s="5">
        <f>SUMIFS(Coin!E:E,Coin!C:C,B184,Coin!D:D,A184)</f>
        <v>0</v>
      </c>
    </row>
    <row r="185" spans="1:22" hidden="1" x14ac:dyDescent="0.25">
      <c r="A185" s="1">
        <f t="shared" si="53"/>
        <v>42852</v>
      </c>
      <c r="B185">
        <v>103</v>
      </c>
      <c r="C185">
        <v>1149.95</v>
      </c>
      <c r="E185" s="13">
        <f t="shared" si="54"/>
        <v>1139.95</v>
      </c>
      <c r="F185" s="13">
        <v>1139.95</v>
      </c>
      <c r="G185" s="13">
        <f t="shared" ref="G185:G207" si="55">E185-F185</f>
        <v>0</v>
      </c>
      <c r="H185" s="14">
        <v>1197</v>
      </c>
      <c r="I185" s="15">
        <v>1339.2</v>
      </c>
      <c r="J185" s="13">
        <v>1339.2</v>
      </c>
      <c r="K185" s="13">
        <v>0</v>
      </c>
      <c r="L185" s="13">
        <v>1018</v>
      </c>
      <c r="Q185" s="15">
        <v>10</v>
      </c>
      <c r="R185" s="13">
        <v>10</v>
      </c>
      <c r="S185" s="13">
        <v>0</v>
      </c>
      <c r="T185" s="19">
        <v>1194</v>
      </c>
    </row>
    <row r="186" spans="1:22" hidden="1" x14ac:dyDescent="0.25">
      <c r="A186" s="1">
        <f t="shared" si="53"/>
        <v>42852</v>
      </c>
      <c r="B186">
        <v>201</v>
      </c>
      <c r="C186">
        <v>489.6</v>
      </c>
      <c r="E186" s="13">
        <f t="shared" si="54"/>
        <v>489.6</v>
      </c>
      <c r="F186" s="13">
        <v>489.6</v>
      </c>
      <c r="G186" s="13">
        <f t="shared" si="55"/>
        <v>0</v>
      </c>
      <c r="H186" s="14">
        <v>1223</v>
      </c>
      <c r="I186" s="15">
        <v>559.9</v>
      </c>
      <c r="J186" s="13">
        <v>559.9</v>
      </c>
      <c r="K186" s="13">
        <v>0</v>
      </c>
      <c r="L186" s="13">
        <v>1021</v>
      </c>
      <c r="Q186" s="5">
        <f>SUMIFS(Coin!E:E,Coin!C:C,B186,Coin!D:D,A186)</f>
        <v>0</v>
      </c>
    </row>
    <row r="187" spans="1:22" hidden="1" x14ac:dyDescent="0.25">
      <c r="A187" s="1">
        <f t="shared" ref="A187:A194" si="56">DATE(2017,4,28)</f>
        <v>42853</v>
      </c>
      <c r="B187">
        <v>35</v>
      </c>
      <c r="C187">
        <v>767.75</v>
      </c>
      <c r="E187" s="13">
        <f t="shared" ref="E187:E216" si="57">C187+D187-Q187+U187</f>
        <v>750</v>
      </c>
      <c r="F187" s="13">
        <v>750</v>
      </c>
      <c r="G187" s="13">
        <f t="shared" si="55"/>
        <v>0</v>
      </c>
      <c r="H187" s="14">
        <v>1199</v>
      </c>
      <c r="I187" s="15">
        <v>692.35</v>
      </c>
      <c r="J187" s="13">
        <v>692.35</v>
      </c>
      <c r="K187" s="13">
        <v>0</v>
      </c>
      <c r="L187" s="13">
        <v>1040</v>
      </c>
      <c r="Q187" s="15">
        <v>17.75</v>
      </c>
      <c r="R187" s="13">
        <v>17.75</v>
      </c>
      <c r="S187" s="13">
        <v>0</v>
      </c>
      <c r="T187" s="19">
        <v>1203</v>
      </c>
    </row>
    <row r="188" spans="1:22" hidden="1" x14ac:dyDescent="0.25">
      <c r="A188" s="1">
        <f t="shared" si="56"/>
        <v>42853</v>
      </c>
      <c r="B188">
        <v>37</v>
      </c>
      <c r="C188">
        <v>694.75</v>
      </c>
      <c r="E188" s="13">
        <f t="shared" si="57"/>
        <v>693.75</v>
      </c>
      <c r="F188" s="13">
        <v>693.75</v>
      </c>
      <c r="G188" s="13">
        <f t="shared" si="55"/>
        <v>0</v>
      </c>
      <c r="H188" s="14">
        <v>1206</v>
      </c>
      <c r="I188" s="15">
        <v>959.7</v>
      </c>
      <c r="J188" s="13">
        <v>959.7</v>
      </c>
      <c r="K188" s="13">
        <v>0</v>
      </c>
      <c r="L188" s="13">
        <v>1050</v>
      </c>
      <c r="Q188" s="5">
        <f>SUMIFS(Coin!E:E,Coin!C:C,B188,Coin!D:D,A188)</f>
        <v>0</v>
      </c>
      <c r="U188" s="21">
        <v>-1</v>
      </c>
    </row>
    <row r="189" spans="1:22" hidden="1" x14ac:dyDescent="0.25">
      <c r="A189" s="1">
        <f t="shared" si="56"/>
        <v>42853</v>
      </c>
      <c r="B189">
        <v>41</v>
      </c>
      <c r="C189">
        <v>249.8</v>
      </c>
      <c r="E189" s="13">
        <f t="shared" si="57"/>
        <v>249.8</v>
      </c>
      <c r="F189" s="13">
        <v>249.8</v>
      </c>
      <c r="G189" s="13">
        <f t="shared" si="55"/>
        <v>0</v>
      </c>
      <c r="H189" s="14">
        <v>1207</v>
      </c>
      <c r="I189" s="15">
        <v>350.55</v>
      </c>
      <c r="J189" s="13">
        <v>350.55</v>
      </c>
      <c r="K189" s="13">
        <v>0</v>
      </c>
      <c r="L189" s="13">
        <v>1038</v>
      </c>
      <c r="Q189" s="5">
        <f>SUMIFS(Coin!E:E,Coin!C:C,B189,Coin!D:D,A189)</f>
        <v>0</v>
      </c>
    </row>
    <row r="190" spans="1:22" hidden="1" x14ac:dyDescent="0.25">
      <c r="A190" s="1">
        <f t="shared" si="56"/>
        <v>42853</v>
      </c>
      <c r="B190">
        <v>43</v>
      </c>
      <c r="C190">
        <v>1005.05</v>
      </c>
      <c r="E190" s="13">
        <f t="shared" si="57"/>
        <v>1005.05</v>
      </c>
      <c r="F190" s="13">
        <v>1005.05</v>
      </c>
      <c r="G190" s="13">
        <f t="shared" si="55"/>
        <v>0</v>
      </c>
      <c r="H190" s="14">
        <v>1212</v>
      </c>
      <c r="I190" s="15">
        <v>454.75</v>
      </c>
      <c r="J190" s="13">
        <v>454.75</v>
      </c>
      <c r="K190" s="13">
        <v>0</v>
      </c>
      <c r="L190" s="13">
        <v>1042</v>
      </c>
      <c r="Q190" s="5">
        <f>SUMIFS(Coin!E:E,Coin!C:C,B190,Coin!D:D,A190)</f>
        <v>0</v>
      </c>
    </row>
    <row r="191" spans="1:22" hidden="1" x14ac:dyDescent="0.25">
      <c r="A191" s="1">
        <f t="shared" si="56"/>
        <v>42853</v>
      </c>
      <c r="B191">
        <v>44</v>
      </c>
      <c r="C191">
        <v>233.75</v>
      </c>
      <c r="E191" s="13">
        <f t="shared" si="57"/>
        <v>233.75</v>
      </c>
      <c r="F191" s="13">
        <v>233.75</v>
      </c>
      <c r="G191" s="13">
        <f t="shared" si="55"/>
        <v>0</v>
      </c>
      <c r="H191" s="14">
        <v>1215</v>
      </c>
      <c r="I191" s="15">
        <f>254.65+V191</f>
        <v>269.60000000000002</v>
      </c>
      <c r="J191" s="13">
        <v>269.60000000000002</v>
      </c>
      <c r="K191" s="13">
        <v>0</v>
      </c>
      <c r="L191" s="13">
        <v>1041</v>
      </c>
      <c r="Q191" s="5">
        <f>SUMIFS(Coin!E:E,Coin!C:C,B191,Coin!D:D,A191)</f>
        <v>0</v>
      </c>
      <c r="V191" s="21">
        <v>14.95</v>
      </c>
    </row>
    <row r="192" spans="1:22" hidden="1" x14ac:dyDescent="0.25">
      <c r="A192" s="1">
        <f t="shared" si="56"/>
        <v>42853</v>
      </c>
      <c r="B192">
        <v>101</v>
      </c>
      <c r="C192">
        <v>1407.35</v>
      </c>
      <c r="E192" s="13">
        <f t="shared" si="57"/>
        <v>1407.35</v>
      </c>
      <c r="F192" s="13">
        <v>1407.35</v>
      </c>
      <c r="G192" s="13">
        <f t="shared" si="55"/>
        <v>0</v>
      </c>
      <c r="H192" s="14">
        <v>1216</v>
      </c>
      <c r="I192" s="15">
        <v>885</v>
      </c>
      <c r="J192" s="13">
        <v>885</v>
      </c>
      <c r="K192" s="13"/>
      <c r="L192" s="13"/>
      <c r="Q192" s="5">
        <f>SUMIFS(Coin!E:E,Coin!C:C,B192,Coin!D:D,A192)</f>
        <v>0</v>
      </c>
    </row>
    <row r="193" spans="1:22" hidden="1" x14ac:dyDescent="0.25">
      <c r="A193" s="1">
        <f t="shared" si="56"/>
        <v>42853</v>
      </c>
      <c r="B193">
        <v>103</v>
      </c>
      <c r="C193">
        <v>1041.55</v>
      </c>
      <c r="D193">
        <v>-13.8</v>
      </c>
      <c r="E193" s="13">
        <f t="shared" si="57"/>
        <v>1027.75</v>
      </c>
      <c r="F193" s="13">
        <v>1027.75</v>
      </c>
      <c r="G193" s="13">
        <f t="shared" si="55"/>
        <v>0</v>
      </c>
      <c r="H193" s="14">
        <v>1200</v>
      </c>
      <c r="I193" s="15">
        <v>616.70000000000005</v>
      </c>
      <c r="J193" s="13">
        <v>616.70000000000005</v>
      </c>
      <c r="K193" s="13">
        <v>0</v>
      </c>
      <c r="L193" s="13">
        <v>1039</v>
      </c>
      <c r="Q193" s="5">
        <f>SUMIFS(Coin!E:E,Coin!C:C,B193,Coin!D:D,A193)</f>
        <v>0</v>
      </c>
    </row>
    <row r="194" spans="1:22" hidden="1" x14ac:dyDescent="0.25">
      <c r="A194" s="1">
        <f t="shared" si="56"/>
        <v>42853</v>
      </c>
      <c r="B194">
        <v>201</v>
      </c>
      <c r="C194">
        <v>334.85</v>
      </c>
      <c r="E194" s="13">
        <f t="shared" si="57"/>
        <v>334.85</v>
      </c>
      <c r="F194" s="13">
        <v>334.85</v>
      </c>
      <c r="G194" s="13">
        <f t="shared" si="55"/>
        <v>0</v>
      </c>
      <c r="H194" s="14">
        <v>1221</v>
      </c>
      <c r="I194" s="15">
        <v>464.6</v>
      </c>
      <c r="J194" s="13">
        <v>464.6</v>
      </c>
      <c r="K194" s="13">
        <v>0</v>
      </c>
      <c r="L194" s="13">
        <v>1049</v>
      </c>
      <c r="M194" s="15">
        <v>10</v>
      </c>
      <c r="N194" s="13">
        <v>10</v>
      </c>
      <c r="O194" s="13">
        <v>0</v>
      </c>
      <c r="P194" s="13">
        <v>39</v>
      </c>
      <c r="Q194" s="5">
        <f>SUMIFS(Coin!E:E,Coin!C:C,B194,Coin!D:D,A194)</f>
        <v>0</v>
      </c>
    </row>
    <row r="195" spans="1:22" hidden="1" x14ac:dyDescent="0.25">
      <c r="A195" s="1">
        <f t="shared" ref="A195:A202" si="58">DATE(2017,4,29)</f>
        <v>42854</v>
      </c>
      <c r="B195">
        <v>35</v>
      </c>
      <c r="C195">
        <v>820.9</v>
      </c>
      <c r="E195" s="13">
        <f t="shared" si="57"/>
        <v>820.9</v>
      </c>
      <c r="F195" s="13">
        <v>820.9</v>
      </c>
      <c r="G195" s="13">
        <f t="shared" si="55"/>
        <v>0</v>
      </c>
      <c r="H195" s="14">
        <v>1202</v>
      </c>
      <c r="I195" s="15">
        <v>909.65</v>
      </c>
      <c r="J195" s="13">
        <v>909.65</v>
      </c>
      <c r="K195" s="13">
        <v>0</v>
      </c>
      <c r="L195" s="13">
        <v>1032</v>
      </c>
      <c r="Q195" s="5">
        <f>SUMIFS(Coin!E:E,Coin!C:C,B195,Coin!D:D,A195)</f>
        <v>0</v>
      </c>
    </row>
    <row r="196" spans="1:22" hidden="1" x14ac:dyDescent="0.25">
      <c r="A196" s="1">
        <f t="shared" si="58"/>
        <v>42854</v>
      </c>
      <c r="B196">
        <v>37</v>
      </c>
      <c r="C196">
        <v>634.75</v>
      </c>
      <c r="E196" s="13">
        <f t="shared" si="57"/>
        <v>634.75</v>
      </c>
      <c r="F196" s="13">
        <v>634.75</v>
      </c>
      <c r="G196" s="13">
        <f t="shared" si="55"/>
        <v>0</v>
      </c>
      <c r="H196" s="14">
        <v>1204</v>
      </c>
      <c r="I196" s="15">
        <v>1099.33</v>
      </c>
      <c r="J196" s="13">
        <v>1099.33</v>
      </c>
      <c r="K196" s="13">
        <v>0</v>
      </c>
      <c r="L196" s="13">
        <v>1048</v>
      </c>
      <c r="Q196" s="5">
        <f>SUMIFS(Coin!E:E,Coin!C:C,B196,Coin!D:D,A196)</f>
        <v>0</v>
      </c>
    </row>
    <row r="197" spans="1:22" hidden="1" x14ac:dyDescent="0.25">
      <c r="A197" s="1">
        <f t="shared" si="58"/>
        <v>42854</v>
      </c>
      <c r="B197">
        <v>41</v>
      </c>
      <c r="C197">
        <v>338.65</v>
      </c>
      <c r="E197" s="13">
        <f t="shared" si="57"/>
        <v>338.65</v>
      </c>
      <c r="F197" s="13">
        <v>338.65</v>
      </c>
      <c r="G197" s="13">
        <f t="shared" si="55"/>
        <v>0</v>
      </c>
      <c r="H197" s="14">
        <v>1209</v>
      </c>
      <c r="I197" s="15">
        <v>497.6</v>
      </c>
      <c r="J197" s="13">
        <v>497.6</v>
      </c>
      <c r="K197" s="13">
        <v>0</v>
      </c>
      <c r="L197" s="13">
        <v>1037</v>
      </c>
      <c r="Q197" s="5">
        <f>SUMIFS(Coin!E:E,Coin!C:C,B197,Coin!D:D,A197)</f>
        <v>0</v>
      </c>
    </row>
    <row r="198" spans="1:22" hidden="1" x14ac:dyDescent="0.25">
      <c r="A198" s="1">
        <f t="shared" si="58"/>
        <v>42854</v>
      </c>
      <c r="B198">
        <v>43</v>
      </c>
      <c r="C198">
        <v>1107.2</v>
      </c>
      <c r="E198" s="13">
        <f t="shared" si="57"/>
        <v>1107.2</v>
      </c>
      <c r="F198" s="13">
        <v>1107.2</v>
      </c>
      <c r="G198" s="13">
        <f t="shared" si="55"/>
        <v>0</v>
      </c>
      <c r="H198" s="14">
        <v>1210</v>
      </c>
      <c r="I198" s="15">
        <v>704.9</v>
      </c>
      <c r="J198" s="13">
        <v>704.9</v>
      </c>
      <c r="K198" s="13">
        <v>0</v>
      </c>
      <c r="L198" s="13">
        <v>1036</v>
      </c>
      <c r="Q198" s="5">
        <f>SUMIFS(Coin!E:E,Coin!C:C,B198,Coin!D:D,A198)</f>
        <v>0</v>
      </c>
    </row>
    <row r="199" spans="1:22" hidden="1" x14ac:dyDescent="0.25">
      <c r="A199" s="1">
        <f t="shared" si="58"/>
        <v>42854</v>
      </c>
      <c r="B199">
        <v>44</v>
      </c>
      <c r="C199">
        <v>258.55</v>
      </c>
      <c r="D199">
        <v>-16.25</v>
      </c>
      <c r="E199" s="13">
        <f t="shared" si="57"/>
        <v>242.3</v>
      </c>
      <c r="F199" s="13">
        <v>242.3</v>
      </c>
      <c r="G199" s="13">
        <f t="shared" si="55"/>
        <v>0</v>
      </c>
      <c r="H199" s="14">
        <v>1213</v>
      </c>
      <c r="I199" s="15">
        <f>559.4+V199</f>
        <v>564.4</v>
      </c>
      <c r="J199" s="13">
        <v>564.4</v>
      </c>
      <c r="K199" s="13">
        <v>0</v>
      </c>
      <c r="L199" s="13">
        <v>1035</v>
      </c>
      <c r="M199" s="15">
        <v>49.95</v>
      </c>
      <c r="N199" s="13">
        <v>49.95</v>
      </c>
      <c r="O199" s="13">
        <v>0</v>
      </c>
      <c r="P199" s="13">
        <v>38</v>
      </c>
      <c r="Q199" s="5">
        <f>SUMIFS(Coin!E:E,Coin!C:C,B199,Coin!D:D,A199)</f>
        <v>0</v>
      </c>
      <c r="V199" s="21">
        <v>5</v>
      </c>
    </row>
    <row r="200" spans="1:22" hidden="1" x14ac:dyDescent="0.25">
      <c r="A200" s="1">
        <f t="shared" si="58"/>
        <v>42854</v>
      </c>
      <c r="B200">
        <v>101</v>
      </c>
      <c r="C200">
        <v>1364.9</v>
      </c>
      <c r="E200" s="13">
        <f t="shared" si="57"/>
        <v>1364.9</v>
      </c>
      <c r="F200" s="13">
        <v>1364.9</v>
      </c>
      <c r="G200" s="13">
        <f t="shared" si="55"/>
        <v>0</v>
      </c>
      <c r="H200" s="14"/>
      <c r="I200" s="15">
        <v>714.95</v>
      </c>
      <c r="J200" s="13">
        <v>714.95</v>
      </c>
      <c r="K200" s="13"/>
      <c r="L200" s="13"/>
      <c r="Q200" s="5">
        <f>SUMIFS(Coin!E:E,Coin!C:C,B200,Coin!D:D,A200)</f>
        <v>0</v>
      </c>
    </row>
    <row r="201" spans="1:22" hidden="1" x14ac:dyDescent="0.25">
      <c r="A201" s="1">
        <f t="shared" si="58"/>
        <v>42854</v>
      </c>
      <c r="B201">
        <v>103</v>
      </c>
      <c r="C201">
        <v>773.65</v>
      </c>
      <c r="E201" s="13">
        <f t="shared" si="57"/>
        <v>773.85</v>
      </c>
      <c r="F201" s="13">
        <v>773.85</v>
      </c>
      <c r="G201" s="13">
        <f t="shared" si="55"/>
        <v>0</v>
      </c>
      <c r="H201" s="14">
        <v>1218</v>
      </c>
      <c r="I201" s="15">
        <v>735.54</v>
      </c>
      <c r="J201" s="13">
        <v>735.54</v>
      </c>
      <c r="K201" s="13">
        <v>0</v>
      </c>
      <c r="L201" s="13">
        <v>1034</v>
      </c>
      <c r="Q201" s="5">
        <f>SUMIFS(Coin!E:E,Coin!C:C,B201,Coin!D:D,A201)</f>
        <v>0</v>
      </c>
      <c r="U201" s="21">
        <v>0.2</v>
      </c>
    </row>
    <row r="202" spans="1:22" hidden="1" x14ac:dyDescent="0.25">
      <c r="A202" s="1">
        <f t="shared" si="58"/>
        <v>42854</v>
      </c>
      <c r="B202">
        <v>201</v>
      </c>
      <c r="C202">
        <v>537.65</v>
      </c>
      <c r="E202" s="13">
        <f t="shared" si="57"/>
        <v>537.65</v>
      </c>
      <c r="F202" s="13">
        <v>537.65</v>
      </c>
      <c r="G202" s="13">
        <f t="shared" si="55"/>
        <v>0</v>
      </c>
      <c r="H202" s="14">
        <v>1219</v>
      </c>
      <c r="I202" s="15">
        <v>924.4</v>
      </c>
      <c r="J202" s="13">
        <v>924.4</v>
      </c>
      <c r="K202" s="13">
        <v>0</v>
      </c>
      <c r="L202" s="13">
        <v>1047</v>
      </c>
      <c r="Q202" s="5">
        <f>SUMIFS(Coin!E:E,Coin!C:C,B202,Coin!D:D,A202)</f>
        <v>0</v>
      </c>
    </row>
    <row r="203" spans="1:22" hidden="1" x14ac:dyDescent="0.25">
      <c r="A203" s="1">
        <f t="shared" ref="A203:A209" si="59">DATE(2017,4,30)</f>
        <v>42855</v>
      </c>
      <c r="B203">
        <v>35</v>
      </c>
      <c r="C203">
        <v>354.7</v>
      </c>
      <c r="E203" s="13">
        <f t="shared" si="57"/>
        <v>354.7</v>
      </c>
      <c r="F203" s="13">
        <v>354.7</v>
      </c>
      <c r="G203" s="13">
        <f t="shared" si="55"/>
        <v>0</v>
      </c>
      <c r="H203" s="14">
        <v>1201</v>
      </c>
      <c r="I203" s="15">
        <v>773.95</v>
      </c>
      <c r="J203" s="13">
        <v>773.95</v>
      </c>
      <c r="K203" s="13">
        <v>0</v>
      </c>
      <c r="L203" s="13">
        <v>1028</v>
      </c>
      <c r="Q203" s="5">
        <f>SUMIFS(Coin!E:E,Coin!C:C,B203,Coin!D:D,A203)</f>
        <v>0</v>
      </c>
    </row>
    <row r="204" spans="1:22" hidden="1" x14ac:dyDescent="0.25">
      <c r="A204" s="1">
        <f t="shared" si="59"/>
        <v>42855</v>
      </c>
      <c r="B204">
        <v>37</v>
      </c>
      <c r="C204">
        <v>454.85</v>
      </c>
      <c r="E204" s="13">
        <f t="shared" si="57"/>
        <v>453.85</v>
      </c>
      <c r="F204" s="13">
        <v>453.85</v>
      </c>
      <c r="G204" s="13">
        <f t="shared" si="55"/>
        <v>0</v>
      </c>
      <c r="H204" s="14">
        <v>1205</v>
      </c>
      <c r="I204" s="15">
        <v>539.84</v>
      </c>
      <c r="J204" s="13">
        <v>539.84</v>
      </c>
      <c r="K204" s="13">
        <v>0</v>
      </c>
      <c r="L204" s="13">
        <v>1045</v>
      </c>
      <c r="Q204" s="15">
        <v>2</v>
      </c>
      <c r="R204" s="13">
        <v>2</v>
      </c>
      <c r="S204" s="13">
        <v>0</v>
      </c>
      <c r="T204" s="19">
        <v>1188</v>
      </c>
      <c r="U204" s="21">
        <v>1</v>
      </c>
    </row>
    <row r="205" spans="1:22" hidden="1" x14ac:dyDescent="0.25">
      <c r="A205" s="1">
        <f t="shared" si="59"/>
        <v>42855</v>
      </c>
      <c r="B205">
        <v>41</v>
      </c>
      <c r="C205">
        <v>114.95</v>
      </c>
      <c r="E205" s="13">
        <f t="shared" si="57"/>
        <v>114.95</v>
      </c>
      <c r="F205" s="13">
        <v>114.95</v>
      </c>
      <c r="G205" s="13">
        <f t="shared" si="55"/>
        <v>0</v>
      </c>
      <c r="H205" s="14">
        <v>1208</v>
      </c>
      <c r="I205" s="15">
        <v>309.75</v>
      </c>
      <c r="J205" s="13">
        <v>309.75</v>
      </c>
      <c r="K205" s="13">
        <v>0</v>
      </c>
      <c r="L205" s="13">
        <v>1027</v>
      </c>
      <c r="Q205" s="5">
        <f>SUMIFS(Coin!E:E,Coin!C:C,B205,Coin!D:D,A205)</f>
        <v>0</v>
      </c>
    </row>
    <row r="206" spans="1:22" hidden="1" x14ac:dyDescent="0.25">
      <c r="A206" s="1">
        <f t="shared" si="59"/>
        <v>42855</v>
      </c>
      <c r="B206">
        <v>43</v>
      </c>
      <c r="C206">
        <v>624.54999999999995</v>
      </c>
      <c r="E206" s="13">
        <f t="shared" si="57"/>
        <v>624.54999999999995</v>
      </c>
      <c r="F206" s="13">
        <v>624.54999999999995</v>
      </c>
      <c r="G206" s="13">
        <f t="shared" si="55"/>
        <v>0</v>
      </c>
      <c r="H206" s="14">
        <v>1211</v>
      </c>
      <c r="I206" s="15">
        <v>254.9</v>
      </c>
      <c r="J206" s="13">
        <v>254.9</v>
      </c>
      <c r="K206" s="13">
        <v>0</v>
      </c>
      <c r="L206" s="13">
        <v>1029</v>
      </c>
      <c r="Q206" s="5">
        <f>SUMIFS(Coin!E:E,Coin!C:C,B206,Coin!D:D,A206)</f>
        <v>0</v>
      </c>
    </row>
    <row r="207" spans="1:22" hidden="1" x14ac:dyDescent="0.25">
      <c r="A207" s="1">
        <f t="shared" si="59"/>
        <v>42855</v>
      </c>
      <c r="B207">
        <v>44</v>
      </c>
      <c r="C207">
        <v>110.85</v>
      </c>
      <c r="E207" s="13">
        <f t="shared" si="57"/>
        <v>110.85</v>
      </c>
      <c r="F207" s="13">
        <v>110.85</v>
      </c>
      <c r="G207" s="13">
        <f t="shared" si="55"/>
        <v>0</v>
      </c>
      <c r="H207" s="14">
        <v>1214</v>
      </c>
      <c r="I207" s="15">
        <v>380.8</v>
      </c>
      <c r="J207" s="13">
        <v>380.8</v>
      </c>
      <c r="K207" s="13">
        <v>0</v>
      </c>
      <c r="L207" s="13">
        <v>1031</v>
      </c>
      <c r="Q207" s="5">
        <f>SUMIFS(Coin!E:E,Coin!C:C,B207,Coin!D:D,A207)</f>
        <v>0</v>
      </c>
    </row>
    <row r="208" spans="1:22" hidden="1" x14ac:dyDescent="0.25">
      <c r="A208" s="1">
        <f t="shared" si="59"/>
        <v>42855</v>
      </c>
      <c r="B208">
        <v>103</v>
      </c>
      <c r="C208">
        <v>349.95</v>
      </c>
      <c r="E208" s="13">
        <f t="shared" si="57"/>
        <v>376.75</v>
      </c>
      <c r="F208" s="13">
        <v>376.75</v>
      </c>
      <c r="G208" s="13">
        <f>E208-F208</f>
        <v>0</v>
      </c>
      <c r="H208" s="14">
        <v>1217</v>
      </c>
      <c r="I208" s="15">
        <f>154.89+V208</f>
        <v>339.89</v>
      </c>
      <c r="J208" s="13">
        <v>339.89</v>
      </c>
      <c r="K208" s="13">
        <v>0</v>
      </c>
      <c r="L208" s="13">
        <v>1030</v>
      </c>
      <c r="U208" s="21">
        <v>26.8</v>
      </c>
      <c r="V208" s="21">
        <v>185</v>
      </c>
    </row>
    <row r="209" spans="1:21" hidden="1" x14ac:dyDescent="0.25">
      <c r="A209" s="1">
        <f t="shared" si="59"/>
        <v>42855</v>
      </c>
      <c r="B209">
        <v>201</v>
      </c>
      <c r="C209">
        <v>365</v>
      </c>
      <c r="E209" s="13">
        <f t="shared" si="57"/>
        <v>365</v>
      </c>
      <c r="F209" s="13">
        <v>365</v>
      </c>
      <c r="G209" s="13">
        <f>E209-F209</f>
        <v>0</v>
      </c>
      <c r="H209" s="14">
        <v>1220</v>
      </c>
      <c r="I209" s="15">
        <v>255</v>
      </c>
      <c r="J209" s="13">
        <v>255</v>
      </c>
      <c r="K209" s="13">
        <v>0</v>
      </c>
      <c r="L209" s="13">
        <v>1046</v>
      </c>
      <c r="Q209" s="5">
        <f>SUMIFS(Coin!E:E,Coin!C:C,B209,Coin!D:D,A209)</f>
        <v>0</v>
      </c>
    </row>
    <row r="210" spans="1:21" hidden="1" x14ac:dyDescent="0.25">
      <c r="A210" s="1">
        <f t="shared" ref="A210:A216" si="60">DATE(2017,5,1)</f>
        <v>42856</v>
      </c>
      <c r="B210">
        <v>35</v>
      </c>
      <c r="C210">
        <v>852.45</v>
      </c>
      <c r="E210" s="13">
        <f t="shared" si="57"/>
        <v>852.45</v>
      </c>
      <c r="F210" s="13">
        <v>852.45</v>
      </c>
      <c r="G210" s="13">
        <f>E210-F210</f>
        <v>0</v>
      </c>
      <c r="H210" s="14">
        <v>1225</v>
      </c>
      <c r="I210" s="15">
        <v>819.3</v>
      </c>
      <c r="J210" s="13">
        <v>819.3</v>
      </c>
      <c r="K210" s="13">
        <v>0</v>
      </c>
      <c r="L210" s="13">
        <v>1022</v>
      </c>
      <c r="Q210" s="5">
        <f>SUMIFS(Coin!E:E,Coin!C:C,B210,Coin!D:D,A210)</f>
        <v>0</v>
      </c>
    </row>
    <row r="211" spans="1:21" hidden="1" x14ac:dyDescent="0.25">
      <c r="A211" s="1">
        <f t="shared" si="60"/>
        <v>42856</v>
      </c>
      <c r="B211">
        <v>37</v>
      </c>
      <c r="C211">
        <v>329.85</v>
      </c>
      <c r="E211" s="13">
        <f t="shared" si="57"/>
        <v>315.15000000000003</v>
      </c>
      <c r="F211" s="13">
        <v>315.14999999999998</v>
      </c>
      <c r="G211" s="13">
        <f>E211-F211</f>
        <v>0</v>
      </c>
      <c r="H211" s="14">
        <v>1226</v>
      </c>
      <c r="I211" s="15">
        <v>249.85</v>
      </c>
      <c r="J211" s="13">
        <v>249.85</v>
      </c>
      <c r="K211" s="13">
        <v>0</v>
      </c>
      <c r="L211" s="13">
        <v>1043</v>
      </c>
      <c r="Q211" s="5">
        <v>14.7</v>
      </c>
    </row>
    <row r="212" spans="1:21" hidden="1" x14ac:dyDescent="0.25">
      <c r="A212" s="1">
        <f t="shared" si="60"/>
        <v>42856</v>
      </c>
      <c r="B212">
        <v>41</v>
      </c>
      <c r="C212">
        <v>224.85</v>
      </c>
      <c r="E212" s="13">
        <f t="shared" si="57"/>
        <v>224.85</v>
      </c>
      <c r="F212" s="13">
        <v>224.85</v>
      </c>
      <c r="G212" s="13">
        <f>E212-F212</f>
        <v>0</v>
      </c>
      <c r="H212" s="14">
        <v>1245</v>
      </c>
      <c r="I212" s="15">
        <v>312.8</v>
      </c>
      <c r="J212" s="13">
        <v>312.8</v>
      </c>
      <c r="K212" s="13">
        <v>0</v>
      </c>
      <c r="L212" s="13">
        <v>1024</v>
      </c>
      <c r="Q212" s="5">
        <f>SUMIFS(Coin!E:E,Coin!C:C,B212,Coin!D:D,A212)</f>
        <v>0</v>
      </c>
    </row>
    <row r="213" spans="1:21" hidden="1" x14ac:dyDescent="0.25">
      <c r="A213" s="1">
        <f t="shared" si="60"/>
        <v>42856</v>
      </c>
      <c r="B213">
        <v>43</v>
      </c>
      <c r="C213">
        <v>728.85</v>
      </c>
      <c r="E213" s="13">
        <f t="shared" si="57"/>
        <v>728.85</v>
      </c>
      <c r="F213" s="13">
        <v>728.85</v>
      </c>
      <c r="G213" s="13">
        <f t="shared" ref="G213:G219" si="61">E213-F213</f>
        <v>0</v>
      </c>
      <c r="H213" s="14">
        <v>1227</v>
      </c>
      <c r="I213" s="15">
        <v>90</v>
      </c>
      <c r="J213" s="13">
        <v>90</v>
      </c>
      <c r="K213" s="13">
        <v>0</v>
      </c>
      <c r="L213" s="13">
        <v>1026</v>
      </c>
      <c r="Q213" s="5">
        <f>SUMIFS(Coin!E:E,Coin!C:C,B213,Coin!D:D,A213)</f>
        <v>0</v>
      </c>
    </row>
    <row r="214" spans="1:21" hidden="1" x14ac:dyDescent="0.25">
      <c r="A214" s="1">
        <f t="shared" si="60"/>
        <v>42856</v>
      </c>
      <c r="B214">
        <v>44</v>
      </c>
      <c r="C214">
        <v>290.8</v>
      </c>
      <c r="E214" s="13">
        <f t="shared" si="57"/>
        <v>290.8</v>
      </c>
      <c r="F214" s="13">
        <v>290.8</v>
      </c>
      <c r="G214" s="13">
        <f t="shared" si="61"/>
        <v>0</v>
      </c>
      <c r="H214" s="14">
        <v>1228</v>
      </c>
      <c r="I214" s="15">
        <v>255</v>
      </c>
      <c r="J214" s="13">
        <v>255</v>
      </c>
      <c r="K214" s="13">
        <v>0</v>
      </c>
      <c r="L214" s="13">
        <v>1025</v>
      </c>
      <c r="Q214" s="5">
        <f>SUMIFS(Coin!E:E,Coin!C:C,B214,Coin!D:D,A214)</f>
        <v>0</v>
      </c>
    </row>
    <row r="215" spans="1:21" hidden="1" x14ac:dyDescent="0.25">
      <c r="A215" s="1">
        <f t="shared" si="60"/>
        <v>42856</v>
      </c>
      <c r="B215">
        <v>103</v>
      </c>
      <c r="C215">
        <v>830.35</v>
      </c>
      <c r="E215" s="13">
        <f t="shared" si="57"/>
        <v>730.35</v>
      </c>
      <c r="F215" s="13">
        <v>730.35</v>
      </c>
      <c r="G215" s="13">
        <f t="shared" si="61"/>
        <v>0</v>
      </c>
      <c r="H215" s="14">
        <v>1224</v>
      </c>
      <c r="I215" s="15">
        <v>237.7</v>
      </c>
      <c r="J215" s="13">
        <v>237.7</v>
      </c>
      <c r="K215" s="13">
        <v>0</v>
      </c>
      <c r="L215" s="13">
        <v>1023</v>
      </c>
      <c r="Q215" s="15">
        <v>100</v>
      </c>
      <c r="R215" s="13">
        <v>100</v>
      </c>
      <c r="S215" s="13">
        <v>0</v>
      </c>
      <c r="T215" s="19">
        <v>1236</v>
      </c>
    </row>
    <row r="216" spans="1:21" hidden="1" x14ac:dyDescent="0.25">
      <c r="A216" s="1">
        <f t="shared" si="60"/>
        <v>42856</v>
      </c>
      <c r="B216">
        <v>201</v>
      </c>
      <c r="C216">
        <v>124.9</v>
      </c>
      <c r="E216" s="13">
        <f t="shared" si="57"/>
        <v>124.9</v>
      </c>
      <c r="F216" s="13">
        <v>124.9</v>
      </c>
      <c r="G216" s="13">
        <f t="shared" si="61"/>
        <v>0</v>
      </c>
      <c r="H216" s="14">
        <v>1238</v>
      </c>
      <c r="I216" s="15">
        <v>309.85000000000002</v>
      </c>
      <c r="J216" s="13">
        <v>309.85000000000002</v>
      </c>
      <c r="K216" s="13">
        <v>0</v>
      </c>
      <c r="L216" s="13">
        <v>1044</v>
      </c>
    </row>
    <row r="217" spans="1:21" hidden="1" x14ac:dyDescent="0.25">
      <c r="A217" s="1">
        <f t="shared" ref="A217:A223" si="62">DATE(2017,5,2)</f>
        <v>42857</v>
      </c>
      <c r="B217">
        <v>35</v>
      </c>
      <c r="C217">
        <v>540.54999999999995</v>
      </c>
      <c r="D217">
        <v>-3.5</v>
      </c>
      <c r="E217" s="13">
        <f t="shared" ref="E217:E223" si="63">C217+D217-Q217+U217</f>
        <v>535</v>
      </c>
      <c r="F217" s="13">
        <v>535</v>
      </c>
      <c r="G217" s="13">
        <f t="shared" si="61"/>
        <v>0</v>
      </c>
      <c r="H217" s="14">
        <v>1230</v>
      </c>
      <c r="I217" s="15">
        <v>495.45</v>
      </c>
      <c r="J217" s="13">
        <v>495.45</v>
      </c>
      <c r="K217" s="13">
        <v>0</v>
      </c>
      <c r="L217" s="13">
        <v>1052</v>
      </c>
      <c r="Q217" s="5">
        <v>2.0499999999999998</v>
      </c>
    </row>
    <row r="218" spans="1:21" hidden="1" x14ac:dyDescent="0.25">
      <c r="A218" s="1">
        <f t="shared" si="62"/>
        <v>42857</v>
      </c>
      <c r="B218">
        <v>37</v>
      </c>
      <c r="C218">
        <v>409.85</v>
      </c>
      <c r="E218" s="13">
        <f t="shared" si="63"/>
        <v>407.85</v>
      </c>
      <c r="F218" s="13">
        <v>407.85</v>
      </c>
      <c r="G218" s="13">
        <f t="shared" si="61"/>
        <v>0</v>
      </c>
      <c r="H218" s="14">
        <v>1231</v>
      </c>
      <c r="I218" s="15">
        <v>349.75</v>
      </c>
      <c r="J218" s="13">
        <v>349.75</v>
      </c>
      <c r="K218" s="13">
        <v>0</v>
      </c>
      <c r="L218" s="13">
        <v>1056</v>
      </c>
      <c r="Q218" s="15">
        <v>2.2000000000000002</v>
      </c>
      <c r="R218" s="13">
        <v>2.2000000000000002</v>
      </c>
      <c r="S218" s="13">
        <v>0</v>
      </c>
      <c r="T218" s="19">
        <v>1232</v>
      </c>
      <c r="U218" s="21">
        <v>0.2</v>
      </c>
    </row>
    <row r="219" spans="1:21" hidden="1" x14ac:dyDescent="0.25">
      <c r="A219" s="1">
        <f t="shared" si="62"/>
        <v>42857</v>
      </c>
      <c r="B219">
        <v>41</v>
      </c>
      <c r="C219">
        <v>484.75</v>
      </c>
      <c r="E219" s="13">
        <f t="shared" si="63"/>
        <v>474.75</v>
      </c>
      <c r="F219" s="13">
        <v>474.75</v>
      </c>
      <c r="G219" s="13">
        <f t="shared" si="61"/>
        <v>0</v>
      </c>
      <c r="H219" s="25">
        <v>1244</v>
      </c>
      <c r="I219" s="15">
        <v>119.95</v>
      </c>
      <c r="J219" s="13">
        <v>119.95</v>
      </c>
      <c r="K219" s="13">
        <v>0</v>
      </c>
      <c r="L219" s="13">
        <v>1053</v>
      </c>
      <c r="Q219" s="5">
        <v>10</v>
      </c>
    </row>
    <row r="220" spans="1:21" hidden="1" x14ac:dyDescent="0.25">
      <c r="A220" s="1">
        <f t="shared" si="62"/>
        <v>42857</v>
      </c>
      <c r="B220">
        <v>43</v>
      </c>
      <c r="C220">
        <v>694.65</v>
      </c>
      <c r="D220">
        <v>-15.1</v>
      </c>
      <c r="E220" s="13">
        <f t="shared" si="63"/>
        <v>680.55</v>
      </c>
      <c r="F220" s="13">
        <v>680.55</v>
      </c>
      <c r="G220" s="13">
        <f t="shared" ref="G220:G231" si="64">E220-F220</f>
        <v>0</v>
      </c>
      <c r="H220" s="14">
        <v>1233</v>
      </c>
      <c r="I220" s="15">
        <v>179.95</v>
      </c>
      <c r="J220" s="13">
        <v>179.95</v>
      </c>
      <c r="K220" s="13">
        <v>0</v>
      </c>
      <c r="L220" s="13">
        <v>1054</v>
      </c>
      <c r="Q220" s="5">
        <f>SUMIFS(Coin!E:E,Coin!C:C,B220,Coin!D:D,A220)</f>
        <v>0</v>
      </c>
      <c r="U220" s="21">
        <v>1</v>
      </c>
    </row>
    <row r="221" spans="1:21" hidden="1" x14ac:dyDescent="0.25">
      <c r="A221" s="1">
        <f t="shared" si="62"/>
        <v>42857</v>
      </c>
      <c r="B221">
        <v>44</v>
      </c>
      <c r="C221">
        <v>175.7</v>
      </c>
      <c r="E221" s="13">
        <f t="shared" si="63"/>
        <v>175.7</v>
      </c>
      <c r="F221" s="13">
        <v>175.7</v>
      </c>
      <c r="G221" s="13">
        <f t="shared" si="64"/>
        <v>0</v>
      </c>
      <c r="H221" s="14">
        <v>1234</v>
      </c>
      <c r="I221" s="15">
        <v>214.7</v>
      </c>
      <c r="J221" s="13">
        <v>214.7</v>
      </c>
      <c r="K221" s="13">
        <v>0</v>
      </c>
      <c r="L221" s="13">
        <v>1055</v>
      </c>
      <c r="Q221" s="5">
        <f>SUMIFS(Coin!E:E,Coin!C:C,B221,Coin!D:D,A221)</f>
        <v>0</v>
      </c>
    </row>
    <row r="222" spans="1:21" hidden="1" x14ac:dyDescent="0.25">
      <c r="A222" s="1">
        <f t="shared" si="62"/>
        <v>42857</v>
      </c>
      <c r="B222">
        <v>103</v>
      </c>
      <c r="C222">
        <v>669.9</v>
      </c>
      <c r="D222">
        <v>-12</v>
      </c>
      <c r="E222" s="13">
        <f t="shared" si="63"/>
        <v>624.99999999999989</v>
      </c>
      <c r="F222" s="13">
        <v>625</v>
      </c>
      <c r="G222" s="13">
        <f t="shared" si="64"/>
        <v>0</v>
      </c>
      <c r="H222" s="14">
        <v>1235</v>
      </c>
      <c r="I222" s="15">
        <v>532.54999999999995</v>
      </c>
      <c r="J222" s="13">
        <v>532.54999999999995</v>
      </c>
      <c r="K222" s="13">
        <v>0</v>
      </c>
      <c r="L222" s="13">
        <v>1051</v>
      </c>
      <c r="Q222" s="15">
        <v>31.7</v>
      </c>
      <c r="R222" s="13">
        <v>31.7</v>
      </c>
      <c r="S222" s="13">
        <v>0</v>
      </c>
      <c r="T222" s="19">
        <v>1240</v>
      </c>
      <c r="U222" s="21">
        <v>-1.2</v>
      </c>
    </row>
    <row r="223" spans="1:21" hidden="1" x14ac:dyDescent="0.25">
      <c r="A223" s="1">
        <f t="shared" si="62"/>
        <v>42857</v>
      </c>
      <c r="B223">
        <v>201</v>
      </c>
      <c r="C223">
        <v>502.9</v>
      </c>
      <c r="E223" s="13">
        <f t="shared" si="63"/>
        <v>502.9</v>
      </c>
      <c r="F223" s="13">
        <v>502.9</v>
      </c>
      <c r="G223" s="13">
        <f t="shared" si="64"/>
        <v>0</v>
      </c>
      <c r="H223" s="14">
        <v>1237</v>
      </c>
      <c r="I223" s="15">
        <v>366.8</v>
      </c>
      <c r="J223" s="13">
        <v>366.8</v>
      </c>
      <c r="K223" s="13">
        <v>0</v>
      </c>
      <c r="L223" s="13">
        <v>1057</v>
      </c>
      <c r="Q223" s="5">
        <f>SUMIFS(Coin!E:E,Coin!C:C,B223,Coin!D:D,A223)</f>
        <v>0</v>
      </c>
    </row>
    <row r="224" spans="1:21" hidden="1" x14ac:dyDescent="0.25">
      <c r="A224" s="1">
        <f t="shared" ref="A224:A230" si="65">DATE(2017,5,3)</f>
        <v>42858</v>
      </c>
      <c r="B224">
        <v>35</v>
      </c>
      <c r="C224">
        <v>595.04999999999995</v>
      </c>
      <c r="E224" s="13">
        <f t="shared" ref="E224:E230" si="66">C224+D224-Q224+U224</f>
        <v>549.99999999999989</v>
      </c>
      <c r="F224" s="13">
        <v>550</v>
      </c>
      <c r="G224" s="13">
        <f t="shared" si="64"/>
        <v>0</v>
      </c>
      <c r="H224" s="14">
        <v>1229</v>
      </c>
      <c r="I224" s="15">
        <v>470.34</v>
      </c>
      <c r="J224" s="13">
        <v>470.34</v>
      </c>
      <c r="K224" s="13">
        <v>0</v>
      </c>
      <c r="L224" s="13">
        <v>1060</v>
      </c>
      <c r="Q224" s="15">
        <v>47.1</v>
      </c>
      <c r="R224" s="13">
        <v>47.1</v>
      </c>
      <c r="S224" s="13">
        <v>0</v>
      </c>
      <c r="T224" s="19">
        <v>1242</v>
      </c>
      <c r="U224" s="21">
        <v>2.0499999999999998</v>
      </c>
    </row>
    <row r="225" spans="1:21" hidden="1" x14ac:dyDescent="0.25">
      <c r="A225" s="1">
        <f t="shared" si="65"/>
        <v>42858</v>
      </c>
      <c r="B225">
        <v>37</v>
      </c>
      <c r="C225">
        <v>344.9</v>
      </c>
      <c r="E225" s="13">
        <f t="shared" si="66"/>
        <v>344.9</v>
      </c>
      <c r="F225" s="13">
        <v>344.9</v>
      </c>
      <c r="G225" s="13">
        <f t="shared" si="64"/>
        <v>0</v>
      </c>
      <c r="H225" s="14">
        <v>1243</v>
      </c>
      <c r="I225" s="15">
        <v>439.85</v>
      </c>
      <c r="J225" s="13">
        <v>439.85</v>
      </c>
      <c r="K225" s="13">
        <v>0</v>
      </c>
      <c r="L225" s="13">
        <v>1064</v>
      </c>
      <c r="Q225" s="5">
        <f>SUMIFS(Coin!E:E,Coin!C:C,B225,Coin!D:D,A225)</f>
        <v>0</v>
      </c>
    </row>
    <row r="226" spans="1:21" hidden="1" x14ac:dyDescent="0.25">
      <c r="A226" s="1">
        <f t="shared" si="65"/>
        <v>42858</v>
      </c>
      <c r="B226">
        <v>41</v>
      </c>
      <c r="C226">
        <v>874.4</v>
      </c>
      <c r="E226" s="13">
        <f t="shared" si="66"/>
        <v>874.4</v>
      </c>
      <c r="F226" s="13">
        <v>874.4</v>
      </c>
      <c r="G226" s="13">
        <f t="shared" si="64"/>
        <v>0</v>
      </c>
      <c r="H226" s="14">
        <v>1246</v>
      </c>
      <c r="I226" s="15">
        <v>354.75</v>
      </c>
      <c r="J226" s="13">
        <v>354.75</v>
      </c>
      <c r="K226" s="13">
        <v>0</v>
      </c>
      <c r="L226" s="13">
        <v>1058</v>
      </c>
      <c r="Q226" s="5">
        <f>SUMIFS(Coin!E:E,Coin!C:C,B226,Coin!D:D,A226)</f>
        <v>0</v>
      </c>
    </row>
    <row r="227" spans="1:21" hidden="1" x14ac:dyDescent="0.25">
      <c r="A227" s="1">
        <f t="shared" si="65"/>
        <v>42858</v>
      </c>
      <c r="B227">
        <v>43</v>
      </c>
      <c r="C227">
        <v>690.25</v>
      </c>
      <c r="E227" s="13">
        <f t="shared" si="66"/>
        <v>690.25</v>
      </c>
      <c r="F227" s="13">
        <v>690.25</v>
      </c>
      <c r="G227" s="13">
        <f t="shared" si="64"/>
        <v>0</v>
      </c>
      <c r="H227" s="14">
        <v>1247</v>
      </c>
      <c r="I227" s="15">
        <v>319.60000000000002</v>
      </c>
      <c r="J227" s="13">
        <v>319.60000000000002</v>
      </c>
      <c r="K227" s="13">
        <v>0</v>
      </c>
      <c r="L227" s="13">
        <v>1062</v>
      </c>
      <c r="Q227" s="5">
        <f>SUMIFS(Coin!E:E,Coin!C:C,B227,Coin!D:D,A227)</f>
        <v>0</v>
      </c>
    </row>
    <row r="228" spans="1:21" hidden="1" x14ac:dyDescent="0.25">
      <c r="A228" s="1">
        <f t="shared" si="65"/>
        <v>42858</v>
      </c>
      <c r="B228">
        <v>44</v>
      </c>
      <c r="C228">
        <v>132.80000000000001</v>
      </c>
      <c r="E228" s="13">
        <f t="shared" si="66"/>
        <v>132.80000000000001</v>
      </c>
      <c r="F228" s="13">
        <v>132.80000000000001</v>
      </c>
      <c r="G228" s="13">
        <f t="shared" si="64"/>
        <v>0</v>
      </c>
      <c r="H228" s="14">
        <v>1248</v>
      </c>
      <c r="I228" s="15">
        <v>350.55</v>
      </c>
      <c r="J228" s="13">
        <v>350.55</v>
      </c>
      <c r="K228" s="13">
        <v>0</v>
      </c>
      <c r="L228" s="13">
        <v>1059</v>
      </c>
      <c r="Q228" s="5">
        <f>SUMIFS(Coin!E:E,Coin!C:C,B228,Coin!D:D,A228)</f>
        <v>0</v>
      </c>
    </row>
    <row r="229" spans="1:21" hidden="1" x14ac:dyDescent="0.25">
      <c r="A229" s="1">
        <f t="shared" si="65"/>
        <v>42858</v>
      </c>
      <c r="B229">
        <v>103</v>
      </c>
      <c r="C229">
        <v>897.05</v>
      </c>
      <c r="D229">
        <v>-167.2</v>
      </c>
      <c r="E229" s="13">
        <f t="shared" si="66"/>
        <v>734.3</v>
      </c>
      <c r="F229" s="13">
        <v>734.3</v>
      </c>
      <c r="G229" s="13">
        <f t="shared" si="64"/>
        <v>0</v>
      </c>
      <c r="H229" s="14">
        <v>1249</v>
      </c>
      <c r="I229" s="15">
        <v>605</v>
      </c>
      <c r="J229" s="13">
        <v>605</v>
      </c>
      <c r="K229" s="13">
        <v>0</v>
      </c>
      <c r="L229" s="13">
        <v>1061</v>
      </c>
      <c r="U229" s="21">
        <v>4.45</v>
      </c>
    </row>
    <row r="230" spans="1:21" hidden="1" x14ac:dyDescent="0.25">
      <c r="A230" s="1">
        <f t="shared" si="65"/>
        <v>42858</v>
      </c>
      <c r="B230">
        <v>201</v>
      </c>
      <c r="C230">
        <v>370.95</v>
      </c>
      <c r="E230" s="13">
        <f t="shared" si="66"/>
        <v>370.95</v>
      </c>
      <c r="F230" s="13">
        <v>370.95</v>
      </c>
      <c r="G230" s="13">
        <f t="shared" si="64"/>
        <v>0</v>
      </c>
      <c r="H230" s="14">
        <v>1250</v>
      </c>
      <c r="I230" s="15">
        <v>434.8</v>
      </c>
      <c r="J230" s="13">
        <v>434.8</v>
      </c>
      <c r="K230" s="13">
        <v>0</v>
      </c>
      <c r="L230" s="13">
        <v>1063</v>
      </c>
      <c r="Q230" s="5">
        <f>SUMIFS(Coin!E:E,Coin!C:C,B230,Coin!D:D,A230)</f>
        <v>0</v>
      </c>
    </row>
    <row r="231" spans="1:21" hidden="1" x14ac:dyDescent="0.25">
      <c r="A231" s="1">
        <f t="shared" ref="A231:A237" si="67">DATE(2017,5,4)</f>
        <v>42859</v>
      </c>
      <c r="B231">
        <v>35</v>
      </c>
      <c r="C231">
        <v>967.5</v>
      </c>
      <c r="E231" s="13">
        <f t="shared" ref="E231:E237" si="68">C231+D231-Q231+U231</f>
        <v>965</v>
      </c>
      <c r="F231" s="13">
        <v>965</v>
      </c>
      <c r="G231" s="13">
        <f t="shared" si="64"/>
        <v>0</v>
      </c>
      <c r="H231" s="14">
        <v>1241</v>
      </c>
      <c r="I231" s="15">
        <v>1083.55</v>
      </c>
      <c r="J231" s="13">
        <v>1083.55</v>
      </c>
      <c r="K231" s="13">
        <v>0</v>
      </c>
      <c r="L231" s="13">
        <v>1069</v>
      </c>
      <c r="Q231" s="15">
        <v>2.5</v>
      </c>
      <c r="R231" s="13">
        <v>2.5</v>
      </c>
      <c r="S231" s="13">
        <v>0</v>
      </c>
      <c r="T231" s="19">
        <v>1252</v>
      </c>
    </row>
    <row r="232" spans="1:21" hidden="1" x14ac:dyDescent="0.25">
      <c r="A232" s="1">
        <f t="shared" si="67"/>
        <v>42859</v>
      </c>
      <c r="B232">
        <v>37</v>
      </c>
      <c r="C232">
        <v>729.45</v>
      </c>
      <c r="E232" s="13">
        <f t="shared" si="68"/>
        <v>729.45</v>
      </c>
      <c r="F232" s="13">
        <v>729.45</v>
      </c>
      <c r="G232" s="13">
        <f t="shared" ref="G232:G239" si="69">E232-F232</f>
        <v>0</v>
      </c>
      <c r="H232" s="14">
        <v>1253</v>
      </c>
      <c r="I232" s="15">
        <v>559.79999999999995</v>
      </c>
      <c r="J232" s="13">
        <v>559.79999999999995</v>
      </c>
      <c r="K232" s="13">
        <v>0</v>
      </c>
      <c r="L232" s="13">
        <v>1070</v>
      </c>
      <c r="Q232" s="5">
        <f>SUMIFS(Coin!E:E,Coin!C:C,B232,Coin!D:D,A232)</f>
        <v>0</v>
      </c>
    </row>
    <row r="233" spans="1:21" hidden="1" x14ac:dyDescent="0.25">
      <c r="A233" s="1">
        <f t="shared" si="67"/>
        <v>42859</v>
      </c>
      <c r="B233">
        <v>41</v>
      </c>
      <c r="C233">
        <v>479.6</v>
      </c>
      <c r="E233" s="13">
        <f t="shared" si="68"/>
        <v>479.6</v>
      </c>
      <c r="F233" s="13">
        <v>479.6</v>
      </c>
      <c r="G233" s="13">
        <f t="shared" si="69"/>
        <v>0</v>
      </c>
      <c r="H233" s="14">
        <v>1254</v>
      </c>
      <c r="I233" s="15">
        <v>540.45000000000005</v>
      </c>
      <c r="J233" s="13">
        <v>540.45000000000005</v>
      </c>
      <c r="K233" s="13">
        <v>0</v>
      </c>
      <c r="L233" s="13">
        <v>1068</v>
      </c>
      <c r="Q233" s="5">
        <f>SUMIFS(Coin!E:E,Coin!C:C,B233,Coin!D:D,A233)</f>
        <v>0</v>
      </c>
    </row>
    <row r="234" spans="1:21" hidden="1" x14ac:dyDescent="0.25">
      <c r="A234" s="1">
        <f t="shared" si="67"/>
        <v>42859</v>
      </c>
      <c r="B234">
        <v>43</v>
      </c>
      <c r="C234">
        <v>803.25</v>
      </c>
      <c r="E234" s="13">
        <f t="shared" si="68"/>
        <v>803.25</v>
      </c>
      <c r="F234" s="13">
        <v>803.25</v>
      </c>
      <c r="G234" s="13">
        <f t="shared" si="69"/>
        <v>0</v>
      </c>
      <c r="H234" s="14">
        <v>1255</v>
      </c>
      <c r="I234" s="15">
        <v>622.35</v>
      </c>
      <c r="J234" s="13">
        <v>622.35</v>
      </c>
      <c r="K234" s="13">
        <v>0</v>
      </c>
      <c r="L234" s="13">
        <v>1067</v>
      </c>
      <c r="Q234" s="5">
        <f>SUMIFS(Coin!E:E,Coin!C:C,B234,Coin!D:D,A234)</f>
        <v>0</v>
      </c>
    </row>
    <row r="235" spans="1:21" hidden="1" x14ac:dyDescent="0.25">
      <c r="A235" s="1">
        <f t="shared" si="67"/>
        <v>42859</v>
      </c>
      <c r="B235">
        <v>44</v>
      </c>
      <c r="C235">
        <v>334.65</v>
      </c>
      <c r="E235" s="13">
        <f t="shared" si="68"/>
        <v>334.65</v>
      </c>
      <c r="F235" s="13">
        <v>334.65</v>
      </c>
      <c r="G235" s="13">
        <f t="shared" si="69"/>
        <v>0</v>
      </c>
      <c r="H235" s="14">
        <v>1256</v>
      </c>
      <c r="I235" s="15">
        <v>494.65</v>
      </c>
      <c r="J235" s="13">
        <v>494.65</v>
      </c>
      <c r="K235" s="13">
        <v>0</v>
      </c>
      <c r="L235" s="13">
        <v>1066</v>
      </c>
      <c r="Q235" s="5">
        <f>SUMIFS(Coin!E:E,Coin!C:C,B235,Coin!D:D,A235)</f>
        <v>0</v>
      </c>
    </row>
    <row r="236" spans="1:21" hidden="1" x14ac:dyDescent="0.25">
      <c r="A236" s="1">
        <f t="shared" si="67"/>
        <v>42859</v>
      </c>
      <c r="B236">
        <v>103</v>
      </c>
      <c r="C236">
        <v>919.05</v>
      </c>
      <c r="E236" s="13">
        <f t="shared" si="68"/>
        <v>919.05</v>
      </c>
      <c r="F236" s="13">
        <v>919.05</v>
      </c>
      <c r="G236" s="13">
        <f t="shared" si="69"/>
        <v>0</v>
      </c>
      <c r="H236" s="14">
        <v>1257</v>
      </c>
      <c r="I236" s="15">
        <v>1127.75</v>
      </c>
      <c r="J236" s="13">
        <v>1127.75</v>
      </c>
      <c r="K236" s="13">
        <v>0</v>
      </c>
      <c r="L236" s="13">
        <v>1065</v>
      </c>
      <c r="Q236" s="5">
        <f>SUMIFS(Coin!E:E,Coin!C:C,B236,Coin!D:D,A236)</f>
        <v>0</v>
      </c>
    </row>
    <row r="237" spans="1:21" hidden="1" x14ac:dyDescent="0.25">
      <c r="A237" s="1">
        <f t="shared" si="67"/>
        <v>42859</v>
      </c>
      <c r="B237">
        <v>201</v>
      </c>
      <c r="C237">
        <v>493.5</v>
      </c>
      <c r="E237" s="13">
        <f t="shared" si="68"/>
        <v>493.5</v>
      </c>
      <c r="F237" s="13">
        <v>493.5</v>
      </c>
      <c r="G237" s="13">
        <f t="shared" si="69"/>
        <v>0</v>
      </c>
      <c r="H237" s="14">
        <v>1278</v>
      </c>
      <c r="I237" s="15">
        <v>494.65</v>
      </c>
      <c r="J237" s="13">
        <v>494.65</v>
      </c>
      <c r="K237" s="13">
        <v>0</v>
      </c>
      <c r="L237" s="13">
        <v>1071</v>
      </c>
      <c r="Q237" s="5">
        <f>SUMIFS(Coin!E:E,Coin!C:C,B237,Coin!D:D,A237)</f>
        <v>0</v>
      </c>
    </row>
    <row r="238" spans="1:21" hidden="1" x14ac:dyDescent="0.25">
      <c r="A238" s="1">
        <f t="shared" ref="A238:A244" si="70">DATE(2017,5,5)</f>
        <v>42860</v>
      </c>
      <c r="B238">
        <v>35</v>
      </c>
      <c r="C238">
        <v>992.15</v>
      </c>
      <c r="E238" s="13">
        <f t="shared" ref="E238:E258" si="71">C238+D238-Q238+U238</f>
        <v>990</v>
      </c>
      <c r="F238" s="13">
        <v>990</v>
      </c>
      <c r="G238" s="13">
        <f t="shared" si="69"/>
        <v>0</v>
      </c>
      <c r="H238" s="14">
        <v>1259</v>
      </c>
      <c r="I238" s="15">
        <v>1103.95</v>
      </c>
      <c r="J238" s="13">
        <v>1103.95</v>
      </c>
      <c r="K238" s="13">
        <v>0</v>
      </c>
      <c r="L238" s="13">
        <v>1086</v>
      </c>
      <c r="Q238" s="15">
        <v>2.15</v>
      </c>
      <c r="R238" s="13">
        <v>2.15</v>
      </c>
      <c r="S238" s="13">
        <v>0</v>
      </c>
      <c r="T238" s="19">
        <v>1263</v>
      </c>
    </row>
    <row r="239" spans="1:21" hidden="1" x14ac:dyDescent="0.25">
      <c r="A239" s="1">
        <f t="shared" si="70"/>
        <v>42860</v>
      </c>
      <c r="B239">
        <v>37</v>
      </c>
      <c r="C239">
        <v>409.8</v>
      </c>
      <c r="E239" s="13">
        <f t="shared" si="71"/>
        <v>409.8</v>
      </c>
      <c r="F239" s="13">
        <v>409.8</v>
      </c>
      <c r="G239" s="13">
        <f t="shared" si="69"/>
        <v>0</v>
      </c>
      <c r="H239" s="14">
        <v>1266</v>
      </c>
      <c r="I239" s="15">
        <v>694.2</v>
      </c>
      <c r="J239" s="13">
        <v>694.2</v>
      </c>
      <c r="K239" s="13">
        <v>0</v>
      </c>
      <c r="L239" s="13">
        <v>1091</v>
      </c>
      <c r="Q239" s="5">
        <f>SUMIFS(Coin!E:E,Coin!C:C,B239,Coin!D:D,A239)</f>
        <v>0</v>
      </c>
    </row>
    <row r="240" spans="1:21" hidden="1" x14ac:dyDescent="0.25">
      <c r="A240" s="1">
        <f t="shared" si="70"/>
        <v>42860</v>
      </c>
      <c r="B240">
        <v>41</v>
      </c>
      <c r="C240">
        <v>532.95000000000005</v>
      </c>
      <c r="E240" s="13">
        <f t="shared" si="71"/>
        <v>532.95000000000005</v>
      </c>
      <c r="F240" s="13">
        <v>532.95000000000005</v>
      </c>
      <c r="G240" s="13">
        <f>E240-F240</f>
        <v>0</v>
      </c>
      <c r="H240" s="14">
        <v>1287</v>
      </c>
      <c r="I240" s="15">
        <v>687.25</v>
      </c>
      <c r="J240" s="13">
        <v>687.25</v>
      </c>
      <c r="K240" s="13">
        <v>0</v>
      </c>
      <c r="L240" s="13">
        <v>1084</v>
      </c>
      <c r="Q240" s="5">
        <f>SUMIFS(Coin!E:E,Coin!C:C,B240,Coin!D:D,A240)</f>
        <v>0</v>
      </c>
    </row>
    <row r="241" spans="1:21" hidden="1" x14ac:dyDescent="0.25">
      <c r="A241" s="1">
        <f t="shared" si="70"/>
        <v>42860</v>
      </c>
      <c r="B241">
        <v>43</v>
      </c>
      <c r="C241">
        <v>1104.55</v>
      </c>
      <c r="E241" s="13">
        <f t="shared" si="71"/>
        <v>1104.55</v>
      </c>
      <c r="F241" s="13">
        <v>1104.55</v>
      </c>
      <c r="G241" s="13">
        <f t="shared" ref="G241:G246" si="72">E241-F241</f>
        <v>0</v>
      </c>
      <c r="H241" s="14">
        <v>1269</v>
      </c>
      <c r="I241" s="15">
        <v>339.75</v>
      </c>
      <c r="J241" s="13">
        <v>339.75</v>
      </c>
      <c r="K241" s="13">
        <v>0</v>
      </c>
      <c r="L241" s="13">
        <v>1083</v>
      </c>
      <c r="Q241" s="5">
        <f>SUMIFS(Coin!E:E,Coin!C:C,B241,Coin!D:D,A241)</f>
        <v>0</v>
      </c>
    </row>
    <row r="242" spans="1:21" hidden="1" x14ac:dyDescent="0.25">
      <c r="A242" s="1">
        <f t="shared" si="70"/>
        <v>42860</v>
      </c>
      <c r="B242">
        <v>44</v>
      </c>
      <c r="C242">
        <v>439.5</v>
      </c>
      <c r="E242" s="13">
        <f t="shared" si="71"/>
        <v>439.5</v>
      </c>
      <c r="F242" s="13">
        <v>439.5</v>
      </c>
      <c r="G242" s="13">
        <f t="shared" si="72"/>
        <v>0</v>
      </c>
      <c r="H242" s="14">
        <v>1274</v>
      </c>
      <c r="I242" s="15">
        <v>425.5</v>
      </c>
      <c r="J242" s="13">
        <v>425.5</v>
      </c>
      <c r="K242" s="13">
        <v>0</v>
      </c>
      <c r="L242" s="13">
        <v>1082</v>
      </c>
      <c r="Q242" s="5">
        <f>SUMIFS(Coin!E:E,Coin!C:C,B242,Coin!D:D,A242)</f>
        <v>0</v>
      </c>
    </row>
    <row r="243" spans="1:21" hidden="1" x14ac:dyDescent="0.25">
      <c r="A243" s="1">
        <f t="shared" si="70"/>
        <v>42860</v>
      </c>
      <c r="B243">
        <v>103</v>
      </c>
      <c r="C243">
        <v>750.55</v>
      </c>
      <c r="E243" s="13">
        <f t="shared" si="71"/>
        <v>750</v>
      </c>
      <c r="F243" s="13">
        <v>750</v>
      </c>
      <c r="G243" s="13">
        <f t="shared" si="72"/>
        <v>0</v>
      </c>
      <c r="H243" s="14">
        <v>1260</v>
      </c>
      <c r="I243" s="15">
        <v>709.3</v>
      </c>
      <c r="J243" s="13">
        <v>709.3</v>
      </c>
      <c r="K243" s="13">
        <v>0</v>
      </c>
      <c r="L243" s="13">
        <v>1085</v>
      </c>
      <c r="Q243" s="5">
        <v>0.55000000000000004</v>
      </c>
    </row>
    <row r="244" spans="1:21" hidden="1" x14ac:dyDescent="0.25">
      <c r="A244" s="1">
        <f t="shared" si="70"/>
        <v>42860</v>
      </c>
      <c r="B244">
        <v>201</v>
      </c>
      <c r="C244">
        <v>759.75</v>
      </c>
      <c r="E244" s="13">
        <f t="shared" si="71"/>
        <v>759.75</v>
      </c>
      <c r="F244" s="13">
        <v>759.75</v>
      </c>
      <c r="G244" s="13">
        <f t="shared" si="72"/>
        <v>0</v>
      </c>
      <c r="H244" s="14">
        <v>1277</v>
      </c>
      <c r="I244" s="15">
        <v>734.62</v>
      </c>
      <c r="J244" s="13">
        <v>734.62</v>
      </c>
      <c r="K244" s="13">
        <v>0</v>
      </c>
      <c r="L244" s="13">
        <v>1092</v>
      </c>
      <c r="Q244" s="5">
        <f>SUMIFS(Coin!E:E,Coin!C:C,B244,Coin!D:D,A244)</f>
        <v>0</v>
      </c>
    </row>
    <row r="245" spans="1:21" hidden="1" x14ac:dyDescent="0.25">
      <c r="A245" s="1">
        <f t="shared" ref="A245:A251" si="73">DATE(2017,5,6)</f>
        <v>42861</v>
      </c>
      <c r="B245">
        <v>35</v>
      </c>
      <c r="C245">
        <v>579.29999999999995</v>
      </c>
      <c r="E245" s="13">
        <f t="shared" si="71"/>
        <v>550</v>
      </c>
      <c r="F245" s="13">
        <v>550</v>
      </c>
      <c r="G245" s="13">
        <f t="shared" si="72"/>
        <v>0</v>
      </c>
      <c r="H245" s="14">
        <v>1258</v>
      </c>
      <c r="I245" s="15">
        <v>983.25</v>
      </c>
      <c r="J245" s="13">
        <v>983.25</v>
      </c>
      <c r="K245" s="13">
        <v>0</v>
      </c>
      <c r="L245" s="13">
        <v>1080</v>
      </c>
      <c r="M245" s="15">
        <v>40</v>
      </c>
      <c r="N245" s="13">
        <v>40</v>
      </c>
      <c r="O245" s="13">
        <v>0</v>
      </c>
      <c r="P245" s="13">
        <v>41</v>
      </c>
      <c r="Q245" s="15">
        <v>29.3</v>
      </c>
      <c r="R245" s="13">
        <v>29.3</v>
      </c>
      <c r="S245" s="13">
        <v>0</v>
      </c>
      <c r="T245" s="19">
        <v>1262</v>
      </c>
    </row>
    <row r="246" spans="1:21" hidden="1" x14ac:dyDescent="0.25">
      <c r="A246" s="1">
        <f t="shared" si="73"/>
        <v>42861</v>
      </c>
      <c r="B246">
        <v>37</v>
      </c>
      <c r="C246">
        <v>584.45000000000005</v>
      </c>
      <c r="E246" s="13">
        <f t="shared" si="71"/>
        <v>579.45000000000005</v>
      </c>
      <c r="F246" s="13">
        <v>579.45000000000005</v>
      </c>
      <c r="G246" s="13">
        <f t="shared" si="72"/>
        <v>0</v>
      </c>
      <c r="H246" s="14">
        <v>1267</v>
      </c>
      <c r="I246" s="15">
        <v>779.29</v>
      </c>
      <c r="J246" s="13">
        <v>779.29</v>
      </c>
      <c r="K246" s="13">
        <v>0</v>
      </c>
      <c r="L246" s="13">
        <v>1090</v>
      </c>
      <c r="Q246" s="5">
        <v>5</v>
      </c>
    </row>
    <row r="247" spans="1:21" hidden="1" x14ac:dyDescent="0.25">
      <c r="A247" s="1">
        <f t="shared" si="73"/>
        <v>42861</v>
      </c>
      <c r="B247">
        <v>41</v>
      </c>
      <c r="C247">
        <v>414.55</v>
      </c>
      <c r="E247" s="13">
        <f t="shared" si="71"/>
        <v>414.55</v>
      </c>
      <c r="F247" s="13">
        <v>414.55</v>
      </c>
      <c r="G247" s="13">
        <f>E247-F247</f>
        <v>0</v>
      </c>
      <c r="H247" s="14">
        <v>1286</v>
      </c>
      <c r="I247" s="15">
        <v>654.4</v>
      </c>
      <c r="J247" s="13">
        <v>654.4</v>
      </c>
      <c r="K247" s="13">
        <v>0</v>
      </c>
      <c r="L247" s="13">
        <v>1079</v>
      </c>
      <c r="Q247" s="5">
        <f>SUMIFS(Coin!E:E,Coin!C:C,B247,Coin!D:D,A247)</f>
        <v>0</v>
      </c>
    </row>
    <row r="248" spans="1:21" hidden="1" x14ac:dyDescent="0.25">
      <c r="A248" s="1">
        <f t="shared" si="73"/>
        <v>42861</v>
      </c>
      <c r="B248">
        <v>43</v>
      </c>
      <c r="C248">
        <v>617.6</v>
      </c>
      <c r="E248" s="13">
        <f t="shared" si="71"/>
        <v>617.6</v>
      </c>
      <c r="F248" s="13">
        <v>617.6</v>
      </c>
      <c r="G248" s="13">
        <f t="shared" ref="G248:G253" si="74">E248-F248</f>
        <v>0</v>
      </c>
      <c r="H248" s="14">
        <v>1271</v>
      </c>
      <c r="I248" s="15">
        <v>459.45</v>
      </c>
      <c r="J248" s="13">
        <v>459.45</v>
      </c>
      <c r="K248" s="13">
        <v>0</v>
      </c>
      <c r="L248" s="13">
        <v>1078</v>
      </c>
      <c r="Q248" s="5">
        <f>SUMIFS(Coin!E:E,Coin!C:C,B248,Coin!D:D,A248)</f>
        <v>0</v>
      </c>
    </row>
    <row r="249" spans="1:21" hidden="1" x14ac:dyDescent="0.25">
      <c r="A249" s="1">
        <f t="shared" si="73"/>
        <v>42861</v>
      </c>
      <c r="B249">
        <v>44</v>
      </c>
      <c r="C249">
        <v>130.85</v>
      </c>
      <c r="E249" s="13">
        <f t="shared" si="71"/>
        <v>130.85</v>
      </c>
      <c r="F249" s="13">
        <v>130.85</v>
      </c>
      <c r="G249" s="13">
        <f t="shared" si="74"/>
        <v>0</v>
      </c>
      <c r="H249" s="14">
        <v>1272</v>
      </c>
      <c r="I249" s="15">
        <v>588.45000000000005</v>
      </c>
      <c r="J249" s="13">
        <v>588.45000000000005</v>
      </c>
      <c r="K249" s="13">
        <v>0</v>
      </c>
      <c r="L249" s="13">
        <v>1081</v>
      </c>
      <c r="Q249" s="5">
        <f>SUMIFS(Coin!E:E,Coin!C:C,B249,Coin!D:D,A249)</f>
        <v>0</v>
      </c>
    </row>
    <row r="250" spans="1:21" hidden="1" x14ac:dyDescent="0.25">
      <c r="A250" s="1">
        <f t="shared" si="73"/>
        <v>42861</v>
      </c>
      <c r="B250">
        <v>103</v>
      </c>
      <c r="C250">
        <v>902.6</v>
      </c>
      <c r="E250" s="13">
        <f t="shared" si="71"/>
        <v>901.5</v>
      </c>
      <c r="F250" s="13">
        <v>901.5</v>
      </c>
      <c r="G250" s="13">
        <f t="shared" si="74"/>
        <v>0</v>
      </c>
      <c r="H250" s="14">
        <v>1276</v>
      </c>
      <c r="I250" s="15">
        <v>1039.8800000000001</v>
      </c>
      <c r="J250" s="13">
        <v>1039.8800000000001</v>
      </c>
      <c r="K250" s="13">
        <v>0</v>
      </c>
      <c r="L250" s="13">
        <v>1077</v>
      </c>
      <c r="Q250" s="5">
        <v>1.1000000000000001</v>
      </c>
    </row>
    <row r="251" spans="1:21" hidden="1" x14ac:dyDescent="0.25">
      <c r="A251" s="1">
        <f t="shared" si="73"/>
        <v>42861</v>
      </c>
      <c r="B251">
        <v>201</v>
      </c>
      <c r="C251">
        <v>405.05</v>
      </c>
      <c r="D251">
        <v>-75.5</v>
      </c>
      <c r="E251" s="13">
        <f t="shared" si="71"/>
        <v>309.55</v>
      </c>
      <c r="F251" s="13">
        <v>309.55</v>
      </c>
      <c r="G251" s="13">
        <f t="shared" si="74"/>
        <v>0</v>
      </c>
      <c r="H251" s="14">
        <v>1279</v>
      </c>
      <c r="I251" s="15">
        <v>409.94</v>
      </c>
      <c r="J251" s="13">
        <v>409.94</v>
      </c>
      <c r="K251" s="13">
        <v>0</v>
      </c>
      <c r="L251" s="13">
        <v>1089</v>
      </c>
      <c r="Q251" s="5">
        <f>SUMIFS(Coin!E:E,Coin!C:C,B251,Coin!D:D,A251)</f>
        <v>0</v>
      </c>
      <c r="U251" s="21">
        <v>-20</v>
      </c>
    </row>
    <row r="252" spans="1:21" hidden="1" x14ac:dyDescent="0.25">
      <c r="A252" s="1">
        <f t="shared" ref="A252:A258" si="75">DATE(2017,5,7)</f>
        <v>42862</v>
      </c>
      <c r="B252">
        <v>35</v>
      </c>
      <c r="C252">
        <v>402.6</v>
      </c>
      <c r="E252" s="13">
        <f t="shared" si="71"/>
        <v>395</v>
      </c>
      <c r="F252" s="13">
        <v>395</v>
      </c>
      <c r="G252" s="13">
        <f t="shared" si="74"/>
        <v>0</v>
      </c>
      <c r="H252" s="14">
        <v>1251</v>
      </c>
      <c r="I252" s="15">
        <v>607.20000000000005</v>
      </c>
      <c r="J252" s="13">
        <v>607.20000000000005</v>
      </c>
      <c r="K252" s="13">
        <v>0</v>
      </c>
      <c r="L252" s="13">
        <v>1072</v>
      </c>
      <c r="Q252" s="15">
        <v>7.6</v>
      </c>
      <c r="R252" s="13">
        <v>7.6</v>
      </c>
      <c r="S252" s="13">
        <v>0</v>
      </c>
      <c r="T252" s="19">
        <v>1264</v>
      </c>
    </row>
    <row r="253" spans="1:21" hidden="1" x14ac:dyDescent="0.25">
      <c r="A253" s="1">
        <f t="shared" si="75"/>
        <v>42862</v>
      </c>
      <c r="B253">
        <v>37</v>
      </c>
      <c r="C253">
        <v>699.45</v>
      </c>
      <c r="E253" s="13">
        <f t="shared" si="71"/>
        <v>649.45000000000005</v>
      </c>
      <c r="F253" s="13">
        <v>649.45000000000005</v>
      </c>
      <c r="G253" s="13">
        <f t="shared" si="74"/>
        <v>0</v>
      </c>
      <c r="H253" s="14">
        <v>1265</v>
      </c>
      <c r="I253" s="15">
        <v>664.6</v>
      </c>
      <c r="J253" s="13">
        <v>664.6</v>
      </c>
      <c r="K253" s="13">
        <v>0</v>
      </c>
      <c r="L253" s="13">
        <v>1087</v>
      </c>
      <c r="Q253" s="15">
        <v>50</v>
      </c>
      <c r="R253" s="13">
        <v>50</v>
      </c>
      <c r="S253" s="13">
        <v>0</v>
      </c>
      <c r="T253" s="19">
        <v>1268</v>
      </c>
    </row>
    <row r="254" spans="1:21" hidden="1" x14ac:dyDescent="0.25">
      <c r="A254" s="1">
        <f t="shared" si="75"/>
        <v>42862</v>
      </c>
      <c r="B254">
        <v>41</v>
      </c>
      <c r="C254">
        <v>114.9</v>
      </c>
      <c r="E254" s="13">
        <f t="shared" si="71"/>
        <v>114.9</v>
      </c>
      <c r="F254" s="13">
        <v>114.9</v>
      </c>
      <c r="G254" s="13">
        <f t="shared" ref="G254:G266" si="76">E254-F254</f>
        <v>0</v>
      </c>
      <c r="H254" s="14">
        <v>1285</v>
      </c>
      <c r="I254" s="15">
        <v>327.5</v>
      </c>
      <c r="J254" s="13">
        <v>327.5</v>
      </c>
      <c r="K254" s="13">
        <v>0</v>
      </c>
      <c r="L254" s="13">
        <v>1073</v>
      </c>
      <c r="Q254" s="5">
        <f>SUMIFS(Coin!E:E,Coin!C:C,B254,Coin!D:D,A254)</f>
        <v>0</v>
      </c>
    </row>
    <row r="255" spans="1:21" hidden="1" x14ac:dyDescent="0.25">
      <c r="A255" s="1">
        <f t="shared" si="75"/>
        <v>42862</v>
      </c>
      <c r="B255">
        <v>43</v>
      </c>
      <c r="C255">
        <v>534.70000000000005</v>
      </c>
      <c r="E255" s="13">
        <f t="shared" si="71"/>
        <v>534.70000000000005</v>
      </c>
      <c r="F255" s="13">
        <v>534.70000000000005</v>
      </c>
      <c r="G255" s="13">
        <f t="shared" si="76"/>
        <v>0</v>
      </c>
      <c r="H255" s="14">
        <v>1270</v>
      </c>
      <c r="I255" s="15">
        <v>314.7</v>
      </c>
      <c r="J255" s="13">
        <v>314.7</v>
      </c>
      <c r="K255" s="13">
        <v>0</v>
      </c>
      <c r="L255" s="13">
        <v>1075</v>
      </c>
      <c r="Q255" s="5">
        <f>SUMIFS(Coin!E:E,Coin!C:C,B255,Coin!D:D,A255)</f>
        <v>0</v>
      </c>
    </row>
    <row r="256" spans="1:21" hidden="1" x14ac:dyDescent="0.25">
      <c r="A256" s="1">
        <f t="shared" si="75"/>
        <v>42862</v>
      </c>
      <c r="B256">
        <v>44</v>
      </c>
      <c r="C256">
        <v>72.849999999999994</v>
      </c>
      <c r="E256" s="13">
        <f t="shared" si="71"/>
        <v>72.849999999999994</v>
      </c>
      <c r="F256" s="13">
        <v>72.849999999999994</v>
      </c>
      <c r="G256" s="13">
        <f t="shared" si="76"/>
        <v>0</v>
      </c>
      <c r="H256" s="14">
        <v>1273</v>
      </c>
      <c r="I256" s="15">
        <v>255.75</v>
      </c>
      <c r="J256" s="13">
        <v>255.75</v>
      </c>
      <c r="K256" s="13">
        <v>0</v>
      </c>
      <c r="L256" s="13">
        <v>1076</v>
      </c>
      <c r="M256" s="15">
        <v>20</v>
      </c>
      <c r="N256" s="13">
        <v>20</v>
      </c>
      <c r="O256" s="13">
        <v>0</v>
      </c>
      <c r="P256" s="13">
        <v>40</v>
      </c>
      <c r="Q256" s="5">
        <f>SUMIFS(Coin!E:E,Coin!C:C,B256,Coin!D:D,A256)</f>
        <v>0</v>
      </c>
    </row>
    <row r="257" spans="1:22" hidden="1" x14ac:dyDescent="0.25">
      <c r="A257" s="1">
        <f t="shared" si="75"/>
        <v>42862</v>
      </c>
      <c r="B257">
        <v>103</v>
      </c>
      <c r="C257">
        <v>587.29999999999995</v>
      </c>
      <c r="E257" s="13">
        <f t="shared" si="71"/>
        <v>588.94999999999993</v>
      </c>
      <c r="F257" s="13">
        <v>588.95000000000005</v>
      </c>
      <c r="G257" s="13">
        <f t="shared" si="76"/>
        <v>0</v>
      </c>
      <c r="H257" s="14">
        <v>1275</v>
      </c>
      <c r="I257" s="15">
        <v>530.45000000000005</v>
      </c>
      <c r="J257" s="13">
        <v>530.45000000000005</v>
      </c>
      <c r="K257" s="13">
        <v>0</v>
      </c>
      <c r="L257" s="13">
        <v>1074</v>
      </c>
      <c r="Q257" s="5">
        <f>SUMIFS(Coin!E:E,Coin!C:C,B257,Coin!D:D,A257)</f>
        <v>0</v>
      </c>
      <c r="U257" s="21">
        <v>1.65</v>
      </c>
    </row>
    <row r="258" spans="1:22" hidden="1" x14ac:dyDescent="0.25">
      <c r="A258" s="1">
        <f t="shared" si="75"/>
        <v>42862</v>
      </c>
      <c r="B258">
        <v>201</v>
      </c>
      <c r="C258">
        <v>250</v>
      </c>
      <c r="E258" s="13">
        <f t="shared" si="71"/>
        <v>271</v>
      </c>
      <c r="F258" s="13">
        <v>271</v>
      </c>
      <c r="G258" s="13">
        <f t="shared" si="76"/>
        <v>0</v>
      </c>
      <c r="H258" s="14">
        <v>1280</v>
      </c>
      <c r="I258" s="15">
        <v>275</v>
      </c>
      <c r="J258" s="13">
        <v>275</v>
      </c>
      <c r="K258" s="13">
        <v>0</v>
      </c>
      <c r="L258" s="13">
        <v>1088</v>
      </c>
      <c r="Q258" s="5">
        <f>SUMIFS(Coin!E:E,Coin!C:C,B258,Coin!D:D,A258)</f>
        <v>0</v>
      </c>
      <c r="U258" s="21">
        <v>21</v>
      </c>
    </row>
    <row r="259" spans="1:22" hidden="1" x14ac:dyDescent="0.25">
      <c r="A259" s="1">
        <f t="shared" ref="A259:A265" si="77">DATE(2017,5,8)</f>
        <v>42863</v>
      </c>
      <c r="B259">
        <v>35</v>
      </c>
      <c r="C259">
        <v>507.8</v>
      </c>
      <c r="E259" s="13">
        <f t="shared" ref="E259:E265" si="78">C259+D259-Q259+U259</f>
        <v>505</v>
      </c>
      <c r="F259" s="13">
        <v>505</v>
      </c>
      <c r="G259" s="13">
        <f t="shared" si="76"/>
        <v>0</v>
      </c>
      <c r="H259" s="14">
        <v>1261</v>
      </c>
      <c r="I259" s="15">
        <v>676.33</v>
      </c>
      <c r="J259" s="13">
        <v>676.33</v>
      </c>
      <c r="K259" s="13">
        <v>0</v>
      </c>
      <c r="L259" s="13">
        <v>1097</v>
      </c>
      <c r="Q259" s="15">
        <v>2.8</v>
      </c>
      <c r="R259" s="13">
        <v>2.8</v>
      </c>
      <c r="S259" s="13">
        <v>0</v>
      </c>
      <c r="T259" s="19">
        <v>1282</v>
      </c>
    </row>
    <row r="260" spans="1:22" hidden="1" x14ac:dyDescent="0.25">
      <c r="A260" s="1">
        <f t="shared" si="77"/>
        <v>42863</v>
      </c>
      <c r="B260">
        <v>37</v>
      </c>
      <c r="C260">
        <v>449.65</v>
      </c>
      <c r="E260" s="13">
        <f t="shared" si="78"/>
        <v>440</v>
      </c>
      <c r="F260" s="13">
        <v>440</v>
      </c>
      <c r="G260" s="13">
        <f t="shared" si="76"/>
        <v>0</v>
      </c>
      <c r="H260" s="14">
        <v>1283</v>
      </c>
      <c r="I260" s="15">
        <v>169.95</v>
      </c>
      <c r="J260" s="13">
        <v>169.95</v>
      </c>
      <c r="K260" s="13">
        <v>0</v>
      </c>
      <c r="L260" s="13">
        <v>1098</v>
      </c>
      <c r="Q260" s="15">
        <v>9.65</v>
      </c>
      <c r="R260" s="13">
        <v>9.65</v>
      </c>
      <c r="S260" s="13">
        <v>0</v>
      </c>
      <c r="T260" s="19">
        <v>1310</v>
      </c>
    </row>
    <row r="261" spans="1:22" hidden="1" x14ac:dyDescent="0.25">
      <c r="A261" s="1">
        <f t="shared" si="77"/>
        <v>42863</v>
      </c>
      <c r="B261">
        <v>41</v>
      </c>
      <c r="C261">
        <v>305.75</v>
      </c>
      <c r="E261" s="13">
        <f t="shared" si="78"/>
        <v>310.75</v>
      </c>
      <c r="F261" s="13">
        <v>310.75</v>
      </c>
      <c r="G261" s="13">
        <f t="shared" si="76"/>
        <v>0</v>
      </c>
      <c r="H261" s="14">
        <v>1284</v>
      </c>
      <c r="I261" s="15">
        <f>545.05+V261</f>
        <v>540.04999999999995</v>
      </c>
      <c r="J261" s="13">
        <v>540.04999999999995</v>
      </c>
      <c r="K261" s="13">
        <v>0</v>
      </c>
      <c r="L261" s="13">
        <v>1094</v>
      </c>
      <c r="Q261" s="5">
        <f>SUMIFS(Coin!E:E,Coin!C:C,B261,Coin!D:D,A261)</f>
        <v>0</v>
      </c>
      <c r="U261" s="21">
        <v>5</v>
      </c>
      <c r="V261" s="21">
        <v>-5</v>
      </c>
    </row>
    <row r="262" spans="1:22" hidden="1" x14ac:dyDescent="0.25">
      <c r="A262" s="1">
        <f t="shared" si="77"/>
        <v>42863</v>
      </c>
      <c r="B262">
        <v>43</v>
      </c>
      <c r="C262">
        <v>626.54999999999995</v>
      </c>
      <c r="E262" s="13">
        <f t="shared" si="78"/>
        <v>626.54999999999995</v>
      </c>
      <c r="F262" s="13">
        <v>626.54999999999995</v>
      </c>
      <c r="G262" s="13">
        <f t="shared" si="76"/>
        <v>0</v>
      </c>
      <c r="H262" s="14">
        <v>1288</v>
      </c>
      <c r="I262" s="15">
        <v>344.55</v>
      </c>
      <c r="J262" s="13">
        <v>344.55</v>
      </c>
      <c r="K262" s="13">
        <v>0</v>
      </c>
      <c r="L262" s="13">
        <v>1093</v>
      </c>
      <c r="Q262" s="5">
        <f>SUMIFS(Coin!E:E,Coin!C:C,B262,Coin!D:D,A262)</f>
        <v>0</v>
      </c>
    </row>
    <row r="263" spans="1:22" hidden="1" x14ac:dyDescent="0.25">
      <c r="A263" s="1">
        <f t="shared" si="77"/>
        <v>42863</v>
      </c>
      <c r="B263">
        <v>44</v>
      </c>
      <c r="C263">
        <v>310.64999999999998</v>
      </c>
      <c r="E263" s="13">
        <f t="shared" si="78"/>
        <v>310.64999999999998</v>
      </c>
      <c r="F263" s="13">
        <v>310.64999999999998</v>
      </c>
      <c r="G263" s="13">
        <f t="shared" si="76"/>
        <v>0</v>
      </c>
      <c r="H263" s="14">
        <v>1289</v>
      </c>
      <c r="I263" s="15">
        <v>506</v>
      </c>
      <c r="J263" s="13">
        <v>506</v>
      </c>
      <c r="K263" s="13">
        <v>0</v>
      </c>
      <c r="L263" s="13">
        <v>1095</v>
      </c>
      <c r="Q263" s="5">
        <f>SUMIFS(Coin!E:E,Coin!C:C,B263,Coin!D:D,A263)</f>
        <v>0</v>
      </c>
    </row>
    <row r="264" spans="1:22" hidden="1" x14ac:dyDescent="0.25">
      <c r="A264" s="1">
        <f t="shared" si="77"/>
        <v>42863</v>
      </c>
      <c r="B264">
        <v>103</v>
      </c>
      <c r="C264">
        <v>1012.15</v>
      </c>
      <c r="E264" s="13">
        <f t="shared" si="78"/>
        <v>1010</v>
      </c>
      <c r="F264" s="13">
        <v>1010</v>
      </c>
      <c r="G264" s="13">
        <f t="shared" si="76"/>
        <v>0</v>
      </c>
      <c r="H264" s="14">
        <v>1290</v>
      </c>
      <c r="I264" s="15">
        <v>315.55</v>
      </c>
      <c r="J264" s="13">
        <v>315.55</v>
      </c>
      <c r="K264" s="13">
        <v>0</v>
      </c>
      <c r="L264" s="13">
        <v>1096</v>
      </c>
      <c r="Q264" s="15">
        <v>2.1</v>
      </c>
      <c r="R264" s="13">
        <v>2.1</v>
      </c>
      <c r="S264" s="13">
        <v>0</v>
      </c>
      <c r="T264" s="19">
        <v>1298</v>
      </c>
      <c r="U264" s="21">
        <v>-0.05</v>
      </c>
    </row>
    <row r="265" spans="1:22" hidden="1" x14ac:dyDescent="0.25">
      <c r="A265" s="1">
        <f t="shared" si="77"/>
        <v>42863</v>
      </c>
      <c r="B265">
        <v>201</v>
      </c>
      <c r="C265">
        <v>249.9</v>
      </c>
      <c r="E265" s="13">
        <f t="shared" si="78"/>
        <v>249.9</v>
      </c>
      <c r="F265" s="13">
        <v>250</v>
      </c>
      <c r="G265" s="13">
        <f t="shared" si="76"/>
        <v>-9.9999999999994316E-2</v>
      </c>
      <c r="H265" s="14">
        <v>1291</v>
      </c>
      <c r="I265" s="15">
        <v>420</v>
      </c>
      <c r="J265" s="13">
        <v>420</v>
      </c>
      <c r="K265" s="13">
        <v>0</v>
      </c>
      <c r="L265" s="13">
        <v>1099</v>
      </c>
      <c r="M265" s="15">
        <v>40</v>
      </c>
      <c r="N265" s="13">
        <v>40</v>
      </c>
      <c r="O265" s="13">
        <v>0</v>
      </c>
      <c r="P265" s="13">
        <v>42</v>
      </c>
      <c r="Q265" s="5">
        <f>SUMIFS(Coin!E:E,Coin!C:C,B265,Coin!D:D,A265)</f>
        <v>0</v>
      </c>
    </row>
    <row r="266" spans="1:22" hidden="1" x14ac:dyDescent="0.25">
      <c r="A266" s="1">
        <f t="shared" ref="A266:A272" si="79">DATE(2017,5,9)</f>
        <v>42864</v>
      </c>
      <c r="B266">
        <v>35</v>
      </c>
      <c r="C266">
        <v>513.6</v>
      </c>
      <c r="E266" s="13">
        <f t="shared" ref="E266:E272" si="80">C266+D266-Q266+U266</f>
        <v>510</v>
      </c>
      <c r="F266" s="13">
        <v>510</v>
      </c>
      <c r="G266" s="13">
        <f t="shared" si="76"/>
        <v>0</v>
      </c>
      <c r="H266" s="14">
        <v>1281</v>
      </c>
      <c r="I266" s="15">
        <v>559.44000000000005</v>
      </c>
      <c r="J266" s="13">
        <v>559.44000000000005</v>
      </c>
      <c r="K266" s="13">
        <v>0</v>
      </c>
      <c r="L266" s="13">
        <v>1101</v>
      </c>
      <c r="Q266" s="15">
        <v>3.6</v>
      </c>
      <c r="R266" s="13">
        <v>3.6</v>
      </c>
      <c r="S266" s="13">
        <v>0</v>
      </c>
      <c r="T266" s="19">
        <v>1293</v>
      </c>
    </row>
    <row r="267" spans="1:22" hidden="1" x14ac:dyDescent="0.25">
      <c r="A267" s="1">
        <f t="shared" si="79"/>
        <v>42864</v>
      </c>
      <c r="B267">
        <v>37</v>
      </c>
      <c r="C267">
        <v>394.85</v>
      </c>
      <c r="E267" s="13">
        <f t="shared" si="80"/>
        <v>394.85</v>
      </c>
      <c r="F267" s="13">
        <v>394.85</v>
      </c>
      <c r="G267" s="13">
        <f t="shared" ref="G267:G273" si="81">E267-F267</f>
        <v>0</v>
      </c>
      <c r="H267" s="14">
        <v>1294</v>
      </c>
      <c r="I267" s="15">
        <v>749.6</v>
      </c>
      <c r="J267" s="13">
        <v>749.6</v>
      </c>
      <c r="K267" s="13">
        <v>0</v>
      </c>
      <c r="L267" s="13">
        <v>1105</v>
      </c>
      <c r="Q267" s="5">
        <f>SUMIFS(Coin!E:E,Coin!C:C,B267,Coin!D:D,A267)</f>
        <v>0</v>
      </c>
    </row>
    <row r="268" spans="1:22" hidden="1" x14ac:dyDescent="0.25">
      <c r="A268" s="1">
        <f t="shared" si="79"/>
        <v>42864</v>
      </c>
      <c r="B268">
        <v>41</v>
      </c>
      <c r="C268">
        <v>402.55</v>
      </c>
      <c r="E268" s="13">
        <f t="shared" si="80"/>
        <v>402.55</v>
      </c>
      <c r="F268" s="13">
        <v>402.55</v>
      </c>
      <c r="G268" s="13">
        <f t="shared" si="81"/>
        <v>0</v>
      </c>
      <c r="H268" s="14">
        <v>1295</v>
      </c>
      <c r="I268" s="15">
        <v>239.65</v>
      </c>
      <c r="J268" s="13">
        <v>239.65</v>
      </c>
      <c r="K268" s="13">
        <v>0</v>
      </c>
      <c r="L268" s="13">
        <v>1102</v>
      </c>
      <c r="Q268" s="5">
        <f>SUMIFS(Coin!E:E,Coin!C:C,B268,Coin!D:D,A268)</f>
        <v>0</v>
      </c>
    </row>
    <row r="269" spans="1:22" hidden="1" x14ac:dyDescent="0.25">
      <c r="A269" s="1">
        <f t="shared" si="79"/>
        <v>42864</v>
      </c>
      <c r="B269">
        <v>43</v>
      </c>
      <c r="C269">
        <v>722.6</v>
      </c>
      <c r="E269" s="13">
        <f t="shared" si="80"/>
        <v>722.6</v>
      </c>
      <c r="F269" s="13">
        <v>722.6</v>
      </c>
      <c r="G269" s="13">
        <f t="shared" si="81"/>
        <v>0</v>
      </c>
      <c r="H269" s="14">
        <v>1296</v>
      </c>
      <c r="I269" s="15">
        <v>399.85</v>
      </c>
      <c r="J269" s="13">
        <v>399.85</v>
      </c>
      <c r="K269" s="13">
        <v>0</v>
      </c>
      <c r="L269" s="13">
        <v>1104</v>
      </c>
      <c r="Q269" s="5">
        <f>SUMIFS(Coin!E:E,Coin!C:C,B269,Coin!D:D,A269)</f>
        <v>0</v>
      </c>
    </row>
    <row r="270" spans="1:22" hidden="1" x14ac:dyDescent="0.25">
      <c r="A270" s="1">
        <f t="shared" si="79"/>
        <v>42864</v>
      </c>
      <c r="B270">
        <v>44</v>
      </c>
      <c r="C270">
        <v>128.6</v>
      </c>
      <c r="E270" s="13">
        <f t="shared" si="80"/>
        <v>128.6</v>
      </c>
      <c r="F270" s="13">
        <v>128.6</v>
      </c>
      <c r="G270" s="13">
        <f t="shared" si="81"/>
        <v>0</v>
      </c>
      <c r="H270" s="14">
        <v>1297</v>
      </c>
      <c r="I270" s="15">
        <v>302.5</v>
      </c>
      <c r="J270" s="13">
        <v>302.5</v>
      </c>
      <c r="K270" s="13">
        <v>0</v>
      </c>
      <c r="L270" s="13">
        <v>1100</v>
      </c>
      <c r="Q270" s="5">
        <f>SUMIFS(Coin!E:E,Coin!C:C,B270,Coin!D:D,A270)</f>
        <v>0</v>
      </c>
    </row>
    <row r="271" spans="1:22" hidden="1" x14ac:dyDescent="0.25">
      <c r="A271" s="1">
        <f t="shared" si="79"/>
        <v>42864</v>
      </c>
      <c r="B271">
        <v>103</v>
      </c>
      <c r="C271">
        <v>513.25</v>
      </c>
      <c r="E271" s="13">
        <f t="shared" si="80"/>
        <v>513.25</v>
      </c>
      <c r="F271" s="13">
        <v>513.25</v>
      </c>
      <c r="G271" s="13">
        <f t="shared" si="81"/>
        <v>0</v>
      </c>
      <c r="H271" s="14">
        <v>1299</v>
      </c>
      <c r="I271" s="15">
        <v>675.45</v>
      </c>
      <c r="J271" s="13">
        <v>675.45</v>
      </c>
      <c r="K271" s="13">
        <v>0</v>
      </c>
      <c r="L271" s="13">
        <v>1103</v>
      </c>
      <c r="Q271" s="5">
        <f>SUMIFS(Coin!E:E,Coin!C:C,B271,Coin!D:D,A271)</f>
        <v>0</v>
      </c>
    </row>
    <row r="272" spans="1:22" hidden="1" x14ac:dyDescent="0.25">
      <c r="A272" s="1">
        <f t="shared" si="79"/>
        <v>42864</v>
      </c>
      <c r="B272">
        <v>201</v>
      </c>
      <c r="C272">
        <v>374.65</v>
      </c>
      <c r="E272" s="13">
        <f t="shared" si="80"/>
        <v>374.65</v>
      </c>
      <c r="F272" s="13">
        <v>374.65</v>
      </c>
      <c r="G272" s="13">
        <f t="shared" si="81"/>
        <v>0</v>
      </c>
      <c r="H272" s="14">
        <v>1300</v>
      </c>
      <c r="I272" s="15">
        <v>237.79</v>
      </c>
      <c r="J272" s="13">
        <v>237.79</v>
      </c>
      <c r="K272" s="13">
        <v>0</v>
      </c>
      <c r="L272" s="13">
        <v>1106</v>
      </c>
      <c r="Q272" s="5">
        <f>SUMIFS(Coin!E:E,Coin!C:C,B272,Coin!D:D,A272)</f>
        <v>0</v>
      </c>
    </row>
    <row r="273" spans="1:21" hidden="1" x14ac:dyDescent="0.25">
      <c r="A273" s="1">
        <f t="shared" ref="A273:A279" si="82">DATE(2017,5,10)</f>
        <v>42865</v>
      </c>
      <c r="B273">
        <v>35</v>
      </c>
      <c r="C273">
        <v>465.35</v>
      </c>
      <c r="E273" s="13">
        <f t="shared" ref="E273:E279" si="83">C273+D273-Q273+U273</f>
        <v>465</v>
      </c>
      <c r="F273" s="13">
        <v>465</v>
      </c>
      <c r="G273" s="13">
        <f t="shared" si="81"/>
        <v>0</v>
      </c>
      <c r="H273" s="14">
        <v>1292</v>
      </c>
      <c r="I273" s="15">
        <v>845.95</v>
      </c>
      <c r="J273" s="13">
        <v>845.95</v>
      </c>
      <c r="K273" s="13">
        <v>0</v>
      </c>
      <c r="L273" s="13">
        <v>1108</v>
      </c>
      <c r="Q273" s="15">
        <v>0.35</v>
      </c>
      <c r="R273" s="13">
        <v>0.35</v>
      </c>
      <c r="S273" s="13">
        <v>0</v>
      </c>
      <c r="T273" s="19">
        <v>1302</v>
      </c>
    </row>
    <row r="274" spans="1:21" hidden="1" x14ac:dyDescent="0.25">
      <c r="A274" s="1">
        <f t="shared" si="82"/>
        <v>42865</v>
      </c>
      <c r="B274">
        <v>37</v>
      </c>
      <c r="C274">
        <v>414.75</v>
      </c>
      <c r="E274" s="13">
        <f t="shared" si="83"/>
        <v>414.55</v>
      </c>
      <c r="F274" s="13">
        <v>414.55</v>
      </c>
      <c r="G274" s="13">
        <f t="shared" ref="G274:G280" si="84">E274-F274</f>
        <v>0</v>
      </c>
      <c r="H274" s="14">
        <v>1303</v>
      </c>
      <c r="I274" s="15">
        <v>489.43</v>
      </c>
      <c r="J274" s="13">
        <v>489.43</v>
      </c>
      <c r="K274" s="13">
        <v>0</v>
      </c>
      <c r="L274" s="13">
        <v>1112</v>
      </c>
      <c r="Q274" s="15">
        <v>0.2</v>
      </c>
      <c r="R274" s="13">
        <v>0.2</v>
      </c>
      <c r="S274" s="13">
        <v>0</v>
      </c>
      <c r="T274" s="19">
        <v>1311</v>
      </c>
    </row>
    <row r="275" spans="1:21" hidden="1" x14ac:dyDescent="0.25">
      <c r="A275" s="1">
        <f t="shared" si="82"/>
        <v>42865</v>
      </c>
      <c r="B275">
        <v>41</v>
      </c>
      <c r="C275">
        <v>275.64999999999998</v>
      </c>
      <c r="E275" s="13">
        <f t="shared" si="83"/>
        <v>275.64999999999998</v>
      </c>
      <c r="F275" s="13">
        <v>275.64999999999998</v>
      </c>
      <c r="G275" s="13">
        <f t="shared" si="84"/>
        <v>0</v>
      </c>
      <c r="H275" s="14">
        <v>1305</v>
      </c>
      <c r="I275" s="15">
        <v>167.55</v>
      </c>
      <c r="J275" s="13">
        <v>167.55</v>
      </c>
      <c r="K275" s="13">
        <v>0</v>
      </c>
      <c r="L275" s="13">
        <v>1110</v>
      </c>
      <c r="Q275" s="5">
        <f>SUMIFS(Coin!E:E,Coin!C:C,B275,Coin!D:D,A275)</f>
        <v>0</v>
      </c>
    </row>
    <row r="276" spans="1:21" hidden="1" x14ac:dyDescent="0.25">
      <c r="A276" s="1">
        <f t="shared" si="82"/>
        <v>42865</v>
      </c>
      <c r="B276">
        <v>43</v>
      </c>
      <c r="C276">
        <v>857.3</v>
      </c>
      <c r="E276" s="13">
        <f t="shared" si="83"/>
        <v>857.3</v>
      </c>
      <c r="F276" s="13">
        <v>857.3</v>
      </c>
      <c r="G276" s="13">
        <f t="shared" si="84"/>
        <v>0</v>
      </c>
      <c r="H276" s="14">
        <v>1306</v>
      </c>
      <c r="I276" s="15">
        <v>485.65</v>
      </c>
      <c r="J276" s="13">
        <v>485.65</v>
      </c>
      <c r="K276" s="13">
        <v>0</v>
      </c>
      <c r="L276" s="13">
        <v>1109</v>
      </c>
      <c r="Q276" s="5">
        <f>SUMIFS(Coin!E:E,Coin!C:C,B276,Coin!D:D,A276)</f>
        <v>0</v>
      </c>
    </row>
    <row r="277" spans="1:21" hidden="1" x14ac:dyDescent="0.25">
      <c r="A277" s="1">
        <f t="shared" si="82"/>
        <v>42865</v>
      </c>
      <c r="B277">
        <v>44</v>
      </c>
      <c r="C277">
        <v>267.7</v>
      </c>
      <c r="E277" s="13">
        <f t="shared" si="83"/>
        <v>267.7</v>
      </c>
      <c r="F277" s="13">
        <v>267.7</v>
      </c>
      <c r="G277" s="13">
        <f t="shared" si="84"/>
        <v>0</v>
      </c>
      <c r="H277" s="14">
        <v>1307</v>
      </c>
      <c r="I277" s="15">
        <v>600.45000000000005</v>
      </c>
      <c r="J277" s="13">
        <v>600.45000000000005</v>
      </c>
      <c r="K277" s="13">
        <v>0</v>
      </c>
      <c r="L277" s="13">
        <v>1107</v>
      </c>
      <c r="Q277" s="5">
        <f>SUMIFS(Coin!E:E,Coin!C:C,B277,Coin!D:D,A277)</f>
        <v>0</v>
      </c>
    </row>
    <row r="278" spans="1:21" hidden="1" x14ac:dyDescent="0.25">
      <c r="A278" s="1">
        <f t="shared" si="82"/>
        <v>42865</v>
      </c>
      <c r="B278">
        <v>103</v>
      </c>
      <c r="C278">
        <v>836.2</v>
      </c>
      <c r="E278" s="13">
        <f t="shared" si="83"/>
        <v>836.2</v>
      </c>
      <c r="F278" s="13">
        <v>836.2</v>
      </c>
      <c r="G278" s="13">
        <f t="shared" si="84"/>
        <v>0</v>
      </c>
      <c r="H278" s="14">
        <v>1308</v>
      </c>
      <c r="I278" s="15">
        <v>684.5</v>
      </c>
      <c r="J278" s="13">
        <v>684.5</v>
      </c>
      <c r="K278" s="13">
        <v>0</v>
      </c>
      <c r="L278" s="13">
        <v>1111</v>
      </c>
      <c r="Q278" s="5">
        <f>SUMIFS(Coin!E:E,Coin!C:C,B278,Coin!D:D,A278)</f>
        <v>0</v>
      </c>
    </row>
    <row r="279" spans="1:21" hidden="1" x14ac:dyDescent="0.25">
      <c r="A279" s="1">
        <f t="shared" si="82"/>
        <v>42865</v>
      </c>
      <c r="B279">
        <v>201</v>
      </c>
      <c r="C279">
        <v>384.6</v>
      </c>
      <c r="E279" s="13">
        <f t="shared" si="83"/>
        <v>384.6</v>
      </c>
      <c r="F279" s="13">
        <v>384.6</v>
      </c>
      <c r="G279" s="13">
        <f t="shared" si="84"/>
        <v>0</v>
      </c>
      <c r="H279" s="14">
        <v>1309</v>
      </c>
      <c r="I279" s="15">
        <v>242.9</v>
      </c>
      <c r="J279" s="13">
        <v>242.9</v>
      </c>
      <c r="K279" s="13">
        <v>0</v>
      </c>
      <c r="L279" s="13">
        <v>1113</v>
      </c>
      <c r="Q279" s="5">
        <f>SUMIFS(Coin!E:E,Coin!C:C,B279,Coin!D:D,A279)</f>
        <v>0</v>
      </c>
    </row>
    <row r="280" spans="1:21" hidden="1" x14ac:dyDescent="0.25">
      <c r="A280" s="1">
        <f t="shared" ref="A280:A286" si="85">DATE(2017,5,11)</f>
        <v>42866</v>
      </c>
      <c r="B280">
        <v>35</v>
      </c>
      <c r="C280">
        <v>1578.15</v>
      </c>
      <c r="E280" s="13">
        <f t="shared" ref="E280:E286" si="86">C280+D280-Q280+U280</f>
        <v>1575</v>
      </c>
      <c r="F280" s="13">
        <v>1575</v>
      </c>
      <c r="G280" s="13">
        <f t="shared" si="84"/>
        <v>0</v>
      </c>
      <c r="H280" s="14">
        <v>1301</v>
      </c>
      <c r="I280" s="15">
        <v>1215.18</v>
      </c>
      <c r="J280" s="13">
        <v>1215.18</v>
      </c>
      <c r="K280" s="13">
        <v>0</v>
      </c>
      <c r="L280" s="13">
        <v>1115</v>
      </c>
      <c r="Q280" s="15">
        <v>3.15</v>
      </c>
      <c r="R280" s="13">
        <v>3.15</v>
      </c>
      <c r="S280" s="13">
        <v>0</v>
      </c>
      <c r="T280" s="19">
        <v>1314</v>
      </c>
    </row>
    <row r="281" spans="1:21" hidden="1" x14ac:dyDescent="0.25">
      <c r="A281" s="1">
        <f t="shared" si="85"/>
        <v>42866</v>
      </c>
      <c r="B281">
        <v>37</v>
      </c>
      <c r="C281">
        <v>489.8</v>
      </c>
      <c r="E281" s="13">
        <f t="shared" si="86"/>
        <v>489.8</v>
      </c>
      <c r="F281" s="13">
        <v>489.8</v>
      </c>
      <c r="G281" s="13">
        <f>E281-F281</f>
        <v>0</v>
      </c>
      <c r="H281" s="14">
        <v>1315</v>
      </c>
      <c r="I281" s="15">
        <v>809.6</v>
      </c>
      <c r="J281" s="13">
        <v>809.6</v>
      </c>
      <c r="K281" s="13">
        <v>0</v>
      </c>
      <c r="L281" s="13">
        <v>1119</v>
      </c>
      <c r="Q281" s="5">
        <f>SUMIFS(Coin!E:E,Coin!C:C,B281,Coin!D:D,A281)</f>
        <v>0</v>
      </c>
    </row>
    <row r="282" spans="1:21" hidden="1" x14ac:dyDescent="0.25">
      <c r="A282" s="1">
        <f t="shared" si="85"/>
        <v>42866</v>
      </c>
      <c r="B282">
        <v>41</v>
      </c>
      <c r="C282">
        <v>521.54999999999995</v>
      </c>
      <c r="E282" s="13">
        <f t="shared" si="86"/>
        <v>521.54999999999995</v>
      </c>
      <c r="F282" s="13">
        <v>521.54999999999995</v>
      </c>
      <c r="G282" s="13">
        <f>E282-F282</f>
        <v>0</v>
      </c>
      <c r="H282" s="14">
        <v>1316</v>
      </c>
      <c r="I282" s="15">
        <v>790.25</v>
      </c>
      <c r="J282" s="13">
        <v>790.25</v>
      </c>
      <c r="K282" s="13">
        <v>0</v>
      </c>
      <c r="L282" s="13">
        <v>1118</v>
      </c>
      <c r="Q282" s="5">
        <f>SUMIFS(Coin!E:E,Coin!C:C,B282,Coin!D:D,A282)</f>
        <v>0</v>
      </c>
    </row>
    <row r="283" spans="1:21" hidden="1" x14ac:dyDescent="0.25">
      <c r="A283" s="1">
        <f t="shared" si="85"/>
        <v>42866</v>
      </c>
      <c r="B283">
        <v>43</v>
      </c>
      <c r="C283">
        <v>843.5</v>
      </c>
      <c r="E283" s="13">
        <f t="shared" si="86"/>
        <v>843.5</v>
      </c>
      <c r="F283" s="13">
        <v>843.5</v>
      </c>
      <c r="G283" s="13">
        <f>E283-F283</f>
        <v>0</v>
      </c>
      <c r="H283" s="14">
        <v>1317</v>
      </c>
      <c r="I283" s="15">
        <v>714.5</v>
      </c>
      <c r="J283" s="13">
        <v>714.5</v>
      </c>
      <c r="K283" s="13">
        <v>0</v>
      </c>
      <c r="L283" s="13">
        <v>1116</v>
      </c>
      <c r="Q283" s="5">
        <f>SUMIFS(Coin!E:E,Coin!C:C,B283,Coin!D:D,A283)</f>
        <v>0</v>
      </c>
    </row>
    <row r="284" spans="1:21" hidden="1" x14ac:dyDescent="0.25">
      <c r="A284" s="1">
        <f t="shared" si="85"/>
        <v>42866</v>
      </c>
      <c r="B284">
        <v>44</v>
      </c>
      <c r="C284">
        <v>374.55</v>
      </c>
      <c r="E284" s="13">
        <f t="shared" si="86"/>
        <v>374.55</v>
      </c>
      <c r="F284" s="13">
        <v>374.55</v>
      </c>
      <c r="G284" s="13">
        <f>E284-F284</f>
        <v>0</v>
      </c>
      <c r="H284" s="14">
        <v>1351</v>
      </c>
      <c r="I284" s="15">
        <v>477.4</v>
      </c>
      <c r="J284" s="13">
        <v>477.4</v>
      </c>
      <c r="K284" s="13">
        <v>0</v>
      </c>
      <c r="L284" s="13">
        <v>1117</v>
      </c>
      <c r="Q284" s="5">
        <f>SUMIFS(Coin!E:E,Coin!C:C,B284,Coin!D:D,A284)</f>
        <v>0</v>
      </c>
    </row>
    <row r="285" spans="1:21" hidden="1" x14ac:dyDescent="0.25">
      <c r="A285" s="1">
        <f t="shared" si="85"/>
        <v>42866</v>
      </c>
      <c r="B285">
        <v>103</v>
      </c>
      <c r="C285">
        <v>1454.15</v>
      </c>
      <c r="D285">
        <v>-131.1</v>
      </c>
      <c r="E285" s="13">
        <f t="shared" si="86"/>
        <v>1323.0500000000002</v>
      </c>
      <c r="F285" s="13">
        <v>1323.05</v>
      </c>
      <c r="G285" s="13">
        <f t="shared" ref="G285:G292" si="87">E285-F285</f>
        <v>0</v>
      </c>
      <c r="H285" s="14">
        <v>1321</v>
      </c>
      <c r="I285" s="15">
        <v>1007.55</v>
      </c>
      <c r="J285" s="13">
        <v>1007.55</v>
      </c>
      <c r="K285" s="13">
        <v>0</v>
      </c>
      <c r="L285" s="13">
        <v>1114</v>
      </c>
      <c r="Q285" s="5">
        <f>SUMIFS(Coin!E:E,Coin!C:C,B285,Coin!D:D,A285)</f>
        <v>0</v>
      </c>
    </row>
    <row r="286" spans="1:21" hidden="1" x14ac:dyDescent="0.25">
      <c r="A286" s="1">
        <f t="shared" si="85"/>
        <v>42866</v>
      </c>
      <c r="B286">
        <v>201</v>
      </c>
      <c r="C286">
        <v>389.9</v>
      </c>
      <c r="D286">
        <v>-31.8</v>
      </c>
      <c r="E286" s="13">
        <f t="shared" si="86"/>
        <v>373.99999999999994</v>
      </c>
      <c r="F286" s="13">
        <v>374</v>
      </c>
      <c r="G286" s="13">
        <f t="shared" si="87"/>
        <v>0</v>
      </c>
      <c r="H286" s="14">
        <v>1318</v>
      </c>
      <c r="I286" s="15">
        <v>529.70000000000005</v>
      </c>
      <c r="J286" s="13">
        <v>529.70000000000005</v>
      </c>
      <c r="K286" s="13">
        <v>0</v>
      </c>
      <c r="L286" s="13">
        <v>1120</v>
      </c>
      <c r="Q286" s="5">
        <f>SUMIFS(Coin!E:E,Coin!C:C,B286,Coin!D:D,A286)</f>
        <v>0</v>
      </c>
      <c r="U286" s="21">
        <v>15.9</v>
      </c>
    </row>
    <row r="287" spans="1:21" hidden="1" x14ac:dyDescent="0.25">
      <c r="A287" s="1">
        <f t="shared" ref="A287:A293" si="88">DATE(2017,5,12)</f>
        <v>42867</v>
      </c>
      <c r="B287">
        <v>35</v>
      </c>
      <c r="C287">
        <v>847.95</v>
      </c>
      <c r="E287" s="13">
        <f t="shared" ref="E287:E307" si="89">C287+D287-Q287+U287</f>
        <v>840</v>
      </c>
      <c r="F287" s="13">
        <v>840</v>
      </c>
      <c r="G287" s="13">
        <f t="shared" si="87"/>
        <v>0</v>
      </c>
      <c r="H287" s="14">
        <v>1313</v>
      </c>
      <c r="I287" s="15">
        <v>1014.26</v>
      </c>
      <c r="J287" s="13">
        <v>1014.26</v>
      </c>
      <c r="K287" s="13">
        <v>0</v>
      </c>
      <c r="L287" s="13">
        <v>1135</v>
      </c>
      <c r="Q287" s="15">
        <v>7.95</v>
      </c>
      <c r="R287" s="13">
        <v>7.95</v>
      </c>
      <c r="S287" s="13">
        <v>0</v>
      </c>
      <c r="T287" s="19">
        <v>1324</v>
      </c>
    </row>
    <row r="288" spans="1:21" hidden="1" x14ac:dyDescent="0.25">
      <c r="A288" s="1">
        <f t="shared" si="88"/>
        <v>42867</v>
      </c>
      <c r="B288">
        <v>37</v>
      </c>
      <c r="C288">
        <v>434.75</v>
      </c>
      <c r="E288" s="13">
        <f t="shared" si="89"/>
        <v>434.75</v>
      </c>
      <c r="F288" s="13">
        <v>434.75</v>
      </c>
      <c r="G288" s="13">
        <f t="shared" si="87"/>
        <v>0</v>
      </c>
      <c r="H288" s="14">
        <v>1328</v>
      </c>
      <c r="I288" s="15">
        <v>1118.73</v>
      </c>
      <c r="J288" s="13">
        <v>1118.73</v>
      </c>
      <c r="K288" s="13">
        <v>0</v>
      </c>
      <c r="L288" s="13">
        <v>1141</v>
      </c>
      <c r="Q288" s="5">
        <f>SUMIFS(Coin!E:E,Coin!C:C,B288,Coin!D:D,A288)</f>
        <v>0</v>
      </c>
    </row>
    <row r="289" spans="1:21" hidden="1" x14ac:dyDescent="0.25">
      <c r="A289" s="1">
        <f t="shared" si="88"/>
        <v>42867</v>
      </c>
      <c r="B289">
        <v>41</v>
      </c>
      <c r="C289">
        <v>387.45</v>
      </c>
      <c r="E289" s="13">
        <f t="shared" si="89"/>
        <v>377.45</v>
      </c>
      <c r="F289" s="13">
        <v>377.45</v>
      </c>
      <c r="G289" s="13">
        <f t="shared" si="87"/>
        <v>0</v>
      </c>
      <c r="H289" s="14">
        <v>1341</v>
      </c>
      <c r="I289" s="15">
        <v>399.83</v>
      </c>
      <c r="J289" s="13">
        <v>399.83</v>
      </c>
      <c r="K289" s="13">
        <v>0</v>
      </c>
      <c r="L289" s="13">
        <v>1132</v>
      </c>
      <c r="Q289" s="5">
        <f>SUMIFS(Coin!E:E,Coin!C:C,B289,Coin!D:D,A289)</f>
        <v>0</v>
      </c>
      <c r="U289" s="21">
        <v>-10</v>
      </c>
    </row>
    <row r="290" spans="1:21" hidden="1" x14ac:dyDescent="0.25">
      <c r="A290" s="1">
        <f t="shared" si="88"/>
        <v>42867</v>
      </c>
      <c r="B290">
        <v>43</v>
      </c>
      <c r="C290">
        <v>1142.5999999999999</v>
      </c>
      <c r="E290" s="13">
        <f t="shared" si="89"/>
        <v>1142.5999999999999</v>
      </c>
      <c r="F290" s="13">
        <v>1142.5999999999999</v>
      </c>
      <c r="G290" s="13">
        <f t="shared" si="87"/>
        <v>0</v>
      </c>
      <c r="H290" s="14">
        <v>1330</v>
      </c>
      <c r="I290" s="15">
        <v>369.8</v>
      </c>
      <c r="J290" s="13">
        <v>369.8</v>
      </c>
      <c r="K290" s="13">
        <v>0</v>
      </c>
      <c r="L290" s="13">
        <v>1134</v>
      </c>
      <c r="Q290" s="5">
        <f>SUMIFS(Coin!E:E,Coin!C:C,B290,Coin!D:D,A290)</f>
        <v>0</v>
      </c>
    </row>
    <row r="291" spans="1:21" hidden="1" x14ac:dyDescent="0.25">
      <c r="A291" s="1">
        <f t="shared" si="88"/>
        <v>42867</v>
      </c>
      <c r="B291">
        <v>44</v>
      </c>
      <c r="C291">
        <v>262.25</v>
      </c>
      <c r="E291" s="13">
        <f t="shared" si="89"/>
        <v>262.25</v>
      </c>
      <c r="F291" s="13">
        <v>262.25</v>
      </c>
      <c r="G291" s="13">
        <f t="shared" si="87"/>
        <v>0</v>
      </c>
      <c r="H291" s="14">
        <v>1335</v>
      </c>
      <c r="I291" s="15">
        <v>244.55</v>
      </c>
      <c r="J291" s="13">
        <v>244.55</v>
      </c>
      <c r="K291" s="13">
        <v>0</v>
      </c>
      <c r="L291" s="13">
        <v>1131</v>
      </c>
      <c r="Q291" s="5">
        <f>SUMIFS(Coin!E:E,Coin!C:C,B291,Coin!D:D,A291)</f>
        <v>0</v>
      </c>
    </row>
    <row r="292" spans="1:21" hidden="1" x14ac:dyDescent="0.25">
      <c r="A292" s="1">
        <f t="shared" si="88"/>
        <v>42867</v>
      </c>
      <c r="B292">
        <v>103</v>
      </c>
      <c r="C292">
        <v>1124.7</v>
      </c>
      <c r="E292" s="13">
        <f t="shared" si="89"/>
        <v>1169.7</v>
      </c>
      <c r="F292" s="13">
        <v>1169.7</v>
      </c>
      <c r="G292" s="13">
        <f t="shared" si="87"/>
        <v>0</v>
      </c>
      <c r="H292" s="14">
        <v>1320</v>
      </c>
      <c r="I292" s="15">
        <v>610.54999999999995</v>
      </c>
      <c r="J292" s="13">
        <v>610.54999999999995</v>
      </c>
      <c r="K292" s="13">
        <v>0</v>
      </c>
      <c r="L292" s="13">
        <v>1133</v>
      </c>
      <c r="Q292" s="5">
        <f>SUMIFS(Coin!E:E,Coin!C:C,B292,Coin!D:D,A292)</f>
        <v>0</v>
      </c>
      <c r="U292" s="21">
        <v>45</v>
      </c>
    </row>
    <row r="293" spans="1:21" hidden="1" x14ac:dyDescent="0.25">
      <c r="A293" s="1">
        <f t="shared" si="88"/>
        <v>42867</v>
      </c>
      <c r="B293">
        <v>201</v>
      </c>
      <c r="C293">
        <v>774.55</v>
      </c>
      <c r="E293" s="13">
        <f t="shared" si="89"/>
        <v>774.55</v>
      </c>
      <c r="F293" s="13">
        <v>774.55</v>
      </c>
      <c r="G293" s="13">
        <f>E293-F293</f>
        <v>0</v>
      </c>
      <c r="H293" s="14">
        <v>1363</v>
      </c>
      <c r="I293" s="15">
        <v>536.54999999999995</v>
      </c>
      <c r="J293" s="13">
        <v>536.54999999999995</v>
      </c>
      <c r="K293" s="13">
        <v>0</v>
      </c>
      <c r="L293" s="13">
        <v>1140</v>
      </c>
      <c r="Q293" s="5">
        <f>SUMIFS(Coin!E:E,Coin!C:C,B293,Coin!D:D,A293)</f>
        <v>0</v>
      </c>
    </row>
    <row r="294" spans="1:21" hidden="1" x14ac:dyDescent="0.25">
      <c r="A294" s="1">
        <f t="shared" ref="A294:A300" si="90">DATE(2017,5,13)</f>
        <v>42868</v>
      </c>
      <c r="B294">
        <v>35</v>
      </c>
      <c r="C294">
        <v>1212.45</v>
      </c>
      <c r="E294" s="13">
        <f t="shared" si="89"/>
        <v>1200</v>
      </c>
      <c r="F294" s="13">
        <v>1200</v>
      </c>
      <c r="G294" s="13">
        <f t="shared" ref="G294:G299" si="91">E294-F294</f>
        <v>0</v>
      </c>
      <c r="H294" s="14">
        <v>1319</v>
      </c>
      <c r="I294" s="15">
        <v>931.88</v>
      </c>
      <c r="J294" s="13">
        <v>931.88</v>
      </c>
      <c r="K294" s="13">
        <v>0</v>
      </c>
      <c r="L294" s="13">
        <v>1130</v>
      </c>
      <c r="Q294" s="15">
        <v>12.45</v>
      </c>
      <c r="R294" s="13">
        <v>12.45</v>
      </c>
      <c r="S294" s="13">
        <v>0</v>
      </c>
      <c r="T294" s="19">
        <v>1325</v>
      </c>
    </row>
    <row r="295" spans="1:21" hidden="1" x14ac:dyDescent="0.25">
      <c r="A295" s="1">
        <f t="shared" si="90"/>
        <v>42868</v>
      </c>
      <c r="B295">
        <v>37</v>
      </c>
      <c r="C295">
        <v>434.8</v>
      </c>
      <c r="E295" s="13">
        <f t="shared" si="89"/>
        <v>434.8</v>
      </c>
      <c r="F295" s="13">
        <v>434.8</v>
      </c>
      <c r="G295" s="13">
        <f t="shared" si="91"/>
        <v>0</v>
      </c>
      <c r="H295" s="14">
        <v>1327</v>
      </c>
      <c r="I295" s="15">
        <v>759.33</v>
      </c>
      <c r="J295" s="13">
        <v>759.33</v>
      </c>
      <c r="K295" s="13">
        <v>0</v>
      </c>
      <c r="L295" s="13">
        <v>1138</v>
      </c>
      <c r="Q295" s="5">
        <f>SUMIFS(Coin!E:E,Coin!C:C,B295,Coin!D:D,A295)</f>
        <v>0</v>
      </c>
    </row>
    <row r="296" spans="1:21" hidden="1" x14ac:dyDescent="0.25">
      <c r="A296" s="1">
        <f t="shared" si="90"/>
        <v>42868</v>
      </c>
      <c r="B296">
        <v>41</v>
      </c>
      <c r="C296">
        <v>396.5</v>
      </c>
      <c r="E296" s="13">
        <f t="shared" si="89"/>
        <v>396.5</v>
      </c>
      <c r="F296" s="13">
        <v>396.5</v>
      </c>
      <c r="G296" s="13">
        <f t="shared" si="91"/>
        <v>0</v>
      </c>
      <c r="H296" s="14">
        <v>1344</v>
      </c>
      <c r="I296" s="15">
        <v>810</v>
      </c>
      <c r="J296" s="13">
        <v>810</v>
      </c>
      <c r="K296" s="13">
        <v>0</v>
      </c>
      <c r="L296" s="13">
        <v>1129</v>
      </c>
      <c r="Q296" s="5">
        <f>SUMIFS(Coin!E:E,Coin!C:C,B296,Coin!D:D,A296)</f>
        <v>0</v>
      </c>
    </row>
    <row r="297" spans="1:21" hidden="1" x14ac:dyDescent="0.25">
      <c r="A297" s="1">
        <f t="shared" si="90"/>
        <v>42868</v>
      </c>
      <c r="B297">
        <v>43</v>
      </c>
      <c r="C297">
        <v>1003.9</v>
      </c>
      <c r="E297" s="13">
        <f t="shared" si="89"/>
        <v>1003.9</v>
      </c>
      <c r="F297" s="13">
        <v>1003.9</v>
      </c>
      <c r="G297" s="13">
        <f t="shared" si="91"/>
        <v>0</v>
      </c>
      <c r="H297" s="14">
        <v>1332</v>
      </c>
      <c r="I297" s="15">
        <v>1198.73</v>
      </c>
      <c r="J297" s="13">
        <v>1198.73</v>
      </c>
      <c r="K297" s="13">
        <v>0</v>
      </c>
      <c r="L297" s="13">
        <v>1128</v>
      </c>
      <c r="Q297" s="5">
        <f>SUMIFS(Coin!E:E,Coin!C:C,B297,Coin!D:D,A297)</f>
        <v>0</v>
      </c>
    </row>
    <row r="298" spans="1:21" hidden="1" x14ac:dyDescent="0.25">
      <c r="A298" s="1">
        <f t="shared" si="90"/>
        <v>42868</v>
      </c>
      <c r="B298">
        <v>44</v>
      </c>
      <c r="C298">
        <v>223.55</v>
      </c>
      <c r="E298" s="13">
        <f t="shared" si="89"/>
        <v>223.55</v>
      </c>
      <c r="F298" s="13">
        <v>223.55</v>
      </c>
      <c r="G298" s="13">
        <f t="shared" si="91"/>
        <v>0</v>
      </c>
      <c r="H298" s="14">
        <v>1334</v>
      </c>
      <c r="I298" s="15">
        <v>449.5</v>
      </c>
      <c r="J298" s="13">
        <v>449.5</v>
      </c>
      <c r="K298" s="13">
        <v>0</v>
      </c>
      <c r="L298" s="13">
        <v>1127</v>
      </c>
      <c r="Q298" s="5">
        <f>SUMIFS(Coin!E:E,Coin!C:C,B298,Coin!D:D,A298)</f>
        <v>0</v>
      </c>
    </row>
    <row r="299" spans="1:21" hidden="1" x14ac:dyDescent="0.25">
      <c r="A299" s="1">
        <f t="shared" si="90"/>
        <v>42868</v>
      </c>
      <c r="B299">
        <v>103</v>
      </c>
      <c r="C299">
        <v>962.6</v>
      </c>
      <c r="E299" s="13">
        <f t="shared" si="89"/>
        <v>958.30000000000007</v>
      </c>
      <c r="F299" s="13">
        <v>958.3</v>
      </c>
      <c r="G299" s="13">
        <f t="shared" si="91"/>
        <v>0</v>
      </c>
      <c r="H299" s="14">
        <v>1337</v>
      </c>
      <c r="I299" s="15">
        <v>1358.39</v>
      </c>
      <c r="J299" s="13">
        <v>1358.39</v>
      </c>
      <c r="K299" s="13">
        <v>0</v>
      </c>
      <c r="L299" s="13">
        <v>1126</v>
      </c>
      <c r="Q299" s="15">
        <v>4</v>
      </c>
      <c r="R299" s="13">
        <v>4</v>
      </c>
      <c r="S299" s="13">
        <v>0</v>
      </c>
      <c r="T299" s="19">
        <v>1349</v>
      </c>
      <c r="U299" s="21">
        <v>-0.3</v>
      </c>
    </row>
    <row r="300" spans="1:21" hidden="1" x14ac:dyDescent="0.25">
      <c r="A300" s="1">
        <f t="shared" si="90"/>
        <v>42868</v>
      </c>
      <c r="B300">
        <v>201</v>
      </c>
      <c r="C300">
        <v>501.45</v>
      </c>
      <c r="E300" s="13">
        <f t="shared" si="89"/>
        <v>501.45</v>
      </c>
      <c r="F300" s="13">
        <v>501.45</v>
      </c>
      <c r="G300" s="13">
        <f>E300-F300</f>
        <v>0</v>
      </c>
      <c r="H300" s="14">
        <v>1362</v>
      </c>
      <c r="I300" s="15">
        <v>806.38</v>
      </c>
      <c r="J300" s="13">
        <v>806.38</v>
      </c>
      <c r="K300" s="13">
        <v>0</v>
      </c>
      <c r="L300" s="13">
        <v>1139</v>
      </c>
      <c r="Q300" s="5">
        <f>SUMIFS(Coin!E:E,Coin!C:C,B300,Coin!D:D,A300)</f>
        <v>0</v>
      </c>
    </row>
    <row r="301" spans="1:21" hidden="1" x14ac:dyDescent="0.25">
      <c r="A301" s="1">
        <f t="shared" ref="A301:A307" si="92">DATE(2017,5,14)</f>
        <v>42869</v>
      </c>
      <c r="B301">
        <v>35</v>
      </c>
      <c r="C301">
        <v>462.45</v>
      </c>
      <c r="E301" s="13">
        <f t="shared" si="89"/>
        <v>460</v>
      </c>
      <c r="F301" s="13">
        <v>460</v>
      </c>
      <c r="G301" s="13">
        <f t="shared" ref="G301:G306" si="93">E301-F301</f>
        <v>0</v>
      </c>
      <c r="H301" s="14">
        <v>1312</v>
      </c>
      <c r="I301" s="15">
        <v>684.23</v>
      </c>
      <c r="J301" s="13">
        <v>684.23</v>
      </c>
      <c r="K301" s="13">
        <v>0</v>
      </c>
      <c r="L301" s="13">
        <v>1123</v>
      </c>
      <c r="Q301" s="15">
        <v>2.4500000000000002</v>
      </c>
      <c r="R301" s="13">
        <v>2.4500000000000002</v>
      </c>
      <c r="S301" s="13">
        <v>0</v>
      </c>
      <c r="T301" s="19">
        <v>1326</v>
      </c>
    </row>
    <row r="302" spans="1:21" hidden="1" x14ac:dyDescent="0.25">
      <c r="A302" s="1">
        <f t="shared" si="92"/>
        <v>42869</v>
      </c>
      <c r="B302">
        <v>37</v>
      </c>
      <c r="C302">
        <v>194.9</v>
      </c>
      <c r="E302" s="13">
        <f t="shared" si="89"/>
        <v>194.9</v>
      </c>
      <c r="F302" s="13">
        <v>194.9</v>
      </c>
      <c r="G302" s="13">
        <f t="shared" si="93"/>
        <v>0</v>
      </c>
      <c r="H302" s="14">
        <v>1329</v>
      </c>
      <c r="I302" s="15">
        <v>329.5</v>
      </c>
      <c r="J302" s="13">
        <v>329.5</v>
      </c>
      <c r="K302" s="13">
        <v>0</v>
      </c>
      <c r="L302" s="13">
        <v>1137</v>
      </c>
      <c r="Q302" s="5">
        <f>SUMIFS(Coin!E:E,Coin!C:C,B302,Coin!D:D,A302)</f>
        <v>0</v>
      </c>
    </row>
    <row r="303" spans="1:21" hidden="1" x14ac:dyDescent="0.25">
      <c r="A303" s="1">
        <f t="shared" si="92"/>
        <v>42869</v>
      </c>
      <c r="B303">
        <v>41</v>
      </c>
      <c r="C303">
        <v>134.75</v>
      </c>
      <c r="E303" s="13">
        <f t="shared" si="89"/>
        <v>134.75</v>
      </c>
      <c r="F303" s="13">
        <v>134.75</v>
      </c>
      <c r="G303" s="13">
        <f t="shared" si="93"/>
        <v>0</v>
      </c>
      <c r="H303" s="14">
        <v>1342</v>
      </c>
      <c r="I303" s="15">
        <v>490.53</v>
      </c>
      <c r="J303" s="13">
        <v>490.53</v>
      </c>
      <c r="K303" s="13">
        <v>0</v>
      </c>
      <c r="L303" s="13">
        <v>1125</v>
      </c>
      <c r="Q303" s="5">
        <f>SUMIFS(Coin!E:E,Coin!C:C,B303,Coin!D:D,A303)</f>
        <v>0</v>
      </c>
    </row>
    <row r="304" spans="1:21" hidden="1" x14ac:dyDescent="0.25">
      <c r="A304" s="1">
        <f t="shared" si="92"/>
        <v>42869</v>
      </c>
      <c r="B304">
        <v>43</v>
      </c>
      <c r="C304">
        <v>1099.55</v>
      </c>
      <c r="E304" s="13">
        <f t="shared" si="89"/>
        <v>1099.55</v>
      </c>
      <c r="F304" s="13">
        <v>1099.55</v>
      </c>
      <c r="G304" s="13">
        <f t="shared" si="93"/>
        <v>0</v>
      </c>
      <c r="H304" s="14">
        <v>1331</v>
      </c>
      <c r="I304" s="15">
        <v>324.85000000000002</v>
      </c>
      <c r="J304" s="13">
        <v>324.85000000000002</v>
      </c>
      <c r="K304" s="13">
        <v>0</v>
      </c>
      <c r="L304" s="13">
        <v>1122</v>
      </c>
      <c r="Q304" s="5">
        <f>SUMIFS(Coin!E:E,Coin!C:C,B304,Coin!D:D,A304)</f>
        <v>0</v>
      </c>
    </row>
    <row r="305" spans="1:21" hidden="1" x14ac:dyDescent="0.25">
      <c r="A305" s="1">
        <f t="shared" si="92"/>
        <v>42869</v>
      </c>
      <c r="B305">
        <v>44</v>
      </c>
      <c r="C305">
        <v>232.85</v>
      </c>
      <c r="E305" s="13">
        <f t="shared" si="89"/>
        <v>232.85</v>
      </c>
      <c r="F305" s="13">
        <v>232.85</v>
      </c>
      <c r="G305" s="13">
        <f t="shared" si="93"/>
        <v>0</v>
      </c>
      <c r="H305" s="14">
        <v>1333</v>
      </c>
      <c r="I305" s="15">
        <v>836.75</v>
      </c>
      <c r="J305" s="13">
        <v>836.75</v>
      </c>
      <c r="K305" s="13">
        <v>0</v>
      </c>
      <c r="L305" s="13">
        <v>1124</v>
      </c>
      <c r="Q305" s="5">
        <f>SUMIFS(Coin!E:E,Coin!C:C,B305,Coin!D:D,A305)</f>
        <v>0</v>
      </c>
    </row>
    <row r="306" spans="1:21" hidden="1" x14ac:dyDescent="0.25">
      <c r="A306" s="1">
        <f t="shared" si="92"/>
        <v>42869</v>
      </c>
      <c r="B306">
        <v>103</v>
      </c>
      <c r="C306">
        <v>600.29999999999995</v>
      </c>
      <c r="E306" s="13">
        <f t="shared" si="89"/>
        <v>601.79999999999995</v>
      </c>
      <c r="F306" s="13">
        <v>601.79999999999995</v>
      </c>
      <c r="G306" s="13">
        <f t="shared" si="93"/>
        <v>0</v>
      </c>
      <c r="H306" s="14">
        <v>1336</v>
      </c>
      <c r="I306" s="15">
        <v>812.98</v>
      </c>
      <c r="J306" s="13">
        <v>812.98</v>
      </c>
      <c r="K306" s="13">
        <v>0</v>
      </c>
      <c r="L306" s="13">
        <v>1121</v>
      </c>
      <c r="Q306" s="5">
        <f>SUMIFS(Coin!E:E,Coin!C:C,B306,Coin!D:D,A306)</f>
        <v>0</v>
      </c>
      <c r="U306" s="21">
        <v>1.5</v>
      </c>
    </row>
    <row r="307" spans="1:21" hidden="1" x14ac:dyDescent="0.25">
      <c r="A307" s="1">
        <f t="shared" si="92"/>
        <v>42869</v>
      </c>
      <c r="B307">
        <v>201</v>
      </c>
      <c r="C307">
        <v>360</v>
      </c>
      <c r="E307" s="13">
        <f t="shared" si="89"/>
        <v>360</v>
      </c>
      <c r="F307" s="13">
        <v>360</v>
      </c>
      <c r="G307" s="13">
        <f>E307-F307</f>
        <v>0</v>
      </c>
      <c r="H307" s="14">
        <v>1361</v>
      </c>
      <c r="I307" s="15">
        <v>65</v>
      </c>
      <c r="J307" s="13">
        <v>65</v>
      </c>
      <c r="K307" s="13">
        <v>0</v>
      </c>
      <c r="L307" s="13">
        <v>1136</v>
      </c>
      <c r="Q307" s="5">
        <f>SUMIFS(Coin!E:E,Coin!C:C,B307,Coin!D:D,A307)</f>
        <v>0</v>
      </c>
    </row>
    <row r="308" spans="1:21" hidden="1" x14ac:dyDescent="0.25">
      <c r="A308" s="1">
        <f t="shared" ref="A308:A314" si="94">DATE(2017,5,15)</f>
        <v>42870</v>
      </c>
      <c r="B308">
        <v>35</v>
      </c>
      <c r="C308">
        <v>447.35</v>
      </c>
      <c r="E308" s="13">
        <f t="shared" ref="E308:E314" si="95">C308+D308-Q308+U308</f>
        <v>445.00000000000006</v>
      </c>
      <c r="F308" s="13">
        <v>445</v>
      </c>
      <c r="G308" s="13">
        <f t="shared" ref="G308:G314" si="96">E308-F308</f>
        <v>0</v>
      </c>
      <c r="H308" s="14">
        <v>1322</v>
      </c>
      <c r="I308" s="15">
        <v>459.3</v>
      </c>
      <c r="J308" s="13">
        <v>459.3</v>
      </c>
      <c r="K308" s="13">
        <v>0</v>
      </c>
      <c r="L308" s="13">
        <v>1144</v>
      </c>
      <c r="Q308" s="15">
        <v>2.4500000000000002</v>
      </c>
      <c r="R308" s="13">
        <v>2.4500000000000002</v>
      </c>
      <c r="S308" s="13">
        <v>0</v>
      </c>
      <c r="T308" s="19">
        <v>1323</v>
      </c>
      <c r="U308" s="21">
        <v>0.1</v>
      </c>
    </row>
    <row r="309" spans="1:21" hidden="1" x14ac:dyDescent="0.25">
      <c r="A309" s="1">
        <f t="shared" si="94"/>
        <v>42870</v>
      </c>
      <c r="B309">
        <v>37</v>
      </c>
      <c r="C309">
        <v>309.8</v>
      </c>
      <c r="E309" s="13">
        <f t="shared" si="95"/>
        <v>299.25</v>
      </c>
      <c r="F309" s="13">
        <v>299.25</v>
      </c>
      <c r="G309" s="13">
        <f t="shared" si="96"/>
        <v>0</v>
      </c>
      <c r="H309" s="14">
        <v>1340</v>
      </c>
      <c r="I309" s="15">
        <v>449.55</v>
      </c>
      <c r="J309" s="13">
        <v>449.55</v>
      </c>
      <c r="K309" s="13">
        <v>0</v>
      </c>
      <c r="L309" s="13">
        <v>1148</v>
      </c>
      <c r="Q309" s="5">
        <v>10.55</v>
      </c>
    </row>
    <row r="310" spans="1:21" hidden="1" x14ac:dyDescent="0.25">
      <c r="A310" s="1">
        <f t="shared" si="94"/>
        <v>42870</v>
      </c>
      <c r="B310">
        <v>41</v>
      </c>
      <c r="C310">
        <v>252.75</v>
      </c>
      <c r="E310" s="13">
        <f t="shared" si="95"/>
        <v>252.75</v>
      </c>
      <c r="F310" s="13">
        <v>252.75</v>
      </c>
      <c r="G310" s="13">
        <f t="shared" si="96"/>
        <v>0</v>
      </c>
      <c r="H310" s="14">
        <v>1343</v>
      </c>
      <c r="I310" s="15">
        <v>179.88</v>
      </c>
      <c r="J310" s="13">
        <v>179.88</v>
      </c>
      <c r="K310" s="13">
        <v>0</v>
      </c>
      <c r="L310" s="13">
        <v>1143</v>
      </c>
      <c r="Q310" s="5">
        <f>SUMIFS(Coin!E:E,Coin!C:C,B310,Coin!D:D,A310)</f>
        <v>0</v>
      </c>
    </row>
    <row r="311" spans="1:21" hidden="1" x14ac:dyDescent="0.25">
      <c r="A311" s="1">
        <f t="shared" si="94"/>
        <v>42870</v>
      </c>
      <c r="B311">
        <v>43</v>
      </c>
      <c r="C311">
        <v>844.2</v>
      </c>
      <c r="E311" s="13">
        <f t="shared" si="95"/>
        <v>844.2</v>
      </c>
      <c r="F311" s="13">
        <v>844.2</v>
      </c>
      <c r="G311" s="13">
        <f t="shared" si="96"/>
        <v>0</v>
      </c>
      <c r="H311" s="14">
        <v>1345</v>
      </c>
      <c r="I311" s="15">
        <v>159.69999999999999</v>
      </c>
      <c r="J311" s="13">
        <v>159.69999999999999</v>
      </c>
      <c r="K311" s="13">
        <v>0</v>
      </c>
      <c r="L311" s="13">
        <v>1145</v>
      </c>
      <c r="Q311" s="5">
        <f>SUMIFS(Coin!E:E,Coin!C:C,B311,Coin!D:D,A311)</f>
        <v>0</v>
      </c>
    </row>
    <row r="312" spans="1:21" hidden="1" x14ac:dyDescent="0.25">
      <c r="A312" s="1">
        <f t="shared" si="94"/>
        <v>42870</v>
      </c>
      <c r="B312">
        <v>44</v>
      </c>
      <c r="C312">
        <v>496.3</v>
      </c>
      <c r="E312" s="13">
        <f t="shared" si="95"/>
        <v>496.3</v>
      </c>
      <c r="F312" s="13">
        <v>496.3</v>
      </c>
      <c r="G312" s="13">
        <f t="shared" si="96"/>
        <v>0</v>
      </c>
      <c r="H312" s="14">
        <v>1346</v>
      </c>
      <c r="I312" s="15">
        <v>353.58</v>
      </c>
      <c r="J312" s="13">
        <v>353.58</v>
      </c>
      <c r="K312" s="13">
        <v>0</v>
      </c>
      <c r="L312" s="13">
        <v>1146</v>
      </c>
      <c r="Q312" s="5">
        <f>SUMIFS(Coin!E:E,Coin!C:C,B312,Coin!D:D,A312)</f>
        <v>0</v>
      </c>
    </row>
    <row r="313" spans="1:21" hidden="1" x14ac:dyDescent="0.25">
      <c r="A313" s="1">
        <f t="shared" si="94"/>
        <v>42870</v>
      </c>
      <c r="B313">
        <v>103</v>
      </c>
      <c r="C313">
        <v>841.25</v>
      </c>
      <c r="E313" s="13">
        <f t="shared" si="95"/>
        <v>840</v>
      </c>
      <c r="F313" s="13">
        <v>840</v>
      </c>
      <c r="G313" s="13">
        <f t="shared" si="96"/>
        <v>0</v>
      </c>
      <c r="H313" s="14">
        <v>1338</v>
      </c>
      <c r="I313" s="15">
        <v>457.8</v>
      </c>
      <c r="J313" s="13">
        <v>457.8</v>
      </c>
      <c r="K313" s="13">
        <v>0</v>
      </c>
      <c r="L313" s="13">
        <v>1142</v>
      </c>
      <c r="Q313" s="15">
        <v>1.25</v>
      </c>
      <c r="R313" s="13">
        <v>1.25</v>
      </c>
      <c r="S313" s="13">
        <v>0</v>
      </c>
      <c r="T313" s="19">
        <v>1350</v>
      </c>
    </row>
    <row r="314" spans="1:21" hidden="1" x14ac:dyDescent="0.25">
      <c r="A314" s="1">
        <f t="shared" si="94"/>
        <v>42870</v>
      </c>
      <c r="B314">
        <v>201</v>
      </c>
      <c r="C314">
        <v>257.89999999999998</v>
      </c>
      <c r="E314" s="13">
        <f t="shared" si="95"/>
        <v>257.89999999999998</v>
      </c>
      <c r="F314" s="13">
        <v>257.89999999999998</v>
      </c>
      <c r="G314" s="13">
        <f t="shared" si="96"/>
        <v>0</v>
      </c>
      <c r="H314" s="14">
        <v>1348</v>
      </c>
      <c r="I314" s="15">
        <v>205</v>
      </c>
      <c r="J314" s="13">
        <v>205</v>
      </c>
      <c r="K314" s="13">
        <v>0</v>
      </c>
      <c r="L314" s="13">
        <v>1147</v>
      </c>
      <c r="M314" s="15">
        <v>30</v>
      </c>
      <c r="N314" s="13">
        <v>30</v>
      </c>
      <c r="O314" s="13">
        <v>0</v>
      </c>
      <c r="P314" s="13">
        <v>43</v>
      </c>
      <c r="Q314" s="5">
        <f>SUMIFS(Coin!E:E,Coin!C:C,B314,Coin!D:D,A314)</f>
        <v>0</v>
      </c>
    </row>
    <row r="315" spans="1:21" hidden="1" x14ac:dyDescent="0.25">
      <c r="A315" s="1">
        <f t="shared" ref="A315:A321" si="97">DATE(2017,5,16)</f>
        <v>42871</v>
      </c>
      <c r="B315">
        <v>35</v>
      </c>
      <c r="C315">
        <v>713.05</v>
      </c>
      <c r="E315" s="13">
        <f t="shared" ref="E315:E321" si="98">C315+D315-Q315+U315</f>
        <v>713.05</v>
      </c>
      <c r="F315" s="13">
        <v>713.05</v>
      </c>
      <c r="G315" s="13">
        <f t="shared" ref="G315:G322" si="99">E315-F315</f>
        <v>0</v>
      </c>
      <c r="H315" s="14">
        <v>1353</v>
      </c>
      <c r="I315" s="15">
        <v>394.3</v>
      </c>
      <c r="J315" s="13">
        <v>394.3</v>
      </c>
      <c r="K315" s="13">
        <v>0</v>
      </c>
      <c r="L315" s="13">
        <v>1149</v>
      </c>
      <c r="Q315" s="5">
        <f>SUMIFS(Coin!E:E,Coin!C:C,B315,Coin!D:D,A315)</f>
        <v>0</v>
      </c>
    </row>
    <row r="316" spans="1:21" hidden="1" x14ac:dyDescent="0.25">
      <c r="A316" s="1">
        <f t="shared" si="97"/>
        <v>42871</v>
      </c>
      <c r="B316">
        <v>37</v>
      </c>
      <c r="C316">
        <v>344.5</v>
      </c>
      <c r="E316" s="13">
        <f t="shared" si="98"/>
        <v>344.5</v>
      </c>
      <c r="F316" s="13">
        <v>344.5</v>
      </c>
      <c r="G316" s="13">
        <f t="shared" si="99"/>
        <v>0</v>
      </c>
      <c r="H316" s="14">
        <v>1354</v>
      </c>
      <c r="I316" s="15">
        <v>304.45</v>
      </c>
      <c r="J316" s="13">
        <v>304.45</v>
      </c>
      <c r="K316" s="13">
        <v>0</v>
      </c>
      <c r="L316" s="13">
        <v>1154</v>
      </c>
      <c r="Q316" s="5">
        <f>SUMIFS(Coin!E:E,Coin!C:C,B316,Coin!D:D,A316)</f>
        <v>0</v>
      </c>
    </row>
    <row r="317" spans="1:21" hidden="1" x14ac:dyDescent="0.25">
      <c r="A317" s="1">
        <f t="shared" si="97"/>
        <v>42871</v>
      </c>
      <c r="B317">
        <v>41</v>
      </c>
      <c r="C317">
        <v>492.4</v>
      </c>
      <c r="E317" s="13">
        <f t="shared" si="98"/>
        <v>492.4</v>
      </c>
      <c r="F317" s="13">
        <v>492.4</v>
      </c>
      <c r="G317" s="13">
        <f t="shared" si="99"/>
        <v>0</v>
      </c>
      <c r="H317" s="14">
        <v>1355</v>
      </c>
      <c r="I317" s="15">
        <v>393.45</v>
      </c>
      <c r="J317" s="13">
        <v>393.45</v>
      </c>
      <c r="K317" s="13">
        <v>0</v>
      </c>
      <c r="L317" s="13">
        <v>1152</v>
      </c>
      <c r="Q317" s="5">
        <f>SUMIFS(Coin!E:E,Coin!C:C,B317,Coin!D:D,A317)</f>
        <v>0</v>
      </c>
    </row>
    <row r="318" spans="1:21" hidden="1" x14ac:dyDescent="0.25">
      <c r="A318" s="1">
        <f t="shared" si="97"/>
        <v>42871</v>
      </c>
      <c r="B318">
        <v>43</v>
      </c>
      <c r="C318">
        <v>997.15</v>
      </c>
      <c r="E318" s="13">
        <f t="shared" si="98"/>
        <v>997</v>
      </c>
      <c r="F318" s="13">
        <v>997</v>
      </c>
      <c r="G318" s="13">
        <f t="shared" si="99"/>
        <v>0</v>
      </c>
      <c r="H318" s="14">
        <v>1356</v>
      </c>
      <c r="I318" s="15">
        <v>429.35</v>
      </c>
      <c r="J318" s="13">
        <v>429.35</v>
      </c>
      <c r="K318" s="13">
        <v>0</v>
      </c>
      <c r="L318" s="13">
        <v>1150</v>
      </c>
      <c r="Q318" s="5">
        <v>0.15</v>
      </c>
    </row>
    <row r="319" spans="1:21" hidden="1" x14ac:dyDescent="0.25">
      <c r="A319" s="1">
        <f t="shared" si="97"/>
        <v>42871</v>
      </c>
      <c r="B319">
        <v>44</v>
      </c>
      <c r="C319">
        <v>251.5</v>
      </c>
      <c r="E319" s="13">
        <f t="shared" si="98"/>
        <v>251.5</v>
      </c>
      <c r="F319" s="13">
        <v>251.5</v>
      </c>
      <c r="G319" s="13">
        <f t="shared" si="99"/>
        <v>0</v>
      </c>
      <c r="H319" s="14">
        <v>1357</v>
      </c>
      <c r="I319" s="15">
        <v>586</v>
      </c>
      <c r="J319" s="13">
        <v>586</v>
      </c>
      <c r="K319" s="13">
        <v>0</v>
      </c>
      <c r="L319" s="13">
        <v>1151</v>
      </c>
      <c r="Q319" s="5">
        <f>SUMIFS(Coin!E:E,Coin!C:C,B319,Coin!D:D,A319)</f>
        <v>0</v>
      </c>
    </row>
    <row r="320" spans="1:21" hidden="1" x14ac:dyDescent="0.25">
      <c r="A320" s="1">
        <f t="shared" si="97"/>
        <v>42871</v>
      </c>
      <c r="B320">
        <v>103</v>
      </c>
      <c r="C320">
        <v>646.35</v>
      </c>
      <c r="E320" s="13">
        <f t="shared" si="98"/>
        <v>646.35</v>
      </c>
      <c r="F320" s="13">
        <v>646.35</v>
      </c>
      <c r="G320" s="13">
        <f t="shared" si="99"/>
        <v>0</v>
      </c>
      <c r="H320" s="14">
        <v>1358</v>
      </c>
      <c r="I320" s="15">
        <v>520.75</v>
      </c>
      <c r="J320" s="13">
        <v>520.75</v>
      </c>
      <c r="K320" s="13">
        <v>0</v>
      </c>
      <c r="L320" s="13">
        <v>1153</v>
      </c>
      <c r="Q320" s="5">
        <f>SUMIFS(Coin!E:E,Coin!C:C,B320,Coin!D:D,A320)</f>
        <v>0</v>
      </c>
    </row>
    <row r="321" spans="1:21" hidden="1" x14ac:dyDescent="0.25">
      <c r="A321" s="1">
        <f t="shared" si="97"/>
        <v>42871</v>
      </c>
      <c r="B321">
        <v>201</v>
      </c>
      <c r="C321">
        <v>369.9</v>
      </c>
      <c r="E321" s="13">
        <f t="shared" si="98"/>
        <v>369.9</v>
      </c>
      <c r="F321" s="13">
        <v>369.9</v>
      </c>
      <c r="G321" s="13">
        <f t="shared" si="99"/>
        <v>0</v>
      </c>
      <c r="H321" s="14">
        <v>1359</v>
      </c>
      <c r="I321" s="15">
        <v>434.8</v>
      </c>
      <c r="J321" s="13">
        <v>434.8</v>
      </c>
      <c r="K321" s="13">
        <v>0</v>
      </c>
      <c r="L321" s="13">
        <v>1155</v>
      </c>
      <c r="Q321" s="5">
        <f>SUMIFS(Coin!E:E,Coin!C:C,B321,Coin!D:D,A321)</f>
        <v>0</v>
      </c>
    </row>
    <row r="322" spans="1:21" hidden="1" x14ac:dyDescent="0.25">
      <c r="A322" s="1">
        <f t="shared" ref="A322:A328" si="100">DATE(2017,5,17)</f>
        <v>42872</v>
      </c>
      <c r="B322">
        <v>35</v>
      </c>
      <c r="C322">
        <v>734.2</v>
      </c>
      <c r="E322" s="13">
        <f t="shared" ref="E322:E328" si="101">C322+D322-Q322+U322</f>
        <v>695</v>
      </c>
      <c r="F322" s="13">
        <v>695</v>
      </c>
      <c r="G322" s="13">
        <f t="shared" si="99"/>
        <v>0</v>
      </c>
      <c r="H322" s="14">
        <v>1352</v>
      </c>
      <c r="I322" s="15">
        <v>404.13</v>
      </c>
      <c r="J322" s="13">
        <v>404.13</v>
      </c>
      <c r="K322" s="13">
        <v>0</v>
      </c>
      <c r="L322" s="13">
        <v>1157</v>
      </c>
      <c r="Q322" s="15">
        <v>39.200000000000003</v>
      </c>
      <c r="R322" s="13">
        <v>39.200000000000003</v>
      </c>
      <c r="S322" s="13">
        <v>0</v>
      </c>
      <c r="T322" s="19">
        <v>1365</v>
      </c>
    </row>
    <row r="323" spans="1:21" hidden="1" x14ac:dyDescent="0.25">
      <c r="A323" s="1">
        <f t="shared" si="100"/>
        <v>42872</v>
      </c>
      <c r="B323">
        <v>37</v>
      </c>
      <c r="C323">
        <v>284.7</v>
      </c>
      <c r="E323" s="13">
        <f t="shared" si="101"/>
        <v>284.7</v>
      </c>
      <c r="F323" s="13">
        <v>284.7</v>
      </c>
      <c r="G323" s="13">
        <f t="shared" ref="G323:G332" si="102">E323-F323</f>
        <v>0</v>
      </c>
      <c r="H323" s="14">
        <v>1374</v>
      </c>
      <c r="I323" s="15">
        <v>659.18</v>
      </c>
      <c r="J323" s="13">
        <v>659.18</v>
      </c>
      <c r="K323" s="13">
        <v>0</v>
      </c>
      <c r="L323" s="13">
        <v>1161</v>
      </c>
      <c r="Q323" s="5">
        <f>SUMIFS(Coin!E:E,Coin!C:C,B323,Coin!D:D,A323)</f>
        <v>0</v>
      </c>
    </row>
    <row r="324" spans="1:21" hidden="1" x14ac:dyDescent="0.25">
      <c r="A324" s="1">
        <f t="shared" si="100"/>
        <v>42872</v>
      </c>
      <c r="B324">
        <v>41</v>
      </c>
      <c r="C324">
        <v>210.55</v>
      </c>
      <c r="D324">
        <v>-1</v>
      </c>
      <c r="E324" s="13">
        <f t="shared" si="101"/>
        <v>210.55</v>
      </c>
      <c r="F324" s="13">
        <v>210.55</v>
      </c>
      <c r="G324" s="13">
        <f t="shared" si="102"/>
        <v>0</v>
      </c>
      <c r="H324" s="14">
        <v>1376</v>
      </c>
      <c r="I324" s="15">
        <v>565.1</v>
      </c>
      <c r="J324" s="13">
        <v>565.1</v>
      </c>
      <c r="K324" s="13">
        <v>0</v>
      </c>
      <c r="L324" s="13">
        <v>1160</v>
      </c>
      <c r="Q324" s="5">
        <f>SUMIFS(Coin!E:E,Coin!C:C,B324,Coin!D:D,A324)</f>
        <v>0</v>
      </c>
      <c r="U324" s="21">
        <v>1</v>
      </c>
    </row>
    <row r="325" spans="1:21" hidden="1" x14ac:dyDescent="0.25">
      <c r="A325" s="1">
        <f t="shared" si="100"/>
        <v>42872</v>
      </c>
      <c r="B325">
        <v>43</v>
      </c>
      <c r="C325">
        <v>687.2</v>
      </c>
      <c r="E325" s="13">
        <f t="shared" si="101"/>
        <v>687.2</v>
      </c>
      <c r="F325" s="13">
        <v>687.2</v>
      </c>
      <c r="G325" s="13">
        <f t="shared" si="102"/>
        <v>0</v>
      </c>
      <c r="H325" s="14">
        <v>1366</v>
      </c>
      <c r="I325" s="15">
        <v>344.55</v>
      </c>
      <c r="J325" s="13">
        <v>344.55</v>
      </c>
      <c r="K325" s="13">
        <v>0</v>
      </c>
      <c r="L325" s="13">
        <v>1158</v>
      </c>
      <c r="Q325" s="5">
        <f>SUMIFS(Coin!E:E,Coin!C:C,B325,Coin!D:D,A325)</f>
        <v>0</v>
      </c>
    </row>
    <row r="326" spans="1:21" hidden="1" x14ac:dyDescent="0.25">
      <c r="A326" s="1">
        <f t="shared" si="100"/>
        <v>42872</v>
      </c>
      <c r="B326">
        <v>44</v>
      </c>
      <c r="C326">
        <v>529.35</v>
      </c>
      <c r="D326">
        <v>-11.5</v>
      </c>
      <c r="E326" s="13">
        <f t="shared" si="101"/>
        <v>517</v>
      </c>
      <c r="F326" s="13">
        <v>517</v>
      </c>
      <c r="G326" s="13">
        <f t="shared" si="102"/>
        <v>0</v>
      </c>
      <c r="H326" s="14">
        <v>1367</v>
      </c>
      <c r="I326" s="15">
        <v>189.85</v>
      </c>
      <c r="J326" s="13">
        <v>189.85</v>
      </c>
      <c r="K326" s="13">
        <v>0</v>
      </c>
      <c r="L326" s="13">
        <v>1159</v>
      </c>
      <c r="Q326" s="5">
        <v>0.85</v>
      </c>
    </row>
    <row r="327" spans="1:21" hidden="1" x14ac:dyDescent="0.25">
      <c r="A327" s="1">
        <f t="shared" si="100"/>
        <v>42872</v>
      </c>
      <c r="B327">
        <v>103</v>
      </c>
      <c r="C327">
        <v>1020.05</v>
      </c>
      <c r="E327" s="13">
        <f t="shared" si="101"/>
        <v>1020.05</v>
      </c>
      <c r="F327" s="13">
        <v>1020.05</v>
      </c>
      <c r="G327" s="13">
        <f t="shared" si="102"/>
        <v>0</v>
      </c>
      <c r="H327" s="14">
        <v>1368</v>
      </c>
      <c r="I327" s="15">
        <v>413.45</v>
      </c>
      <c r="J327" s="13">
        <v>413.45</v>
      </c>
      <c r="K327" s="13">
        <v>0</v>
      </c>
      <c r="L327" s="13">
        <v>1156</v>
      </c>
      <c r="Q327" s="5">
        <f>SUMIFS(Coin!E:E,Coin!C:C,B327,Coin!D:D,A327)</f>
        <v>0</v>
      </c>
    </row>
    <row r="328" spans="1:21" hidden="1" x14ac:dyDescent="0.25">
      <c r="A328" s="1">
        <f t="shared" si="100"/>
        <v>42872</v>
      </c>
      <c r="B328">
        <v>201</v>
      </c>
      <c r="C328">
        <v>424.8</v>
      </c>
      <c r="E328" s="13">
        <f t="shared" si="101"/>
        <v>424.8</v>
      </c>
      <c r="F328" s="13">
        <v>424.8</v>
      </c>
      <c r="G328" s="13">
        <f t="shared" si="102"/>
        <v>0</v>
      </c>
      <c r="H328" s="14">
        <v>1369</v>
      </c>
      <c r="I328" s="15">
        <v>259.89999999999998</v>
      </c>
      <c r="J328" s="13">
        <v>259.89999999999998</v>
      </c>
      <c r="K328" s="13">
        <v>0</v>
      </c>
      <c r="L328" s="13">
        <v>1162</v>
      </c>
      <c r="Q328" s="5">
        <f>SUMIFS(Coin!E:E,Coin!C:C,B328,Coin!D:D,A328)</f>
        <v>0</v>
      </c>
    </row>
    <row r="329" spans="1:21" hidden="1" x14ac:dyDescent="0.25">
      <c r="A329" s="1">
        <f t="shared" ref="A329:A335" si="103">DATE(2017,5,18)</f>
        <v>42873</v>
      </c>
      <c r="B329">
        <v>35</v>
      </c>
      <c r="C329">
        <v>875.3</v>
      </c>
      <c r="E329" s="13">
        <f t="shared" ref="E329:E335" si="104">C329+D329-Q329+U329</f>
        <v>860</v>
      </c>
      <c r="F329" s="13">
        <v>860</v>
      </c>
      <c r="G329" s="13">
        <f t="shared" si="102"/>
        <v>0</v>
      </c>
      <c r="H329" s="14">
        <v>1364</v>
      </c>
      <c r="I329" s="15">
        <v>814.5</v>
      </c>
      <c r="J329" s="13">
        <v>814.5</v>
      </c>
      <c r="K329" s="13">
        <v>0</v>
      </c>
      <c r="L329" s="13">
        <v>1164</v>
      </c>
      <c r="Q329" s="15">
        <v>15.3</v>
      </c>
      <c r="R329" s="13">
        <v>15.3</v>
      </c>
      <c r="S329" s="13">
        <v>0</v>
      </c>
      <c r="T329" s="19">
        <v>1372</v>
      </c>
    </row>
    <row r="330" spans="1:21" hidden="1" x14ac:dyDescent="0.25">
      <c r="A330" s="1">
        <f t="shared" si="103"/>
        <v>42873</v>
      </c>
      <c r="B330">
        <v>37</v>
      </c>
      <c r="C330">
        <v>429.75</v>
      </c>
      <c r="E330" s="13">
        <f t="shared" si="104"/>
        <v>429.75</v>
      </c>
      <c r="F330" s="13">
        <v>429.75</v>
      </c>
      <c r="G330" s="13">
        <f t="shared" si="102"/>
        <v>0</v>
      </c>
      <c r="H330" s="14">
        <v>1373</v>
      </c>
      <c r="I330" s="15">
        <v>964.23</v>
      </c>
      <c r="J330" s="13">
        <v>964.23</v>
      </c>
      <c r="K330" s="13">
        <v>0</v>
      </c>
      <c r="L330" s="13">
        <v>1167</v>
      </c>
      <c r="Q330" s="5">
        <f>SUMIFS(Coin!E:E,Coin!C:C,B330,Coin!D:D,A330)</f>
        <v>0</v>
      </c>
    </row>
    <row r="331" spans="1:21" hidden="1" x14ac:dyDescent="0.25">
      <c r="A331" s="1">
        <f t="shared" si="103"/>
        <v>42873</v>
      </c>
      <c r="B331">
        <v>41</v>
      </c>
      <c r="C331">
        <v>339.85</v>
      </c>
      <c r="E331" s="13">
        <f t="shared" si="104"/>
        <v>339.85</v>
      </c>
      <c r="F331" s="13">
        <v>339.85</v>
      </c>
      <c r="G331" s="13">
        <f t="shared" si="102"/>
        <v>0</v>
      </c>
      <c r="H331" s="14">
        <v>1375</v>
      </c>
      <c r="I331" s="15">
        <v>953</v>
      </c>
      <c r="J331" s="13">
        <v>953</v>
      </c>
      <c r="K331" s="13">
        <v>0</v>
      </c>
      <c r="L331" s="13">
        <v>1165</v>
      </c>
      <c r="Q331" s="5">
        <f>SUMIFS(Coin!E:E,Coin!C:C,B331,Coin!D:D,A331)</f>
        <v>0</v>
      </c>
    </row>
    <row r="332" spans="1:21" hidden="1" x14ac:dyDescent="0.25">
      <c r="A332" s="1">
        <f t="shared" si="103"/>
        <v>42873</v>
      </c>
      <c r="B332">
        <v>43</v>
      </c>
      <c r="C332">
        <v>1104.7</v>
      </c>
      <c r="E332" s="13">
        <f t="shared" si="104"/>
        <v>1104.7</v>
      </c>
      <c r="F332" s="13">
        <v>1104.7</v>
      </c>
      <c r="G332" s="13">
        <f t="shared" si="102"/>
        <v>0</v>
      </c>
      <c r="H332" s="14">
        <v>1377</v>
      </c>
      <c r="I332" s="15">
        <v>159.80000000000001</v>
      </c>
      <c r="J332" s="13">
        <v>159.80000000000001</v>
      </c>
      <c r="K332" s="13">
        <v>0</v>
      </c>
      <c r="L332" s="13">
        <v>1166</v>
      </c>
      <c r="Q332" s="5">
        <f>SUMIFS(Coin!E:E,Coin!C:C,B332,Coin!D:D,A332)</f>
        <v>0</v>
      </c>
    </row>
    <row r="333" spans="1:21" hidden="1" x14ac:dyDescent="0.25">
      <c r="A333" s="1">
        <f t="shared" si="103"/>
        <v>42873</v>
      </c>
      <c r="B333">
        <v>44</v>
      </c>
      <c r="C333">
        <v>455.1</v>
      </c>
      <c r="E333" s="13">
        <f t="shared" si="104"/>
        <v>455.1</v>
      </c>
      <c r="F333" s="13">
        <v>455.1</v>
      </c>
      <c r="G333" s="13">
        <f>E333-F333</f>
        <v>0</v>
      </c>
      <c r="H333" s="14">
        <v>1396</v>
      </c>
      <c r="I333" s="15">
        <v>418.5</v>
      </c>
      <c r="J333" s="13">
        <v>418.5</v>
      </c>
      <c r="K333" s="13">
        <v>0</v>
      </c>
      <c r="L333" s="13">
        <v>1190</v>
      </c>
      <c r="Q333" s="5">
        <f>SUMIFS(Coin!E:E,Coin!C:C,B333,Coin!D:D,A333)</f>
        <v>0</v>
      </c>
    </row>
    <row r="334" spans="1:21" hidden="1" x14ac:dyDescent="0.25">
      <c r="A334" s="1">
        <f t="shared" si="103"/>
        <v>42873</v>
      </c>
      <c r="B334">
        <v>103</v>
      </c>
      <c r="C334">
        <v>1704.95</v>
      </c>
      <c r="E334" s="13">
        <f t="shared" si="104"/>
        <v>1704.75</v>
      </c>
      <c r="F334" s="13">
        <v>1704.75</v>
      </c>
      <c r="G334" s="13">
        <f>E334-F334</f>
        <v>0</v>
      </c>
      <c r="H334" s="14">
        <v>1379</v>
      </c>
      <c r="I334" s="15">
        <v>1017.15</v>
      </c>
      <c r="J334" s="13">
        <v>1017.15</v>
      </c>
      <c r="K334" s="13">
        <v>0</v>
      </c>
      <c r="L334" s="13">
        <v>1163</v>
      </c>
      <c r="Q334" s="15">
        <v>0.2</v>
      </c>
      <c r="R334" s="13">
        <v>0.2</v>
      </c>
      <c r="S334" s="13">
        <v>0</v>
      </c>
      <c r="T334" s="19">
        <v>1378</v>
      </c>
    </row>
    <row r="335" spans="1:21" hidden="1" x14ac:dyDescent="0.25">
      <c r="A335" s="1">
        <f t="shared" si="103"/>
        <v>42873</v>
      </c>
      <c r="B335">
        <v>201</v>
      </c>
      <c r="C335">
        <v>687.5</v>
      </c>
      <c r="E335">
        <f t="shared" si="104"/>
        <v>687.5</v>
      </c>
      <c r="I335" s="15">
        <v>477.75</v>
      </c>
      <c r="J335" s="13">
        <v>477.75</v>
      </c>
      <c r="K335" s="13">
        <v>0</v>
      </c>
      <c r="L335" s="13">
        <v>1168</v>
      </c>
      <c r="Q335" s="5">
        <f>SUMIFS(Coin!E:E,Coin!C:C,B335,Coin!D:D,A335)</f>
        <v>0</v>
      </c>
    </row>
    <row r="336" spans="1:21" hidden="1" x14ac:dyDescent="0.25">
      <c r="A336" s="1">
        <f t="shared" ref="A336:A342" si="105">DATE(2017,5,19)</f>
        <v>42874</v>
      </c>
      <c r="B336">
        <v>35</v>
      </c>
      <c r="C336">
        <v>642.5</v>
      </c>
      <c r="E336" s="13">
        <f t="shared" ref="E336:E355" si="106">C336+D336-Q336+U336</f>
        <v>640</v>
      </c>
      <c r="F336" s="13">
        <v>640</v>
      </c>
      <c r="G336" s="13">
        <f t="shared" ref="G336:G356" si="107">E336-F336</f>
        <v>0</v>
      </c>
      <c r="H336" s="14">
        <v>1371</v>
      </c>
      <c r="I336" s="15">
        <v>585.55999999999995</v>
      </c>
      <c r="J336" s="13">
        <v>585.55999999999995</v>
      </c>
      <c r="K336" s="13">
        <v>0</v>
      </c>
      <c r="L336" s="13">
        <v>1180</v>
      </c>
      <c r="Q336" s="15">
        <v>2.5</v>
      </c>
      <c r="R336" s="13">
        <v>2.5</v>
      </c>
      <c r="S336" s="13">
        <v>0</v>
      </c>
      <c r="T336" s="19">
        <v>1384</v>
      </c>
    </row>
    <row r="337" spans="1:22" hidden="1" x14ac:dyDescent="0.25">
      <c r="A337" s="1">
        <f t="shared" si="105"/>
        <v>42874</v>
      </c>
      <c r="B337">
        <v>37</v>
      </c>
      <c r="C337">
        <v>523.04999999999995</v>
      </c>
      <c r="D337">
        <v>-4.5</v>
      </c>
      <c r="E337" s="13">
        <f t="shared" si="106"/>
        <v>523.04999999999995</v>
      </c>
      <c r="F337" s="13">
        <v>523.04999999999995</v>
      </c>
      <c r="G337" s="13">
        <f t="shared" si="107"/>
        <v>0</v>
      </c>
      <c r="H337" s="14">
        <v>1387</v>
      </c>
      <c r="I337" s="15">
        <v>804.33</v>
      </c>
      <c r="J337" s="13">
        <v>804.33</v>
      </c>
      <c r="K337" s="13">
        <v>0</v>
      </c>
      <c r="L337" s="13">
        <v>1188</v>
      </c>
      <c r="Q337" s="5">
        <f>SUMIFS(Coin!E:E,Coin!C:C,B337,Coin!D:D,A337)</f>
        <v>0</v>
      </c>
      <c r="U337" s="21">
        <v>4.5</v>
      </c>
    </row>
    <row r="338" spans="1:22" hidden="1" x14ac:dyDescent="0.25">
      <c r="A338" s="1">
        <f t="shared" si="105"/>
        <v>42874</v>
      </c>
      <c r="B338">
        <v>41</v>
      </c>
      <c r="C338">
        <v>342.8</v>
      </c>
      <c r="E338" s="13">
        <f t="shared" si="106"/>
        <v>342.8</v>
      </c>
      <c r="F338" s="13">
        <v>342.8</v>
      </c>
      <c r="G338" s="13">
        <f t="shared" si="107"/>
        <v>0</v>
      </c>
      <c r="H338" s="14">
        <v>1388</v>
      </c>
      <c r="I338" s="15">
        <v>320</v>
      </c>
      <c r="J338" s="13">
        <v>320</v>
      </c>
      <c r="K338" s="13">
        <v>0</v>
      </c>
      <c r="L338" s="13">
        <v>1179</v>
      </c>
      <c r="Q338" s="5">
        <f>SUMIFS(Coin!E:E,Coin!C:C,B338,Coin!D:D,A338)</f>
        <v>0</v>
      </c>
    </row>
    <row r="339" spans="1:22" hidden="1" x14ac:dyDescent="0.25">
      <c r="A339" s="1">
        <f t="shared" si="105"/>
        <v>42874</v>
      </c>
      <c r="B339">
        <v>43</v>
      </c>
      <c r="C339">
        <v>1189.6500000000001</v>
      </c>
      <c r="E339" s="13">
        <f t="shared" si="106"/>
        <v>1189.6500000000001</v>
      </c>
      <c r="F339" s="13">
        <v>1189.6500000000001</v>
      </c>
      <c r="G339" s="13">
        <f t="shared" si="107"/>
        <v>0</v>
      </c>
      <c r="H339" s="14">
        <v>1391</v>
      </c>
      <c r="I339" s="15">
        <v>669.9</v>
      </c>
      <c r="J339" s="13">
        <v>669.9</v>
      </c>
      <c r="K339" s="13">
        <v>0</v>
      </c>
      <c r="L339" s="13">
        <v>1181</v>
      </c>
      <c r="Q339" s="5">
        <f>SUMIFS(Coin!E:E,Coin!C:C,B339,Coin!D:D,A339)</f>
        <v>0</v>
      </c>
    </row>
    <row r="340" spans="1:22" hidden="1" x14ac:dyDescent="0.25">
      <c r="A340" s="1">
        <f t="shared" si="105"/>
        <v>42874</v>
      </c>
      <c r="B340">
        <v>44</v>
      </c>
      <c r="C340">
        <v>273.75</v>
      </c>
      <c r="E340" s="13">
        <f t="shared" si="106"/>
        <v>273.75</v>
      </c>
      <c r="F340" s="13">
        <v>273.75</v>
      </c>
      <c r="G340" s="13">
        <f t="shared" si="107"/>
        <v>0</v>
      </c>
      <c r="H340" s="14">
        <v>1394</v>
      </c>
      <c r="I340" s="15">
        <v>652.09</v>
      </c>
      <c r="J340" s="13">
        <v>652.09</v>
      </c>
      <c r="K340" s="13">
        <v>0</v>
      </c>
      <c r="L340" s="13">
        <v>1191</v>
      </c>
      <c r="Q340" s="5">
        <f>SUMIFS(Coin!E:E,Coin!C:C,B340,Coin!D:D,A340)</f>
        <v>0</v>
      </c>
    </row>
    <row r="341" spans="1:22" hidden="1" x14ac:dyDescent="0.25">
      <c r="A341" s="1">
        <f t="shared" si="105"/>
        <v>42874</v>
      </c>
      <c r="B341">
        <v>103</v>
      </c>
      <c r="C341">
        <v>817.9</v>
      </c>
      <c r="D341">
        <v>-131.1</v>
      </c>
      <c r="E341" s="13">
        <f t="shared" si="106"/>
        <v>686.3</v>
      </c>
      <c r="F341" s="13">
        <v>686.3</v>
      </c>
      <c r="G341" s="13">
        <f t="shared" si="107"/>
        <v>0</v>
      </c>
      <c r="H341" s="14">
        <v>1380</v>
      </c>
      <c r="I341" s="15">
        <v>919.83</v>
      </c>
      <c r="J341" s="13">
        <v>919.83</v>
      </c>
      <c r="K341" s="13">
        <v>0</v>
      </c>
      <c r="L341" s="13">
        <v>1182</v>
      </c>
      <c r="Q341" s="5">
        <v>0.5</v>
      </c>
    </row>
    <row r="342" spans="1:22" hidden="1" x14ac:dyDescent="0.25">
      <c r="A342" s="1">
        <f t="shared" si="105"/>
        <v>42874</v>
      </c>
      <c r="B342">
        <v>201</v>
      </c>
      <c r="C342">
        <v>837.7</v>
      </c>
      <c r="E342" s="13">
        <f t="shared" si="106"/>
        <v>837.7</v>
      </c>
      <c r="F342" s="13">
        <v>837.7</v>
      </c>
      <c r="G342" s="13">
        <f t="shared" si="107"/>
        <v>0</v>
      </c>
      <c r="H342" s="14">
        <v>1399</v>
      </c>
      <c r="I342" s="15">
        <v>332.9</v>
      </c>
      <c r="J342" s="13">
        <v>332.9</v>
      </c>
      <c r="K342" s="13">
        <v>0</v>
      </c>
      <c r="L342" s="13">
        <v>1189</v>
      </c>
      <c r="Q342" s="5">
        <f>SUMIFS(Coin!E:E,Coin!C:C,B342,Coin!D:D,A342)</f>
        <v>0</v>
      </c>
    </row>
    <row r="343" spans="1:22" hidden="1" x14ac:dyDescent="0.25">
      <c r="A343" s="1">
        <f t="shared" ref="A343:A349" si="108">DATE(2017,5,20)</f>
        <v>42875</v>
      </c>
      <c r="B343">
        <v>35</v>
      </c>
      <c r="C343">
        <v>605.9</v>
      </c>
      <c r="E343" s="13">
        <f t="shared" si="106"/>
        <v>605.9</v>
      </c>
      <c r="F343" s="13">
        <v>605.9</v>
      </c>
      <c r="G343" s="13">
        <f t="shared" si="107"/>
        <v>0</v>
      </c>
      <c r="H343" s="14">
        <v>1382</v>
      </c>
      <c r="I343" s="15">
        <v>616.75</v>
      </c>
      <c r="J343" s="13">
        <v>616.75</v>
      </c>
      <c r="K343" s="13">
        <v>0</v>
      </c>
      <c r="L343" s="13">
        <v>1178</v>
      </c>
      <c r="Q343" s="5">
        <f>SUMIFS(Coin!E:E,Coin!C:C,B343,Coin!D:D,A343)</f>
        <v>0</v>
      </c>
    </row>
    <row r="344" spans="1:22" hidden="1" x14ac:dyDescent="0.25">
      <c r="A344" s="1">
        <f t="shared" si="108"/>
        <v>42875</v>
      </c>
      <c r="B344">
        <v>37</v>
      </c>
      <c r="C344">
        <v>406.75</v>
      </c>
      <c r="E344" s="13">
        <f t="shared" si="106"/>
        <v>406.75</v>
      </c>
      <c r="F344" s="13">
        <v>406.75</v>
      </c>
      <c r="G344" s="13">
        <f t="shared" si="107"/>
        <v>0</v>
      </c>
      <c r="H344" s="14">
        <v>1386</v>
      </c>
      <c r="I344" s="15">
        <v>971.5</v>
      </c>
      <c r="J344" s="13">
        <v>971.5</v>
      </c>
      <c r="K344" s="13">
        <v>0</v>
      </c>
      <c r="L344" s="13">
        <v>1187</v>
      </c>
      <c r="Q344" s="5">
        <f>SUMIFS(Coin!E:E,Coin!C:C,B344,Coin!D:D,A344)</f>
        <v>0</v>
      </c>
    </row>
    <row r="345" spans="1:22" hidden="1" x14ac:dyDescent="0.25">
      <c r="A345" s="1">
        <f t="shared" si="108"/>
        <v>42875</v>
      </c>
      <c r="B345">
        <v>41</v>
      </c>
      <c r="C345">
        <v>523.65</v>
      </c>
      <c r="E345" s="13">
        <f t="shared" si="106"/>
        <v>523.65</v>
      </c>
      <c r="F345" s="13">
        <v>523.65</v>
      </c>
      <c r="G345" s="13">
        <f t="shared" si="107"/>
        <v>0</v>
      </c>
      <c r="H345" s="14">
        <v>1390</v>
      </c>
      <c r="I345" s="15">
        <v>588.65</v>
      </c>
      <c r="J345" s="13">
        <v>588.65</v>
      </c>
      <c r="K345" s="13">
        <v>0</v>
      </c>
      <c r="L345" s="13">
        <v>1176</v>
      </c>
      <c r="M345" s="15">
        <v>35</v>
      </c>
      <c r="N345" s="13">
        <v>35</v>
      </c>
      <c r="O345" s="13">
        <v>0</v>
      </c>
      <c r="P345" s="13">
        <v>45</v>
      </c>
      <c r="Q345" s="5">
        <f>SUMIFS(Coin!E:E,Coin!C:C,B345,Coin!D:D,A345)</f>
        <v>0</v>
      </c>
    </row>
    <row r="346" spans="1:22" hidden="1" x14ac:dyDescent="0.25">
      <c r="A346" s="1">
        <f t="shared" si="108"/>
        <v>42875</v>
      </c>
      <c r="B346">
        <v>43</v>
      </c>
      <c r="C346">
        <v>974.85</v>
      </c>
      <c r="E346" s="13">
        <f t="shared" si="106"/>
        <v>974.85</v>
      </c>
      <c r="F346" s="13">
        <v>974.85</v>
      </c>
      <c r="G346" s="13">
        <f t="shared" si="107"/>
        <v>0</v>
      </c>
      <c r="H346" s="14">
        <v>1393</v>
      </c>
      <c r="I346" s="15">
        <v>654.70000000000005</v>
      </c>
      <c r="J346" s="13">
        <v>654.70000000000005</v>
      </c>
      <c r="K346" s="13">
        <v>0</v>
      </c>
      <c r="L346" s="13">
        <v>1175</v>
      </c>
      <c r="Q346" s="5">
        <f>SUMIFS(Coin!E:E,Coin!C:C,B346,Coin!D:D,A346)</f>
        <v>0</v>
      </c>
    </row>
    <row r="347" spans="1:22" hidden="1" x14ac:dyDescent="0.25">
      <c r="A347" s="1">
        <f t="shared" si="108"/>
        <v>42875</v>
      </c>
      <c r="B347">
        <v>44</v>
      </c>
      <c r="C347">
        <v>219.45</v>
      </c>
      <c r="E347" s="13">
        <f t="shared" si="106"/>
        <v>219.45</v>
      </c>
      <c r="F347" s="13">
        <v>219.45</v>
      </c>
      <c r="G347" s="13">
        <f t="shared" si="107"/>
        <v>0</v>
      </c>
      <c r="H347" s="14">
        <v>1397</v>
      </c>
      <c r="I347" s="15">
        <v>359.45</v>
      </c>
      <c r="J347" s="13">
        <v>359.45</v>
      </c>
      <c r="K347" s="13">
        <v>0</v>
      </c>
      <c r="L347" s="13">
        <v>1174</v>
      </c>
      <c r="Q347" s="5">
        <f>SUMIFS(Coin!E:E,Coin!C:C,B347,Coin!D:D,A347)</f>
        <v>0</v>
      </c>
    </row>
    <row r="348" spans="1:22" hidden="1" x14ac:dyDescent="0.25">
      <c r="A348" s="1">
        <f t="shared" si="108"/>
        <v>42875</v>
      </c>
      <c r="B348">
        <v>103</v>
      </c>
      <c r="C348">
        <v>743.75</v>
      </c>
      <c r="E348" s="13">
        <f t="shared" si="106"/>
        <v>746.75</v>
      </c>
      <c r="F348" s="13">
        <v>746.75</v>
      </c>
      <c r="G348" s="13">
        <f t="shared" si="107"/>
        <v>0</v>
      </c>
      <c r="H348" s="14">
        <v>1370</v>
      </c>
      <c r="I348" s="15">
        <v>932.65</v>
      </c>
      <c r="J348" s="13">
        <v>932.65</v>
      </c>
      <c r="K348" s="13">
        <v>0</v>
      </c>
      <c r="L348" s="13">
        <v>1177</v>
      </c>
      <c r="U348" s="21">
        <v>3</v>
      </c>
    </row>
    <row r="349" spans="1:22" hidden="1" x14ac:dyDescent="0.25">
      <c r="A349" s="1">
        <f t="shared" si="108"/>
        <v>42875</v>
      </c>
      <c r="B349">
        <v>201</v>
      </c>
      <c r="C349">
        <v>517.65</v>
      </c>
      <c r="E349" s="13">
        <f t="shared" si="106"/>
        <v>517.65</v>
      </c>
      <c r="F349" s="13">
        <v>517.65</v>
      </c>
      <c r="G349" s="13">
        <f t="shared" si="107"/>
        <v>0</v>
      </c>
      <c r="H349" s="14">
        <v>1401</v>
      </c>
      <c r="I349" s="15">
        <v>257.83</v>
      </c>
      <c r="J349" s="13">
        <v>257.83</v>
      </c>
      <c r="K349" s="13">
        <v>0</v>
      </c>
      <c r="L349" s="13">
        <v>1186</v>
      </c>
      <c r="Q349" s="5">
        <f>SUMIFS(Coin!E:E,Coin!C:C,B349,Coin!D:D,A349)</f>
        <v>0</v>
      </c>
    </row>
    <row r="350" spans="1:22" hidden="1" x14ac:dyDescent="0.25">
      <c r="A350" s="1">
        <f t="shared" ref="A350:A355" si="109">DATE(2017,5,21)</f>
        <v>42876</v>
      </c>
      <c r="B350">
        <v>35</v>
      </c>
      <c r="C350">
        <v>339.7</v>
      </c>
      <c r="E350" s="13">
        <f t="shared" si="106"/>
        <v>339.7</v>
      </c>
      <c r="F350" s="13">
        <v>339.7</v>
      </c>
      <c r="G350" s="13">
        <f t="shared" si="107"/>
        <v>0</v>
      </c>
      <c r="H350" s="14">
        <v>1383</v>
      </c>
      <c r="I350" s="15">
        <v>274.93</v>
      </c>
      <c r="J350" s="13">
        <v>274.93</v>
      </c>
      <c r="K350" s="13">
        <v>0</v>
      </c>
      <c r="L350" s="13">
        <v>1173</v>
      </c>
      <c r="Q350" s="5">
        <f>SUMIFS(Coin!E:E,Coin!C:C,B350,Coin!D:D,A350)</f>
        <v>0</v>
      </c>
    </row>
    <row r="351" spans="1:22" hidden="1" x14ac:dyDescent="0.25">
      <c r="A351" s="1">
        <f t="shared" si="109"/>
        <v>42876</v>
      </c>
      <c r="B351">
        <v>37</v>
      </c>
      <c r="C351">
        <v>255</v>
      </c>
      <c r="E351" s="13">
        <f t="shared" si="106"/>
        <v>255</v>
      </c>
      <c r="F351" s="13">
        <v>255</v>
      </c>
      <c r="G351" s="13">
        <f t="shared" si="107"/>
        <v>0</v>
      </c>
      <c r="H351" s="14">
        <v>1385</v>
      </c>
      <c r="I351" s="15">
        <v>169.9</v>
      </c>
      <c r="J351" s="13">
        <v>169.9</v>
      </c>
      <c r="K351" s="13">
        <v>0</v>
      </c>
      <c r="L351" s="13">
        <v>1185</v>
      </c>
      <c r="Q351" s="5">
        <f>SUMIFS(Coin!E:E,Coin!C:C,B351,Coin!D:D,A351)</f>
        <v>0</v>
      </c>
      <c r="V351" s="21">
        <v>10</v>
      </c>
    </row>
    <row r="352" spans="1:22" hidden="1" x14ac:dyDescent="0.25">
      <c r="A352" s="1">
        <f t="shared" si="109"/>
        <v>42876</v>
      </c>
      <c r="B352">
        <v>43</v>
      </c>
      <c r="C352">
        <v>839.65</v>
      </c>
      <c r="E352" s="13">
        <f t="shared" si="106"/>
        <v>839.65</v>
      </c>
      <c r="F352" s="13">
        <v>839.65</v>
      </c>
      <c r="G352" s="13">
        <f t="shared" si="107"/>
        <v>0</v>
      </c>
      <c r="H352" s="14">
        <v>1392</v>
      </c>
      <c r="I352" s="15">
        <v>564.76</v>
      </c>
      <c r="J352" s="13">
        <v>564.76</v>
      </c>
      <c r="K352" s="13">
        <v>0</v>
      </c>
      <c r="L352" s="13">
        <v>1171</v>
      </c>
      <c r="Q352" s="5">
        <f>SUMIFS(Coin!E:E,Coin!C:C,B352,Coin!D:D,A352)</f>
        <v>0</v>
      </c>
    </row>
    <row r="353" spans="1:22" hidden="1" x14ac:dyDescent="0.25">
      <c r="A353" s="1">
        <f t="shared" si="109"/>
        <v>42876</v>
      </c>
      <c r="B353">
        <v>44</v>
      </c>
      <c r="C353">
        <v>153.80000000000001</v>
      </c>
      <c r="E353" s="13">
        <f t="shared" si="106"/>
        <v>153.80000000000001</v>
      </c>
      <c r="F353" s="13">
        <v>153.80000000000001</v>
      </c>
      <c r="G353" s="13">
        <f t="shared" si="107"/>
        <v>0</v>
      </c>
      <c r="H353" s="14">
        <v>1395</v>
      </c>
      <c r="I353" s="15">
        <v>596.29999999999995</v>
      </c>
      <c r="J353" s="13">
        <v>596.29999999999995</v>
      </c>
      <c r="K353" s="13">
        <v>0</v>
      </c>
      <c r="L353" s="13">
        <v>1169</v>
      </c>
      <c r="M353" s="15">
        <v>39.950000000000003</v>
      </c>
      <c r="N353" s="13">
        <v>39.950000000000003</v>
      </c>
      <c r="O353" s="13">
        <v>0</v>
      </c>
      <c r="P353" s="13">
        <v>44</v>
      </c>
      <c r="Q353" s="5">
        <f>SUMIFS(Coin!E:E,Coin!C:C,B353,Coin!D:D,A353)</f>
        <v>0</v>
      </c>
    </row>
    <row r="354" spans="1:22" hidden="1" x14ac:dyDescent="0.25">
      <c r="A354" s="1">
        <f t="shared" si="109"/>
        <v>42876</v>
      </c>
      <c r="B354">
        <v>103</v>
      </c>
      <c r="C354">
        <v>447.9</v>
      </c>
      <c r="E354" s="13">
        <f t="shared" si="106"/>
        <v>447.9</v>
      </c>
      <c r="F354" s="13">
        <v>447.9</v>
      </c>
      <c r="G354" s="13">
        <f t="shared" si="107"/>
        <v>0</v>
      </c>
      <c r="H354" s="14">
        <v>1398</v>
      </c>
      <c r="I354" s="15">
        <v>250</v>
      </c>
      <c r="J354" s="13">
        <v>250</v>
      </c>
      <c r="K354" s="13">
        <v>0</v>
      </c>
      <c r="L354" s="13">
        <v>1172</v>
      </c>
      <c r="Q354" s="5">
        <f>SUMIFS(Coin!E:E,Coin!C:C,B354,Coin!D:D,A354)</f>
        <v>0</v>
      </c>
    </row>
    <row r="355" spans="1:22" hidden="1" x14ac:dyDescent="0.25">
      <c r="A355" s="1">
        <f t="shared" si="109"/>
        <v>42876</v>
      </c>
      <c r="B355">
        <v>201</v>
      </c>
      <c r="C355">
        <v>384.95</v>
      </c>
      <c r="E355" s="13">
        <f t="shared" si="106"/>
        <v>384.95</v>
      </c>
      <c r="F355" s="13">
        <v>384.95</v>
      </c>
      <c r="G355" s="13">
        <f t="shared" si="107"/>
        <v>0</v>
      </c>
      <c r="H355" s="14">
        <v>1402</v>
      </c>
      <c r="I355" s="15">
        <v>579.79999999999995</v>
      </c>
      <c r="J355" s="13">
        <v>579.79999999999995</v>
      </c>
      <c r="K355" s="13">
        <v>0</v>
      </c>
      <c r="L355" s="13">
        <v>1184</v>
      </c>
      <c r="Q355" s="5">
        <f>SUMIFS(Coin!E:E,Coin!C:C,B355,Coin!D:D,A355)</f>
        <v>0</v>
      </c>
    </row>
    <row r="356" spans="1:22" hidden="1" x14ac:dyDescent="0.25">
      <c r="A356" s="1">
        <f t="shared" ref="A356:A362" si="110">DATE(2017,5,22)</f>
        <v>42877</v>
      </c>
      <c r="B356">
        <v>35</v>
      </c>
      <c r="C356">
        <v>608.75</v>
      </c>
      <c r="E356" s="13">
        <f t="shared" ref="E356:E362" si="111">C356+D356-Q356+U356</f>
        <v>605</v>
      </c>
      <c r="F356" s="13">
        <v>605</v>
      </c>
      <c r="G356" s="13">
        <f t="shared" si="107"/>
        <v>0</v>
      </c>
      <c r="H356" s="14">
        <v>1381</v>
      </c>
      <c r="I356" s="15">
        <v>720.75</v>
      </c>
      <c r="J356" s="13">
        <v>720.75</v>
      </c>
      <c r="K356" s="13">
        <v>0</v>
      </c>
      <c r="L356" s="13">
        <v>1195</v>
      </c>
      <c r="Q356" s="15">
        <v>3.75</v>
      </c>
      <c r="R356" s="13">
        <v>3.75</v>
      </c>
      <c r="S356" s="13">
        <v>0</v>
      </c>
      <c r="T356" s="19">
        <v>1405</v>
      </c>
    </row>
    <row r="357" spans="1:22" hidden="1" x14ac:dyDescent="0.25">
      <c r="A357" s="1">
        <f t="shared" si="110"/>
        <v>42877</v>
      </c>
      <c r="B357">
        <v>37</v>
      </c>
      <c r="C357">
        <v>209.85</v>
      </c>
      <c r="E357" s="13">
        <f t="shared" si="111"/>
        <v>190.35</v>
      </c>
      <c r="F357" s="13">
        <v>190.35</v>
      </c>
      <c r="G357" s="13">
        <f t="shared" ref="G357:G369" si="112">E357-F357</f>
        <v>0</v>
      </c>
      <c r="H357" s="14">
        <v>1406</v>
      </c>
      <c r="I357" s="15">
        <v>344.95</v>
      </c>
      <c r="J357" s="13">
        <v>344.95</v>
      </c>
      <c r="K357" s="13">
        <v>0</v>
      </c>
      <c r="L357" s="13">
        <v>1197</v>
      </c>
      <c r="U357" s="21">
        <v>-19.5</v>
      </c>
    </row>
    <row r="358" spans="1:22" hidden="1" x14ac:dyDescent="0.25">
      <c r="A358" s="1">
        <f t="shared" si="110"/>
        <v>42877</v>
      </c>
      <c r="B358">
        <v>41</v>
      </c>
      <c r="C358">
        <v>319.85000000000002</v>
      </c>
      <c r="E358" s="13">
        <f t="shared" si="111"/>
        <v>409.55</v>
      </c>
      <c r="F358" s="13">
        <v>409.55</v>
      </c>
      <c r="G358" s="13">
        <f t="shared" si="112"/>
        <v>0</v>
      </c>
      <c r="H358" s="14">
        <v>1389</v>
      </c>
      <c r="I358" s="15">
        <v>252.95</v>
      </c>
      <c r="J358" s="13">
        <v>252.95</v>
      </c>
      <c r="K358" s="13">
        <v>0</v>
      </c>
      <c r="L358" s="13">
        <v>1192</v>
      </c>
      <c r="Q358" s="5">
        <f>SUMIFS(Coin!E:E,Coin!C:C,B358,Coin!D:D,A358)</f>
        <v>0</v>
      </c>
      <c r="U358" s="21">
        <v>89.7</v>
      </c>
      <c r="V358" s="21">
        <v>-50</v>
      </c>
    </row>
    <row r="359" spans="1:22" hidden="1" x14ac:dyDescent="0.25">
      <c r="A359" s="1">
        <f t="shared" si="110"/>
        <v>42877</v>
      </c>
      <c r="B359">
        <v>43</v>
      </c>
      <c r="C359">
        <v>709.85</v>
      </c>
      <c r="E359" s="13">
        <f t="shared" si="111"/>
        <v>709.85</v>
      </c>
      <c r="F359" s="13">
        <v>709.85</v>
      </c>
      <c r="G359" s="13">
        <f t="shared" si="112"/>
        <v>0</v>
      </c>
      <c r="H359" s="14">
        <v>1408</v>
      </c>
      <c r="I359" s="15">
        <v>504.8</v>
      </c>
      <c r="J359" s="13">
        <v>504.8</v>
      </c>
      <c r="K359" s="13">
        <v>0</v>
      </c>
      <c r="L359" s="13">
        <v>1196</v>
      </c>
      <c r="Q359" s="5">
        <f>SUMIFS(Coin!E:E,Coin!C:C,B359,Coin!D:D,A359)</f>
        <v>0</v>
      </c>
    </row>
    <row r="360" spans="1:22" hidden="1" x14ac:dyDescent="0.25">
      <c r="A360" s="1">
        <f t="shared" si="110"/>
        <v>42877</v>
      </c>
      <c r="B360">
        <v>44</v>
      </c>
      <c r="C360">
        <v>285.85000000000002</v>
      </c>
      <c r="E360" s="13">
        <f t="shared" si="111"/>
        <v>285.85000000000002</v>
      </c>
      <c r="F360" s="13">
        <v>285.85000000000002</v>
      </c>
      <c r="G360" s="13">
        <f t="shared" si="112"/>
        <v>0</v>
      </c>
      <c r="H360" s="14">
        <v>1412</v>
      </c>
      <c r="I360" s="15">
        <v>299.63</v>
      </c>
      <c r="J360" s="13">
        <v>299.63</v>
      </c>
      <c r="K360" s="13">
        <v>0</v>
      </c>
      <c r="L360" s="13">
        <v>1193</v>
      </c>
      <c r="Q360" s="5">
        <f>SUMIFS(Coin!E:E,Coin!C:C,B360,Coin!D:D,A360)</f>
        <v>0</v>
      </c>
    </row>
    <row r="361" spans="1:22" hidden="1" x14ac:dyDescent="0.25">
      <c r="A361" s="1">
        <f t="shared" si="110"/>
        <v>42877</v>
      </c>
      <c r="B361">
        <v>103</v>
      </c>
      <c r="C361">
        <v>566.9</v>
      </c>
      <c r="E361" s="13">
        <f t="shared" si="111"/>
        <v>566.9</v>
      </c>
      <c r="F361" s="13">
        <v>566.9</v>
      </c>
      <c r="G361" s="13">
        <f t="shared" si="112"/>
        <v>0</v>
      </c>
      <c r="H361" s="14">
        <v>1409</v>
      </c>
      <c r="I361" s="15">
        <v>464.9</v>
      </c>
      <c r="J361" s="13">
        <v>464.9</v>
      </c>
      <c r="K361" s="13">
        <v>0</v>
      </c>
      <c r="L361" s="13">
        <v>1194</v>
      </c>
      <c r="Q361" s="5">
        <f>SUMIFS(Coin!E:E,Coin!C:C,B361,Coin!D:D,A361)</f>
        <v>0</v>
      </c>
    </row>
    <row r="362" spans="1:22" hidden="1" x14ac:dyDescent="0.25">
      <c r="A362" s="1">
        <f t="shared" si="110"/>
        <v>42877</v>
      </c>
      <c r="B362">
        <v>201</v>
      </c>
      <c r="C362">
        <v>282.75</v>
      </c>
      <c r="E362" s="13">
        <f t="shared" si="111"/>
        <v>282.75</v>
      </c>
      <c r="F362" s="13">
        <v>282.75</v>
      </c>
      <c r="G362" s="13">
        <f t="shared" si="112"/>
        <v>0</v>
      </c>
      <c r="H362" s="14">
        <v>1410</v>
      </c>
      <c r="I362" s="15">
        <v>212.8</v>
      </c>
      <c r="J362" s="13">
        <v>212.8</v>
      </c>
      <c r="K362" s="13">
        <v>0</v>
      </c>
      <c r="L362" s="13">
        <v>1198</v>
      </c>
      <c r="M362" s="15">
        <v>29.98</v>
      </c>
      <c r="N362" s="13">
        <v>29.98</v>
      </c>
      <c r="O362" s="13">
        <v>0</v>
      </c>
      <c r="P362" s="13">
        <v>46</v>
      </c>
      <c r="Q362" s="5">
        <f>SUMIFS(Coin!E:E,Coin!C:C,B362,Coin!D:D,A362)</f>
        <v>0</v>
      </c>
    </row>
    <row r="363" spans="1:22" hidden="1" x14ac:dyDescent="0.25">
      <c r="A363" s="1">
        <f t="shared" ref="A363:A369" si="113">DATE(2017,5,23)</f>
        <v>42878</v>
      </c>
      <c r="B363">
        <v>35</v>
      </c>
      <c r="C363">
        <v>309.89999999999998</v>
      </c>
      <c r="E363" s="13">
        <f t="shared" ref="E363:E376" si="114">C363+D363-Q363+U363</f>
        <v>310</v>
      </c>
      <c r="F363" s="13">
        <v>310</v>
      </c>
      <c r="G363" s="13">
        <f t="shared" si="112"/>
        <v>0</v>
      </c>
      <c r="H363" s="14">
        <v>1404</v>
      </c>
      <c r="I363" s="15">
        <v>637.70000000000005</v>
      </c>
      <c r="J363" s="13">
        <v>637.70000000000005</v>
      </c>
      <c r="K363" s="13">
        <v>0</v>
      </c>
      <c r="L363" s="13">
        <v>1207</v>
      </c>
      <c r="Q363" s="5">
        <f>SUMIFS(Coin!E:E,Coin!C:C,B363,Coin!D:D,A363)</f>
        <v>0</v>
      </c>
      <c r="U363" s="21">
        <v>0.1</v>
      </c>
    </row>
    <row r="364" spans="1:22" hidden="1" x14ac:dyDescent="0.25">
      <c r="A364" s="1">
        <f t="shared" si="113"/>
        <v>42878</v>
      </c>
      <c r="B364">
        <v>37</v>
      </c>
      <c r="C364">
        <v>155</v>
      </c>
      <c r="D364">
        <v>-9.5</v>
      </c>
      <c r="E364" s="13">
        <f t="shared" si="114"/>
        <v>145.5</v>
      </c>
      <c r="F364" s="13">
        <v>145.5</v>
      </c>
      <c r="G364" s="13">
        <f t="shared" si="112"/>
        <v>0</v>
      </c>
      <c r="H364" s="14">
        <v>1411</v>
      </c>
      <c r="I364" s="15">
        <v>534.9</v>
      </c>
      <c r="J364" s="13">
        <v>534.9</v>
      </c>
      <c r="K364" s="13">
        <v>0</v>
      </c>
      <c r="L364" s="13">
        <v>1211</v>
      </c>
      <c r="Q364" s="5">
        <f>SUMIFS(Coin!E:E,Coin!C:C,B364,Coin!D:D,A364)</f>
        <v>0</v>
      </c>
    </row>
    <row r="365" spans="1:22" hidden="1" x14ac:dyDescent="0.25">
      <c r="A365" s="1">
        <f t="shared" si="113"/>
        <v>42878</v>
      </c>
      <c r="B365">
        <v>41</v>
      </c>
      <c r="C365">
        <v>312.89999999999998</v>
      </c>
      <c r="E365" s="13">
        <f t="shared" si="114"/>
        <v>319.84999999999997</v>
      </c>
      <c r="F365" s="13">
        <v>319.85000000000002</v>
      </c>
      <c r="G365" s="13">
        <f t="shared" si="112"/>
        <v>0</v>
      </c>
      <c r="H365" s="14">
        <v>1407</v>
      </c>
      <c r="I365" s="15">
        <v>207.85</v>
      </c>
      <c r="J365" s="13">
        <v>207.85</v>
      </c>
      <c r="K365" s="13">
        <v>0</v>
      </c>
      <c r="L365" s="13">
        <v>1219</v>
      </c>
      <c r="Q365" s="5">
        <f>SUMIFS(Coin!E:E,Coin!C:C,B365,Coin!D:D,A365)</f>
        <v>0</v>
      </c>
      <c r="U365" s="21">
        <v>6.95</v>
      </c>
    </row>
    <row r="366" spans="1:22" hidden="1" x14ac:dyDescent="0.25">
      <c r="A366" s="1">
        <f t="shared" si="113"/>
        <v>42878</v>
      </c>
      <c r="B366">
        <v>43</v>
      </c>
      <c r="C366">
        <v>555.04999999999995</v>
      </c>
      <c r="E366" s="13">
        <f t="shared" si="114"/>
        <v>555.04999999999995</v>
      </c>
      <c r="F366" s="13">
        <v>555.04999999999995</v>
      </c>
      <c r="G366" s="13">
        <f t="shared" si="112"/>
        <v>0</v>
      </c>
      <c r="H366" s="14">
        <v>1416</v>
      </c>
      <c r="I366" s="15">
        <v>239.9</v>
      </c>
      <c r="J366" s="13">
        <v>239.9</v>
      </c>
      <c r="K366" s="13">
        <v>0</v>
      </c>
      <c r="L366" s="13">
        <v>1203</v>
      </c>
      <c r="Q366" s="5">
        <f>SUMIFS(Coin!E:E,Coin!C:C,B366,Coin!D:D,A366)</f>
        <v>0</v>
      </c>
    </row>
    <row r="367" spans="1:22" hidden="1" x14ac:dyDescent="0.25">
      <c r="A367" s="1">
        <f t="shared" si="113"/>
        <v>42878</v>
      </c>
      <c r="B367">
        <v>44</v>
      </c>
      <c r="C367">
        <v>229.7</v>
      </c>
      <c r="E367" s="13">
        <f t="shared" si="114"/>
        <v>229.7</v>
      </c>
      <c r="F367" s="13">
        <v>229.7</v>
      </c>
      <c r="G367" s="13">
        <f t="shared" si="112"/>
        <v>0</v>
      </c>
      <c r="H367" s="14">
        <v>1413</v>
      </c>
      <c r="I367" s="15">
        <v>598.70000000000005</v>
      </c>
      <c r="J367" s="13">
        <v>598.70000000000005</v>
      </c>
      <c r="K367" s="13">
        <v>0</v>
      </c>
      <c r="L367" s="13">
        <v>1205</v>
      </c>
      <c r="Q367" s="5">
        <f>SUMIFS(Coin!E:E,Coin!C:C,B367,Coin!D:D,A367)</f>
        <v>0</v>
      </c>
    </row>
    <row r="368" spans="1:22" hidden="1" x14ac:dyDescent="0.25">
      <c r="A368" s="1">
        <f t="shared" si="113"/>
        <v>42878</v>
      </c>
      <c r="B368">
        <v>103</v>
      </c>
      <c r="C368">
        <v>1040.75</v>
      </c>
      <c r="E368" s="13">
        <f t="shared" si="114"/>
        <v>990.75</v>
      </c>
      <c r="F368" s="13">
        <v>990.75</v>
      </c>
      <c r="G368" s="13">
        <f t="shared" si="112"/>
        <v>0</v>
      </c>
      <c r="H368" s="14">
        <v>1414</v>
      </c>
      <c r="I368" s="15">
        <v>642.9</v>
      </c>
      <c r="J368" s="13">
        <v>642.9</v>
      </c>
      <c r="K368" s="13">
        <v>0</v>
      </c>
      <c r="L368" s="13">
        <v>1204</v>
      </c>
      <c r="Q368" s="15">
        <v>50</v>
      </c>
      <c r="R368" s="13">
        <v>50</v>
      </c>
      <c r="S368" s="13">
        <v>0</v>
      </c>
      <c r="T368" s="19">
        <v>1403</v>
      </c>
    </row>
    <row r="369" spans="1:22" hidden="1" x14ac:dyDescent="0.25">
      <c r="A369" s="1">
        <f t="shared" si="113"/>
        <v>42878</v>
      </c>
      <c r="B369">
        <v>201</v>
      </c>
      <c r="C369">
        <v>250</v>
      </c>
      <c r="E369" s="13">
        <f t="shared" si="114"/>
        <v>250</v>
      </c>
      <c r="F369" s="13">
        <v>250</v>
      </c>
      <c r="G369" s="13">
        <f t="shared" si="112"/>
        <v>0</v>
      </c>
      <c r="H369" s="14">
        <v>1415</v>
      </c>
      <c r="I369" s="15">
        <v>274.86</v>
      </c>
      <c r="J369" s="13">
        <v>274.86</v>
      </c>
      <c r="K369" s="13">
        <v>0</v>
      </c>
      <c r="L369" s="13">
        <v>1210</v>
      </c>
      <c r="Q369" s="5">
        <f>SUMIFS(Coin!E:E,Coin!C:C,B369,Coin!D:D,A369)</f>
        <v>0</v>
      </c>
    </row>
    <row r="370" spans="1:22" hidden="1" x14ac:dyDescent="0.25">
      <c r="A370" s="1">
        <f t="shared" ref="A370:A376" si="115">DATE(2017,5,24)</f>
        <v>42879</v>
      </c>
      <c r="B370">
        <v>35</v>
      </c>
      <c r="C370">
        <v>769.85</v>
      </c>
      <c r="E370" s="13">
        <f t="shared" si="114"/>
        <v>769.85</v>
      </c>
      <c r="F370" s="13">
        <v>769.85</v>
      </c>
      <c r="G370" s="13">
        <f t="shared" ref="G370:G377" si="116">E370-F370</f>
        <v>0</v>
      </c>
      <c r="H370" s="14">
        <v>1418</v>
      </c>
      <c r="I370" s="15">
        <v>680.5</v>
      </c>
      <c r="J370" s="13">
        <v>680.5</v>
      </c>
      <c r="K370" s="13">
        <v>0</v>
      </c>
      <c r="L370" s="13">
        <v>1200</v>
      </c>
      <c r="Q370" s="5">
        <f>SUMIFS(Coin!E:E,Coin!C:C,B370,Coin!D:D,A370)</f>
        <v>0</v>
      </c>
    </row>
    <row r="371" spans="1:22" hidden="1" x14ac:dyDescent="0.25">
      <c r="A371" s="1">
        <f t="shared" si="115"/>
        <v>42879</v>
      </c>
      <c r="B371">
        <v>37</v>
      </c>
      <c r="C371">
        <v>354.8</v>
      </c>
      <c r="E371" s="13">
        <f t="shared" si="114"/>
        <v>354.8</v>
      </c>
      <c r="F371" s="13">
        <v>354.8</v>
      </c>
      <c r="G371" s="13">
        <f t="shared" si="116"/>
        <v>0</v>
      </c>
      <c r="H371" s="14">
        <v>1419</v>
      </c>
      <c r="I371" s="15">
        <v>302.18</v>
      </c>
      <c r="J371" s="13">
        <v>302.18</v>
      </c>
      <c r="K371" s="13">
        <v>0</v>
      </c>
      <c r="L371" s="13">
        <v>1209</v>
      </c>
      <c r="Q371" s="5">
        <f>SUMIFS(Coin!E:E,Coin!C:C,B371,Coin!D:D,A371)</f>
        <v>0</v>
      </c>
    </row>
    <row r="372" spans="1:22" hidden="1" x14ac:dyDescent="0.25">
      <c r="A372" s="1">
        <f t="shared" si="115"/>
        <v>42879</v>
      </c>
      <c r="B372">
        <v>41</v>
      </c>
      <c r="C372">
        <v>347.8</v>
      </c>
      <c r="E372" s="13">
        <f t="shared" si="114"/>
        <v>347.8</v>
      </c>
      <c r="F372" s="13">
        <v>347.8</v>
      </c>
      <c r="G372" s="13">
        <f t="shared" si="116"/>
        <v>0</v>
      </c>
      <c r="H372" s="14">
        <v>1421</v>
      </c>
      <c r="I372" s="15">
        <v>157.85</v>
      </c>
      <c r="J372" s="13">
        <v>157.85</v>
      </c>
      <c r="K372" s="13">
        <v>0</v>
      </c>
      <c r="L372" s="13">
        <v>1220</v>
      </c>
      <c r="Q372" s="5">
        <f>SUMIFS(Coin!E:E,Coin!C:C,B372,Coin!D:D,A372)</f>
        <v>0</v>
      </c>
    </row>
    <row r="373" spans="1:22" hidden="1" x14ac:dyDescent="0.25">
      <c r="A373" s="1">
        <f t="shared" si="115"/>
        <v>42879</v>
      </c>
      <c r="B373">
        <v>43</v>
      </c>
      <c r="C373">
        <v>945</v>
      </c>
      <c r="E373" s="13">
        <f t="shared" si="114"/>
        <v>945</v>
      </c>
      <c r="F373" s="13">
        <v>945</v>
      </c>
      <c r="G373" s="13">
        <f t="shared" si="116"/>
        <v>0</v>
      </c>
      <c r="H373" s="14">
        <v>1422</v>
      </c>
      <c r="I373" s="15">
        <v>294.85000000000002</v>
      </c>
      <c r="J373" s="13">
        <v>294.85000000000002</v>
      </c>
      <c r="K373" s="13">
        <v>0</v>
      </c>
      <c r="L373" s="13">
        <v>1202</v>
      </c>
      <c r="Q373" s="5">
        <f>SUMIFS(Coin!E:E,Coin!C:C,B373,Coin!D:D,A373)</f>
        <v>0</v>
      </c>
    </row>
    <row r="374" spans="1:22" hidden="1" x14ac:dyDescent="0.25">
      <c r="A374" s="1">
        <f t="shared" si="115"/>
        <v>42879</v>
      </c>
      <c r="B374">
        <v>44</v>
      </c>
      <c r="C374">
        <v>205.55</v>
      </c>
      <c r="E374" s="13">
        <f t="shared" si="114"/>
        <v>203</v>
      </c>
      <c r="F374" s="13">
        <v>203</v>
      </c>
      <c r="G374" s="13">
        <f t="shared" si="116"/>
        <v>0</v>
      </c>
      <c r="H374" s="14">
        <v>1423</v>
      </c>
      <c r="I374" s="15">
        <v>362.93</v>
      </c>
      <c r="J374" s="13">
        <v>362.93</v>
      </c>
      <c r="K374" s="13">
        <v>0</v>
      </c>
      <c r="L374" s="13">
        <v>1199</v>
      </c>
      <c r="M374" s="15">
        <v>40</v>
      </c>
      <c r="N374" s="13">
        <v>40</v>
      </c>
      <c r="O374" s="13">
        <v>0</v>
      </c>
      <c r="P374" s="13">
        <v>47</v>
      </c>
      <c r="Q374" s="5">
        <v>2.5499999999999998</v>
      </c>
    </row>
    <row r="375" spans="1:22" hidden="1" x14ac:dyDescent="0.25">
      <c r="A375" s="1">
        <f t="shared" si="115"/>
        <v>42879</v>
      </c>
      <c r="B375">
        <v>103</v>
      </c>
      <c r="C375">
        <v>1022.85</v>
      </c>
      <c r="E375" s="13">
        <f t="shared" si="114"/>
        <v>1022.85</v>
      </c>
      <c r="F375" s="13">
        <v>1022.85</v>
      </c>
      <c r="G375" s="13">
        <f t="shared" si="116"/>
        <v>0</v>
      </c>
      <c r="H375" s="14">
        <v>1424</v>
      </c>
      <c r="I375" s="15">
        <v>514.95000000000005</v>
      </c>
      <c r="J375" s="13">
        <v>514.95000000000005</v>
      </c>
      <c r="K375" s="13">
        <v>0</v>
      </c>
      <c r="L375" s="13">
        <v>1201</v>
      </c>
      <c r="Q375" s="5">
        <f>SUMIFS(Coin!E:E,Coin!C:C,B375,Coin!D:D,A375)</f>
        <v>0</v>
      </c>
    </row>
    <row r="376" spans="1:22" hidden="1" x14ac:dyDescent="0.25">
      <c r="A376" s="1">
        <f t="shared" si="115"/>
        <v>42879</v>
      </c>
      <c r="B376">
        <v>201</v>
      </c>
      <c r="C376">
        <v>465.9</v>
      </c>
      <c r="E376" s="13">
        <f t="shared" si="114"/>
        <v>465.9</v>
      </c>
      <c r="F376" s="13">
        <v>465.9</v>
      </c>
      <c r="G376" s="13">
        <f t="shared" si="116"/>
        <v>0</v>
      </c>
      <c r="H376" s="14">
        <v>1425</v>
      </c>
      <c r="I376" s="15">
        <v>329.78</v>
      </c>
      <c r="J376" s="13">
        <v>329.78</v>
      </c>
      <c r="K376" s="13">
        <v>0</v>
      </c>
      <c r="L376" s="13">
        <v>1208</v>
      </c>
      <c r="Q376" s="5">
        <f>SUMIFS(Coin!E:E,Coin!C:C,B376,Coin!D:D,A376)</f>
        <v>0</v>
      </c>
    </row>
    <row r="377" spans="1:22" hidden="1" x14ac:dyDescent="0.25">
      <c r="A377" s="1">
        <f t="shared" ref="A377:A383" si="117">DATE(2017,5,25)</f>
        <v>42880</v>
      </c>
      <c r="B377">
        <v>35</v>
      </c>
      <c r="C377">
        <v>1322.55</v>
      </c>
      <c r="E377" s="13">
        <f t="shared" ref="E377:E383" si="118">C377+D377-Q377+U377</f>
        <v>1320</v>
      </c>
      <c r="F377" s="13">
        <v>1320</v>
      </c>
      <c r="G377" s="13">
        <f t="shared" si="116"/>
        <v>0</v>
      </c>
      <c r="H377" s="14">
        <v>1417</v>
      </c>
      <c r="I377" s="15">
        <v>879.43</v>
      </c>
      <c r="J377" s="13">
        <v>879.43</v>
      </c>
      <c r="K377" s="13">
        <v>0</v>
      </c>
      <c r="L377" s="13">
        <v>1216</v>
      </c>
      <c r="Q377" s="15">
        <v>2.5499999999999998</v>
      </c>
      <c r="R377" s="13">
        <v>2.5499999999999998</v>
      </c>
      <c r="S377" s="13">
        <v>0</v>
      </c>
      <c r="T377" s="19">
        <v>1427</v>
      </c>
    </row>
    <row r="378" spans="1:22" hidden="1" x14ac:dyDescent="0.25">
      <c r="A378" s="1">
        <f t="shared" si="117"/>
        <v>42880</v>
      </c>
      <c r="B378">
        <v>37</v>
      </c>
      <c r="C378">
        <v>839.15</v>
      </c>
      <c r="E378" s="13">
        <f t="shared" si="118"/>
        <v>839.15</v>
      </c>
      <c r="F378" s="13">
        <v>839.15</v>
      </c>
      <c r="G378" s="13">
        <f t="shared" ref="G378:G389" si="119">E378-F378</f>
        <v>0</v>
      </c>
      <c r="H378" s="14">
        <v>1428</v>
      </c>
      <c r="I378" s="15">
        <v>1583.5</v>
      </c>
      <c r="J378" s="13">
        <v>1583.5</v>
      </c>
      <c r="K378" s="13">
        <v>0</v>
      </c>
      <c r="L378" s="13">
        <v>1218</v>
      </c>
      <c r="Q378" s="5">
        <f>SUMIFS(Coin!E:E,Coin!C:C,B378,Coin!D:D,A378)</f>
        <v>0</v>
      </c>
      <c r="V378" s="21">
        <v>-10</v>
      </c>
    </row>
    <row r="379" spans="1:22" hidden="1" x14ac:dyDescent="0.25">
      <c r="A379" s="1">
        <f t="shared" si="117"/>
        <v>42880</v>
      </c>
      <c r="B379">
        <v>41</v>
      </c>
      <c r="C379">
        <v>760.5</v>
      </c>
      <c r="D379">
        <v>-5</v>
      </c>
      <c r="E379" s="13">
        <f t="shared" si="118"/>
        <v>774.4</v>
      </c>
      <c r="F379" s="13">
        <v>774.4</v>
      </c>
      <c r="G379" s="13">
        <f t="shared" si="119"/>
        <v>0</v>
      </c>
      <c r="H379" s="14">
        <v>1443</v>
      </c>
      <c r="I379" s="15">
        <v>844.45</v>
      </c>
      <c r="J379" s="13">
        <v>844.45</v>
      </c>
      <c r="K379" s="13">
        <v>0</v>
      </c>
      <c r="L379" s="13">
        <v>1221</v>
      </c>
      <c r="Q379" s="5">
        <f>SUMIFS(Coin!E:E,Coin!C:C,B379,Coin!D:D,A379)</f>
        <v>0</v>
      </c>
      <c r="U379" s="21">
        <v>18.899999999999999</v>
      </c>
    </row>
    <row r="380" spans="1:22" hidden="1" x14ac:dyDescent="0.25">
      <c r="A380" s="1">
        <f t="shared" si="117"/>
        <v>42880</v>
      </c>
      <c r="B380">
        <v>43</v>
      </c>
      <c r="C380">
        <v>1287.5</v>
      </c>
      <c r="E380" s="13">
        <f t="shared" si="118"/>
        <v>1287.5</v>
      </c>
      <c r="F380" s="13">
        <v>1287.5</v>
      </c>
      <c r="G380" s="13">
        <f t="shared" si="119"/>
        <v>0</v>
      </c>
      <c r="H380" s="14">
        <v>1430</v>
      </c>
      <c r="I380" s="15">
        <v>554.95000000000005</v>
      </c>
      <c r="J380" s="13">
        <v>554.95000000000005</v>
      </c>
      <c r="K380" s="13">
        <v>0</v>
      </c>
      <c r="L380" s="13">
        <v>1213</v>
      </c>
      <c r="Q380" s="5">
        <f>SUMIFS(Coin!E:E,Coin!C:C,B380,Coin!D:D,A380)</f>
        <v>0</v>
      </c>
    </row>
    <row r="381" spans="1:22" hidden="1" x14ac:dyDescent="0.25">
      <c r="A381" s="1">
        <f t="shared" si="117"/>
        <v>42880</v>
      </c>
      <c r="B381">
        <v>44</v>
      </c>
      <c r="C381">
        <v>399.7</v>
      </c>
      <c r="E381" s="13">
        <f t="shared" si="118"/>
        <v>401.7</v>
      </c>
      <c r="F381" s="13">
        <v>401.7</v>
      </c>
      <c r="G381" s="13">
        <f t="shared" si="119"/>
        <v>0</v>
      </c>
      <c r="H381" s="14">
        <v>1431</v>
      </c>
      <c r="I381" s="15">
        <v>680.7</v>
      </c>
      <c r="J381" s="13">
        <v>680.7</v>
      </c>
      <c r="K381" s="13">
        <v>0</v>
      </c>
      <c r="L381" s="13">
        <v>1215</v>
      </c>
      <c r="Q381" s="5">
        <f>SUMIFS(Coin!E:E,Coin!C:C,B381,Coin!D:D,A381)</f>
        <v>0</v>
      </c>
      <c r="U381" s="21">
        <v>2</v>
      </c>
    </row>
    <row r="382" spans="1:22" hidden="1" x14ac:dyDescent="0.25">
      <c r="A382" s="1">
        <f t="shared" si="117"/>
        <v>42880</v>
      </c>
      <c r="B382">
        <v>103</v>
      </c>
      <c r="C382">
        <v>1158.55</v>
      </c>
      <c r="E382" s="13">
        <f t="shared" si="118"/>
        <v>1156.55</v>
      </c>
      <c r="F382" s="13">
        <v>1156.55</v>
      </c>
      <c r="G382" s="13">
        <f t="shared" si="119"/>
        <v>0</v>
      </c>
      <c r="H382" s="14">
        <v>1432</v>
      </c>
      <c r="I382" s="15">
        <v>995.85</v>
      </c>
      <c r="J382" s="13">
        <v>995.85</v>
      </c>
      <c r="K382" s="13">
        <v>0</v>
      </c>
      <c r="L382" s="13">
        <v>1212</v>
      </c>
      <c r="Q382" s="5">
        <v>2</v>
      </c>
    </row>
    <row r="383" spans="1:22" hidden="1" x14ac:dyDescent="0.25">
      <c r="A383" s="1">
        <f t="shared" si="117"/>
        <v>42880</v>
      </c>
      <c r="B383">
        <v>201</v>
      </c>
      <c r="C383">
        <v>780.65</v>
      </c>
      <c r="E383" s="13">
        <f t="shared" si="118"/>
        <v>780.65</v>
      </c>
      <c r="F383" s="13">
        <v>780.65</v>
      </c>
      <c r="G383" s="13">
        <f t="shared" si="119"/>
        <v>0</v>
      </c>
      <c r="H383" s="14">
        <v>1448</v>
      </c>
      <c r="I383" s="15">
        <v>889.78</v>
      </c>
      <c r="J383" s="13">
        <v>889.78</v>
      </c>
      <c r="K383" s="13">
        <v>0</v>
      </c>
      <c r="L383" s="13">
        <v>1217</v>
      </c>
      <c r="Q383" s="5">
        <f>SUMIFS(Coin!E:E,Coin!C:C,B383,Coin!D:D,A383)</f>
        <v>0</v>
      </c>
    </row>
    <row r="384" spans="1:22" hidden="1" x14ac:dyDescent="0.25">
      <c r="A384" s="1">
        <f t="shared" ref="A384:A390" si="120">DATE(2017,5,26)</f>
        <v>42881</v>
      </c>
      <c r="B384">
        <v>35</v>
      </c>
      <c r="C384">
        <v>1509.95</v>
      </c>
      <c r="E384" s="13">
        <f t="shared" ref="E384:E404" si="121">C384+D384-Q384+U384</f>
        <v>1500</v>
      </c>
      <c r="F384" s="13">
        <v>1500</v>
      </c>
      <c r="G384" s="13">
        <f t="shared" si="119"/>
        <v>0</v>
      </c>
      <c r="H384" s="14">
        <v>1426</v>
      </c>
      <c r="I384" s="15">
        <v>1344.09</v>
      </c>
      <c r="J384" s="13">
        <v>1344.09</v>
      </c>
      <c r="K384" s="13">
        <v>0</v>
      </c>
      <c r="L384" s="13">
        <v>1232</v>
      </c>
      <c r="M384" s="15">
        <v>20</v>
      </c>
      <c r="N384" s="13">
        <v>20</v>
      </c>
      <c r="O384" s="13">
        <v>0</v>
      </c>
      <c r="P384" s="13">
        <v>54</v>
      </c>
      <c r="Q384" s="15">
        <v>9.9499999999999993</v>
      </c>
      <c r="R384" s="13">
        <v>9.9499999999999993</v>
      </c>
      <c r="S384" s="13">
        <v>0</v>
      </c>
      <c r="T384" s="19">
        <v>1437</v>
      </c>
    </row>
    <row r="385" spans="1:22" hidden="1" x14ac:dyDescent="0.25">
      <c r="A385" s="1">
        <f t="shared" si="120"/>
        <v>42881</v>
      </c>
      <c r="B385">
        <v>37</v>
      </c>
      <c r="C385">
        <v>1244.75</v>
      </c>
      <c r="E385" s="13">
        <f t="shared" si="121"/>
        <v>1244.75</v>
      </c>
      <c r="F385" s="13">
        <v>1244.75</v>
      </c>
      <c r="G385" s="13">
        <f t="shared" si="119"/>
        <v>0</v>
      </c>
      <c r="H385" s="14">
        <v>1440</v>
      </c>
      <c r="I385" s="15">
        <v>1442.6</v>
      </c>
      <c r="J385" s="13">
        <v>1442.6</v>
      </c>
      <c r="K385" s="13">
        <v>0</v>
      </c>
      <c r="L385" s="13">
        <v>1242</v>
      </c>
      <c r="Q385" s="5">
        <f>SUMIFS(Coin!E:E,Coin!C:C,B385,Coin!D:D,A385)</f>
        <v>0</v>
      </c>
    </row>
    <row r="386" spans="1:22" hidden="1" x14ac:dyDescent="0.25">
      <c r="A386" s="1">
        <f t="shared" si="120"/>
        <v>42881</v>
      </c>
      <c r="B386">
        <v>41</v>
      </c>
      <c r="C386">
        <v>774.4</v>
      </c>
      <c r="E386" s="13">
        <f t="shared" si="121"/>
        <v>765.5</v>
      </c>
      <c r="F386" s="13">
        <v>765.5</v>
      </c>
      <c r="G386" s="13">
        <f t="shared" si="119"/>
        <v>0</v>
      </c>
      <c r="H386" s="14">
        <v>1429</v>
      </c>
      <c r="I386" s="15">
        <v>870.58</v>
      </c>
      <c r="J386" s="13">
        <v>870.58</v>
      </c>
      <c r="K386" s="13">
        <v>0</v>
      </c>
      <c r="L386" s="13">
        <v>1234</v>
      </c>
      <c r="Q386" s="5">
        <v>8.9</v>
      </c>
    </row>
    <row r="387" spans="1:22" hidden="1" x14ac:dyDescent="0.25">
      <c r="A387" s="1">
        <f t="shared" si="120"/>
        <v>42881</v>
      </c>
      <c r="B387">
        <v>43</v>
      </c>
      <c r="C387">
        <v>1484.35</v>
      </c>
      <c r="E387" s="13">
        <f t="shared" si="121"/>
        <v>1484.35</v>
      </c>
      <c r="F387" s="13">
        <v>1484.35</v>
      </c>
      <c r="G387" s="13">
        <f t="shared" si="119"/>
        <v>0</v>
      </c>
      <c r="H387" s="14">
        <v>1445</v>
      </c>
      <c r="I387" s="15">
        <v>264.95</v>
      </c>
      <c r="J387" s="13">
        <v>264.95</v>
      </c>
      <c r="K387" s="13">
        <v>0</v>
      </c>
      <c r="L387" s="13">
        <v>1236</v>
      </c>
      <c r="Q387" s="5">
        <f>SUMIFS(Coin!E:E,Coin!C:C,B387,Coin!D:D,A387)</f>
        <v>0</v>
      </c>
    </row>
    <row r="388" spans="1:22" hidden="1" x14ac:dyDescent="0.25">
      <c r="A388" s="1">
        <f t="shared" si="120"/>
        <v>42881</v>
      </c>
      <c r="B388">
        <v>44</v>
      </c>
      <c r="C388">
        <v>880.8</v>
      </c>
      <c r="E388" s="13">
        <f t="shared" si="121"/>
        <v>880.8</v>
      </c>
      <c r="F388" s="13">
        <v>880.8</v>
      </c>
      <c r="G388" s="13">
        <f t="shared" si="119"/>
        <v>0</v>
      </c>
      <c r="H388" s="14"/>
      <c r="I388" s="15">
        <v>618.9</v>
      </c>
      <c r="J388" s="13">
        <v>618.9</v>
      </c>
      <c r="K388" s="13">
        <v>0</v>
      </c>
      <c r="L388" s="13">
        <v>1233</v>
      </c>
      <c r="M388" s="15">
        <v>10</v>
      </c>
      <c r="N388" s="13">
        <v>10</v>
      </c>
      <c r="O388" s="13">
        <v>0</v>
      </c>
      <c r="P388" s="13">
        <v>50</v>
      </c>
      <c r="Q388" s="5">
        <f>SUMIFS(Coin!E:E,Coin!C:C,B388,Coin!D:D,A388)</f>
        <v>0</v>
      </c>
    </row>
    <row r="389" spans="1:22" hidden="1" x14ac:dyDescent="0.25">
      <c r="A389" s="1">
        <f t="shared" si="120"/>
        <v>42881</v>
      </c>
      <c r="B389">
        <v>103</v>
      </c>
      <c r="C389">
        <v>917.6</v>
      </c>
      <c r="E389" s="13">
        <f t="shared" si="121"/>
        <v>917.6</v>
      </c>
      <c r="F389" s="13">
        <v>917.6</v>
      </c>
      <c r="G389" s="13">
        <f t="shared" si="119"/>
        <v>0</v>
      </c>
      <c r="H389" s="14"/>
      <c r="I389" s="15">
        <f>629.45+V389</f>
        <v>632.40000000000009</v>
      </c>
      <c r="J389" s="13">
        <v>632.4</v>
      </c>
      <c r="K389" s="13">
        <v>0</v>
      </c>
      <c r="L389" s="13">
        <v>1235</v>
      </c>
      <c r="Q389" s="5">
        <f>SUMIFS(Coin!E:E,Coin!C:C,B389,Coin!D:D,A389)</f>
        <v>0</v>
      </c>
      <c r="V389" s="21">
        <v>2.95</v>
      </c>
    </row>
    <row r="390" spans="1:22" hidden="1" x14ac:dyDescent="0.25">
      <c r="A390" s="1">
        <f t="shared" si="120"/>
        <v>42881</v>
      </c>
      <c r="B390">
        <v>201</v>
      </c>
      <c r="C390">
        <v>1000.4</v>
      </c>
      <c r="D390">
        <v>-175.4</v>
      </c>
      <c r="E390" s="13">
        <f t="shared" si="121"/>
        <v>825</v>
      </c>
      <c r="F390" s="13">
        <v>825</v>
      </c>
      <c r="G390" s="13">
        <f t="shared" ref="G390:G419" si="122">E390-F390</f>
        <v>0</v>
      </c>
      <c r="H390" s="14">
        <v>1447</v>
      </c>
      <c r="I390" s="15">
        <v>589.54999999999995</v>
      </c>
      <c r="J390" s="13">
        <v>589.54999999999995</v>
      </c>
      <c r="K390" s="13">
        <v>0</v>
      </c>
      <c r="L390" s="13">
        <v>1241</v>
      </c>
      <c r="M390" s="15">
        <v>70</v>
      </c>
      <c r="N390" s="13">
        <v>70</v>
      </c>
      <c r="O390" s="13">
        <v>0</v>
      </c>
      <c r="P390" s="13">
        <v>55</v>
      </c>
      <c r="Q390" s="5">
        <f>SUMIFS(Coin!E:E,Coin!C:C,B390,Coin!D:D,A390)</f>
        <v>0</v>
      </c>
    </row>
    <row r="391" spans="1:22" hidden="1" x14ac:dyDescent="0.25">
      <c r="A391" s="1">
        <f t="shared" ref="A391:A397" si="123">DATE(2017,5,27)</f>
        <v>42882</v>
      </c>
      <c r="B391">
        <v>35</v>
      </c>
      <c r="C391">
        <v>1332.1</v>
      </c>
      <c r="E391" s="13">
        <f t="shared" si="121"/>
        <v>1332.1</v>
      </c>
      <c r="F391" s="13">
        <v>1332.1</v>
      </c>
      <c r="G391" s="13">
        <f t="shared" si="122"/>
        <v>0</v>
      </c>
      <c r="H391" s="14">
        <v>1436</v>
      </c>
      <c r="I391" s="15">
        <v>1360.9</v>
      </c>
      <c r="J391" s="13">
        <v>1360.9</v>
      </c>
      <c r="K391" s="13">
        <v>0</v>
      </c>
      <c r="L391" s="13">
        <v>1231</v>
      </c>
      <c r="Q391" s="5">
        <f>SUMIFS(Coin!E:E,Coin!C:C,B391,Coin!D:D,A391)</f>
        <v>0</v>
      </c>
    </row>
    <row r="392" spans="1:22" hidden="1" x14ac:dyDescent="0.25">
      <c r="A392" s="1">
        <f t="shared" si="123"/>
        <v>42882</v>
      </c>
      <c r="B392">
        <v>37</v>
      </c>
      <c r="C392">
        <v>496.35</v>
      </c>
      <c r="E392" s="13">
        <f t="shared" si="121"/>
        <v>516.35</v>
      </c>
      <c r="F392" s="13">
        <v>516.35</v>
      </c>
      <c r="G392" s="13">
        <f t="shared" si="122"/>
        <v>0</v>
      </c>
      <c r="H392" s="14">
        <v>1439</v>
      </c>
      <c r="I392" s="15">
        <v>1258.25</v>
      </c>
      <c r="J392" s="13">
        <v>1258.25</v>
      </c>
      <c r="K392" s="13">
        <v>0</v>
      </c>
      <c r="L392" s="13">
        <v>1239</v>
      </c>
      <c r="U392" s="21">
        <v>20</v>
      </c>
    </row>
    <row r="393" spans="1:22" hidden="1" x14ac:dyDescent="0.25">
      <c r="A393" s="1">
        <f t="shared" si="123"/>
        <v>42882</v>
      </c>
      <c r="B393">
        <v>41</v>
      </c>
      <c r="C393">
        <v>745.6</v>
      </c>
      <c r="E393" s="13">
        <f t="shared" si="121"/>
        <v>745.6</v>
      </c>
      <c r="F393" s="13">
        <v>745.6</v>
      </c>
      <c r="G393" s="13">
        <f t="shared" si="122"/>
        <v>0</v>
      </c>
      <c r="H393" s="14">
        <v>1442</v>
      </c>
      <c r="I393" s="15">
        <v>900.35</v>
      </c>
      <c r="J393" s="13">
        <v>900.35</v>
      </c>
      <c r="K393" s="13">
        <v>0</v>
      </c>
      <c r="L393" s="13">
        <v>1230</v>
      </c>
      <c r="Q393" s="5">
        <f>SUMIFS(Coin!E:E,Coin!C:C,B393,Coin!D:D,A393)</f>
        <v>0</v>
      </c>
    </row>
    <row r="394" spans="1:22" hidden="1" x14ac:dyDescent="0.25">
      <c r="A394" s="1">
        <f t="shared" si="123"/>
        <v>42882</v>
      </c>
      <c r="B394">
        <v>43</v>
      </c>
      <c r="C394">
        <v>1079.3</v>
      </c>
      <c r="E394" s="13">
        <f t="shared" si="121"/>
        <v>1079.3</v>
      </c>
      <c r="F394" s="13">
        <v>1079.3</v>
      </c>
      <c r="G394" s="13">
        <f t="shared" si="122"/>
        <v>0</v>
      </c>
      <c r="H394" s="14">
        <v>1446</v>
      </c>
      <c r="I394" s="15">
        <v>704.83</v>
      </c>
      <c r="J394" s="13">
        <v>704.83</v>
      </c>
      <c r="K394" s="13">
        <v>0</v>
      </c>
      <c r="L394" s="13">
        <v>1227</v>
      </c>
      <c r="Q394" s="5">
        <f>SUMIFS(Coin!E:E,Coin!C:C,B394,Coin!D:D,A394)</f>
        <v>0</v>
      </c>
    </row>
    <row r="395" spans="1:22" hidden="1" x14ac:dyDescent="0.25">
      <c r="A395" s="1">
        <f t="shared" si="123"/>
        <v>42882</v>
      </c>
      <c r="B395">
        <v>44</v>
      </c>
      <c r="C395">
        <v>598.75</v>
      </c>
      <c r="E395" s="13">
        <f t="shared" si="121"/>
        <v>598.75</v>
      </c>
      <c r="F395" s="13">
        <v>598.75</v>
      </c>
      <c r="G395" s="13">
        <f t="shared" si="122"/>
        <v>0</v>
      </c>
      <c r="H395" s="14"/>
      <c r="I395" s="15">
        <v>1370.55</v>
      </c>
      <c r="J395" s="13">
        <v>1370.55</v>
      </c>
      <c r="K395" s="13">
        <v>0</v>
      </c>
      <c r="L395" s="13">
        <v>1229</v>
      </c>
      <c r="M395" s="15">
        <v>29.9</v>
      </c>
      <c r="N395" s="13">
        <v>29.9</v>
      </c>
      <c r="O395" s="13">
        <v>0</v>
      </c>
      <c r="P395" s="13">
        <v>49</v>
      </c>
      <c r="Q395" s="5">
        <f>SUMIFS(Coin!E:E,Coin!C:C,B395,Coin!D:D,A395)</f>
        <v>0</v>
      </c>
    </row>
    <row r="396" spans="1:22" hidden="1" x14ac:dyDescent="0.25">
      <c r="A396" s="1">
        <f t="shared" si="123"/>
        <v>42882</v>
      </c>
      <c r="B396">
        <v>103</v>
      </c>
      <c r="C396">
        <v>868.7</v>
      </c>
      <c r="E396" s="13">
        <f t="shared" si="121"/>
        <v>868.7</v>
      </c>
      <c r="F396" s="13">
        <v>868.7</v>
      </c>
      <c r="G396" s="13">
        <f t="shared" si="122"/>
        <v>0</v>
      </c>
      <c r="H396" s="14"/>
      <c r="I396" s="15">
        <v>619.70000000000005</v>
      </c>
      <c r="J396" s="13">
        <v>619.70000000000005</v>
      </c>
      <c r="K396" s="13">
        <v>0</v>
      </c>
      <c r="L396" s="13">
        <v>1228</v>
      </c>
      <c r="Q396" s="5">
        <f>SUMIFS(Coin!E:E,Coin!C:C,B396,Coin!D:D,A396)</f>
        <v>0</v>
      </c>
    </row>
    <row r="397" spans="1:22" hidden="1" x14ac:dyDescent="0.25">
      <c r="A397" s="1">
        <f t="shared" si="123"/>
        <v>42882</v>
      </c>
      <c r="B397">
        <v>201</v>
      </c>
      <c r="C397">
        <v>584.4</v>
      </c>
      <c r="E397" s="13">
        <f t="shared" si="121"/>
        <v>584.4</v>
      </c>
      <c r="F397" s="13">
        <v>584.4</v>
      </c>
      <c r="G397" s="13">
        <f t="shared" si="122"/>
        <v>0</v>
      </c>
      <c r="H397" s="14">
        <v>1450</v>
      </c>
      <c r="I397" s="15">
        <v>844.5</v>
      </c>
      <c r="J397" s="13">
        <v>844.5</v>
      </c>
      <c r="K397" s="13">
        <v>0</v>
      </c>
      <c r="L397" s="13">
        <v>1240</v>
      </c>
      <c r="Q397" s="5">
        <f>SUMIFS(Coin!E:E,Coin!C:C,B397,Coin!D:D,A397)</f>
        <v>0</v>
      </c>
    </row>
    <row r="398" spans="1:22" hidden="1" x14ac:dyDescent="0.25">
      <c r="A398" s="1">
        <f t="shared" ref="A398:A404" si="124">DATE(2017,5,28)</f>
        <v>42883</v>
      </c>
      <c r="B398">
        <v>35</v>
      </c>
      <c r="C398">
        <v>781.35</v>
      </c>
      <c r="E398" s="13">
        <f t="shared" si="121"/>
        <v>781.35</v>
      </c>
      <c r="F398" s="13">
        <v>781.35</v>
      </c>
      <c r="G398" s="13">
        <f t="shared" si="122"/>
        <v>0</v>
      </c>
      <c r="H398" s="14">
        <v>1435</v>
      </c>
      <c r="I398" s="15">
        <v>824.49</v>
      </c>
      <c r="J398" s="13">
        <v>824.49</v>
      </c>
      <c r="K398" s="13">
        <v>0</v>
      </c>
      <c r="L398" s="13">
        <v>1226</v>
      </c>
      <c r="Q398" s="5">
        <f>SUMIFS(Coin!E:E,Coin!C:C,B398,Coin!D:D,A398)</f>
        <v>0</v>
      </c>
    </row>
    <row r="399" spans="1:22" hidden="1" x14ac:dyDescent="0.25">
      <c r="A399" s="1">
        <f t="shared" si="124"/>
        <v>42883</v>
      </c>
      <c r="B399">
        <v>37</v>
      </c>
      <c r="C399">
        <v>461.45</v>
      </c>
      <c r="E399" s="13">
        <f t="shared" si="121"/>
        <v>421.45</v>
      </c>
      <c r="F399" s="13">
        <v>421.45</v>
      </c>
      <c r="G399" s="13">
        <f t="shared" si="122"/>
        <v>0</v>
      </c>
      <c r="H399" s="14">
        <v>1438</v>
      </c>
      <c r="I399" s="15">
        <v>911.33</v>
      </c>
      <c r="J399" s="13">
        <v>911.33</v>
      </c>
      <c r="K399" s="13">
        <v>0</v>
      </c>
      <c r="L399" s="13">
        <v>1238</v>
      </c>
      <c r="Q399" s="15">
        <v>20</v>
      </c>
      <c r="R399" s="13">
        <v>20</v>
      </c>
      <c r="S399" s="13">
        <v>0</v>
      </c>
      <c r="T399" s="19">
        <v>1452</v>
      </c>
      <c r="U399" s="21">
        <v>-20</v>
      </c>
    </row>
    <row r="400" spans="1:22" hidden="1" x14ac:dyDescent="0.25">
      <c r="A400" s="1">
        <f t="shared" si="124"/>
        <v>42883</v>
      </c>
      <c r="B400">
        <v>41</v>
      </c>
      <c r="C400">
        <v>220.75</v>
      </c>
      <c r="E400" s="13">
        <f t="shared" si="121"/>
        <v>220.75</v>
      </c>
      <c r="F400" s="13">
        <v>220.75</v>
      </c>
      <c r="G400" s="13">
        <f t="shared" si="122"/>
        <v>0</v>
      </c>
      <c r="H400" s="14">
        <v>1441</v>
      </c>
      <c r="I400" s="15">
        <v>274.85000000000002</v>
      </c>
      <c r="J400" s="13">
        <v>274.85000000000002</v>
      </c>
      <c r="K400" s="13">
        <v>0</v>
      </c>
      <c r="L400" s="13">
        <v>1222</v>
      </c>
      <c r="Q400" s="5">
        <f>SUMIFS(Coin!E:E,Coin!C:C,B400,Coin!D:D,A400)</f>
        <v>0</v>
      </c>
    </row>
    <row r="401" spans="1:20" hidden="1" x14ac:dyDescent="0.25">
      <c r="A401" s="1">
        <f t="shared" si="124"/>
        <v>42883</v>
      </c>
      <c r="B401">
        <v>43</v>
      </c>
      <c r="C401">
        <v>369.8</v>
      </c>
      <c r="E401" s="13">
        <f t="shared" si="121"/>
        <v>369.8</v>
      </c>
      <c r="F401" s="13">
        <v>369.8</v>
      </c>
      <c r="G401" s="13">
        <f t="shared" si="122"/>
        <v>0</v>
      </c>
      <c r="H401" s="14">
        <v>1444</v>
      </c>
      <c r="I401" s="15">
        <v>457.8</v>
      </c>
      <c r="J401" s="13">
        <v>457.8</v>
      </c>
      <c r="K401" s="13">
        <v>0</v>
      </c>
      <c r="L401" s="13">
        <v>1225</v>
      </c>
      <c r="Q401" s="5">
        <f>SUMIFS(Coin!E:E,Coin!C:C,B401,Coin!D:D,A401)</f>
        <v>0</v>
      </c>
    </row>
    <row r="402" spans="1:20" hidden="1" x14ac:dyDescent="0.25">
      <c r="A402" s="1">
        <f t="shared" si="124"/>
        <v>42883</v>
      </c>
      <c r="B402">
        <v>44</v>
      </c>
      <c r="C402">
        <v>442.4</v>
      </c>
      <c r="E402" s="13">
        <f t="shared" si="121"/>
        <v>442.4</v>
      </c>
      <c r="F402" s="13">
        <v>442.4</v>
      </c>
      <c r="G402" s="13">
        <f t="shared" si="122"/>
        <v>0</v>
      </c>
      <c r="H402" s="14"/>
      <c r="I402" s="15">
        <v>362.05</v>
      </c>
      <c r="J402" s="13">
        <v>362.05</v>
      </c>
      <c r="K402" s="13">
        <v>0</v>
      </c>
      <c r="L402" s="13">
        <v>1223</v>
      </c>
      <c r="M402" s="15">
        <v>83.65</v>
      </c>
      <c r="N402" s="13">
        <v>83.65</v>
      </c>
      <c r="O402" s="13">
        <v>0</v>
      </c>
      <c r="P402" s="13">
        <v>48</v>
      </c>
      <c r="Q402" s="5">
        <f>SUMIFS(Coin!E:E,Coin!C:C,B402,Coin!D:D,A402)</f>
        <v>0</v>
      </c>
    </row>
    <row r="403" spans="1:20" hidden="1" x14ac:dyDescent="0.25">
      <c r="A403" s="1">
        <f t="shared" si="124"/>
        <v>42883</v>
      </c>
      <c r="B403">
        <v>103</v>
      </c>
      <c r="C403">
        <v>437.75</v>
      </c>
      <c r="E403" s="13">
        <f t="shared" si="121"/>
        <v>437.75</v>
      </c>
      <c r="F403" s="13">
        <v>437.75</v>
      </c>
      <c r="G403" s="13">
        <f t="shared" si="122"/>
        <v>0</v>
      </c>
      <c r="H403" s="14"/>
      <c r="I403" s="15">
        <v>539.54999999999995</v>
      </c>
      <c r="J403" s="13">
        <v>539.54999999999995</v>
      </c>
      <c r="K403" s="13">
        <v>0</v>
      </c>
      <c r="L403" s="13">
        <v>1224</v>
      </c>
      <c r="Q403" s="5">
        <f>SUMIFS(Coin!E:E,Coin!C:C,B403,Coin!D:D,A403)</f>
        <v>0</v>
      </c>
    </row>
    <row r="404" spans="1:20" hidden="1" x14ac:dyDescent="0.25">
      <c r="A404" s="1">
        <f t="shared" si="124"/>
        <v>42883</v>
      </c>
      <c r="B404">
        <v>201</v>
      </c>
      <c r="C404">
        <v>614.54999999999995</v>
      </c>
      <c r="E404" s="13">
        <f t="shared" si="121"/>
        <v>614.54999999999995</v>
      </c>
      <c r="F404" s="13">
        <v>614.54999999999995</v>
      </c>
      <c r="G404" s="13">
        <f t="shared" si="122"/>
        <v>0</v>
      </c>
      <c r="H404" s="14">
        <v>1449</v>
      </c>
      <c r="I404" s="15">
        <v>462.6</v>
      </c>
      <c r="J404" s="13">
        <v>462.6</v>
      </c>
      <c r="K404" s="13">
        <v>0</v>
      </c>
      <c r="L404" s="13">
        <v>1237</v>
      </c>
      <c r="Q404" s="5">
        <f>SUMIFS(Coin!E:E,Coin!C:C,B404,Coin!D:D,A404)</f>
        <v>0</v>
      </c>
    </row>
    <row r="405" spans="1:20" hidden="1" x14ac:dyDescent="0.25">
      <c r="A405" s="1">
        <f t="shared" ref="A405:A411" si="125">DATE(2017,5,29)</f>
        <v>42884</v>
      </c>
      <c r="B405">
        <v>35</v>
      </c>
      <c r="C405">
        <v>1522.2</v>
      </c>
      <c r="E405" s="13">
        <f t="shared" ref="E405:E418" si="126">C405+D405-Q405+U405</f>
        <v>1520</v>
      </c>
      <c r="F405" s="13">
        <v>1520</v>
      </c>
      <c r="G405" s="13">
        <f t="shared" si="122"/>
        <v>0</v>
      </c>
      <c r="H405" s="14">
        <v>1434</v>
      </c>
      <c r="I405" s="15">
        <v>695.4</v>
      </c>
      <c r="J405" s="13">
        <v>695.4</v>
      </c>
      <c r="K405" s="13">
        <v>0</v>
      </c>
      <c r="L405" s="13">
        <v>1249</v>
      </c>
      <c r="Q405" s="15">
        <v>2.2000000000000002</v>
      </c>
      <c r="R405" s="13">
        <v>2.2000000000000002</v>
      </c>
      <c r="S405" s="13">
        <v>0</v>
      </c>
      <c r="T405" s="19">
        <v>1451</v>
      </c>
    </row>
    <row r="406" spans="1:20" hidden="1" x14ac:dyDescent="0.25">
      <c r="A406" s="1">
        <f t="shared" si="125"/>
        <v>42884</v>
      </c>
      <c r="B406">
        <v>37</v>
      </c>
      <c r="C406">
        <v>644.15</v>
      </c>
      <c r="E406" s="13">
        <f t="shared" si="126"/>
        <v>644.15</v>
      </c>
      <c r="F406" s="13">
        <v>644.15</v>
      </c>
      <c r="G406" s="13">
        <f t="shared" si="122"/>
        <v>0</v>
      </c>
      <c r="H406" s="14">
        <v>1453</v>
      </c>
      <c r="I406" s="15">
        <v>830.5</v>
      </c>
      <c r="J406" s="13">
        <v>830.5</v>
      </c>
      <c r="K406" s="13">
        <v>0</v>
      </c>
      <c r="L406" s="13">
        <v>1255</v>
      </c>
      <c r="Q406" s="5">
        <f>SUMIFS(Coin!E:E,Coin!C:C,B406,Coin!D:D,A406)</f>
        <v>0</v>
      </c>
    </row>
    <row r="407" spans="1:20" hidden="1" x14ac:dyDescent="0.25">
      <c r="A407" s="1">
        <f t="shared" si="125"/>
        <v>42884</v>
      </c>
      <c r="B407">
        <v>41</v>
      </c>
      <c r="C407">
        <v>329.65</v>
      </c>
      <c r="E407" s="13">
        <f t="shared" si="126"/>
        <v>329.65</v>
      </c>
      <c r="F407" s="13">
        <v>329.65</v>
      </c>
      <c r="G407" s="13">
        <f t="shared" si="122"/>
        <v>0</v>
      </c>
      <c r="H407" s="14">
        <v>1454</v>
      </c>
      <c r="I407" s="15">
        <v>392.3</v>
      </c>
      <c r="J407" s="13">
        <v>392.3</v>
      </c>
      <c r="K407" s="13">
        <v>0</v>
      </c>
      <c r="L407" s="13">
        <v>1251</v>
      </c>
      <c r="Q407" s="5">
        <f>SUMIFS(Coin!E:E,Coin!C:C,B407,Coin!D:D,A407)</f>
        <v>0</v>
      </c>
    </row>
    <row r="408" spans="1:20" hidden="1" x14ac:dyDescent="0.25">
      <c r="A408" s="1">
        <f t="shared" si="125"/>
        <v>42884</v>
      </c>
      <c r="B408">
        <v>43</v>
      </c>
      <c r="C408">
        <v>913.8</v>
      </c>
      <c r="E408" s="13">
        <f t="shared" si="126"/>
        <v>913.8</v>
      </c>
      <c r="F408" s="13">
        <v>913.8</v>
      </c>
      <c r="G408" s="13">
        <f t="shared" si="122"/>
        <v>0</v>
      </c>
      <c r="H408" s="14">
        <v>1455</v>
      </c>
      <c r="I408" s="15">
        <v>352.5</v>
      </c>
      <c r="J408" s="13">
        <v>352.5</v>
      </c>
      <c r="K408" s="13">
        <v>0</v>
      </c>
      <c r="L408" s="13">
        <v>1250</v>
      </c>
      <c r="Q408" s="5">
        <f>SUMIFS(Coin!E:E,Coin!C:C,B408,Coin!D:D,A408)</f>
        <v>0</v>
      </c>
    </row>
    <row r="409" spans="1:20" hidden="1" x14ac:dyDescent="0.25">
      <c r="A409" s="1">
        <f t="shared" si="125"/>
        <v>42884</v>
      </c>
      <c r="B409">
        <v>44</v>
      </c>
      <c r="C409">
        <v>425.35</v>
      </c>
      <c r="E409" s="13">
        <f t="shared" si="126"/>
        <v>425.35</v>
      </c>
      <c r="F409" s="13">
        <v>425.35</v>
      </c>
      <c r="G409" s="13">
        <f t="shared" si="122"/>
        <v>0</v>
      </c>
      <c r="H409" s="14"/>
      <c r="I409" s="15">
        <v>518.70000000000005</v>
      </c>
      <c r="J409" s="13">
        <v>518.70000000000005</v>
      </c>
      <c r="K409" s="13">
        <v>0</v>
      </c>
      <c r="L409" s="13">
        <v>1248</v>
      </c>
      <c r="Q409" s="5">
        <f>SUMIFS(Coin!E:E,Coin!C:C,B409,Coin!D:D,A409)</f>
        <v>0</v>
      </c>
    </row>
    <row r="410" spans="1:20" hidden="1" x14ac:dyDescent="0.25">
      <c r="A410" s="1">
        <f t="shared" si="125"/>
        <v>42884</v>
      </c>
      <c r="B410">
        <v>103</v>
      </c>
      <c r="C410">
        <v>710.05</v>
      </c>
      <c r="E410" s="13">
        <f t="shared" si="126"/>
        <v>710.05</v>
      </c>
      <c r="F410" s="13">
        <v>710.05</v>
      </c>
      <c r="G410" s="13">
        <f t="shared" si="122"/>
        <v>0</v>
      </c>
      <c r="H410" s="14">
        <v>1457</v>
      </c>
      <c r="I410" s="15">
        <v>227.65</v>
      </c>
      <c r="J410" s="13">
        <v>227.65</v>
      </c>
      <c r="K410" s="13">
        <v>0</v>
      </c>
      <c r="L410" s="13">
        <v>1256</v>
      </c>
      <c r="Q410" s="5">
        <f>SUMIFS(Coin!E:E,Coin!C:C,B410,Coin!D:D,A410)</f>
        <v>0</v>
      </c>
    </row>
    <row r="411" spans="1:20" hidden="1" x14ac:dyDescent="0.25">
      <c r="A411" s="1">
        <f t="shared" si="125"/>
        <v>42884</v>
      </c>
      <c r="B411">
        <v>201</v>
      </c>
      <c r="C411">
        <v>649.75</v>
      </c>
      <c r="E411" s="13">
        <f t="shared" si="126"/>
        <v>649.75</v>
      </c>
      <c r="F411" s="13">
        <v>649.75</v>
      </c>
      <c r="G411" s="13">
        <f t="shared" si="122"/>
        <v>0</v>
      </c>
      <c r="H411" s="14">
        <v>1456</v>
      </c>
      <c r="I411" s="15">
        <v>497.8</v>
      </c>
      <c r="J411" s="13">
        <v>497.8</v>
      </c>
      <c r="K411" s="13">
        <v>0</v>
      </c>
      <c r="L411" s="13">
        <v>1254</v>
      </c>
      <c r="M411" s="15">
        <v>34.950000000000003</v>
      </c>
      <c r="N411" s="13">
        <v>34.950000000000003</v>
      </c>
      <c r="O411" s="13">
        <v>0</v>
      </c>
      <c r="P411" s="13">
        <v>51</v>
      </c>
      <c r="Q411" s="5">
        <f>SUMIFS(Coin!E:E,Coin!C:C,B411,Coin!D:D,A411)</f>
        <v>0</v>
      </c>
    </row>
    <row r="412" spans="1:20" hidden="1" x14ac:dyDescent="0.25">
      <c r="A412" s="1">
        <f t="shared" ref="A412:A418" si="127">DATE(2017,5,30)</f>
        <v>42885</v>
      </c>
      <c r="B412">
        <v>35</v>
      </c>
      <c r="C412">
        <v>1024.5</v>
      </c>
      <c r="E412" s="13">
        <f t="shared" si="126"/>
        <v>1000</v>
      </c>
      <c r="F412" s="13">
        <v>1000</v>
      </c>
      <c r="G412" s="13">
        <f t="shared" si="122"/>
        <v>0</v>
      </c>
      <c r="H412" s="14">
        <v>1433</v>
      </c>
      <c r="I412" s="15">
        <v>1200.3</v>
      </c>
      <c r="J412" s="13">
        <v>1200.3</v>
      </c>
      <c r="K412" s="13">
        <v>0</v>
      </c>
      <c r="L412" s="13">
        <v>1243</v>
      </c>
      <c r="Q412" s="15">
        <v>24.5</v>
      </c>
      <c r="R412" s="13">
        <v>24.5</v>
      </c>
      <c r="S412" s="13">
        <v>0</v>
      </c>
      <c r="T412" s="19">
        <v>1459</v>
      </c>
    </row>
    <row r="413" spans="1:20" hidden="1" x14ac:dyDescent="0.25">
      <c r="A413" s="1">
        <f t="shared" si="127"/>
        <v>42885</v>
      </c>
      <c r="B413">
        <v>37</v>
      </c>
      <c r="C413">
        <v>779.25</v>
      </c>
      <c r="E413" s="13">
        <f t="shared" si="126"/>
        <v>779.25</v>
      </c>
      <c r="F413" s="13">
        <v>779.25</v>
      </c>
      <c r="G413" s="13">
        <f t="shared" si="122"/>
        <v>0</v>
      </c>
      <c r="H413" s="14">
        <v>1460</v>
      </c>
      <c r="I413" s="15">
        <v>1193.57</v>
      </c>
      <c r="J413" s="13">
        <v>1193.57</v>
      </c>
      <c r="K413" s="13">
        <v>0</v>
      </c>
      <c r="L413" s="13">
        <v>1253</v>
      </c>
      <c r="Q413" s="5">
        <f>SUMIFS(Coin!E:E,Coin!C:C,B413,Coin!D:D,A413)</f>
        <v>0</v>
      </c>
    </row>
    <row r="414" spans="1:20" hidden="1" x14ac:dyDescent="0.25">
      <c r="A414" s="1">
        <f t="shared" si="127"/>
        <v>42885</v>
      </c>
      <c r="B414">
        <v>41</v>
      </c>
      <c r="C414">
        <v>487.3</v>
      </c>
      <c r="E414" s="13">
        <f t="shared" si="126"/>
        <v>487.3</v>
      </c>
      <c r="F414" s="13">
        <v>487.3</v>
      </c>
      <c r="G414" s="13">
        <f t="shared" si="122"/>
        <v>0</v>
      </c>
      <c r="H414" s="14">
        <v>1461</v>
      </c>
      <c r="I414" s="15">
        <v>277.45</v>
      </c>
      <c r="J414" s="13">
        <v>277.45</v>
      </c>
      <c r="K414" s="13">
        <v>0</v>
      </c>
      <c r="L414" s="13">
        <v>1247</v>
      </c>
      <c r="Q414" s="5">
        <f>SUMIFS(Coin!E:E,Coin!C:C,B414,Coin!D:D,A414)</f>
        <v>0</v>
      </c>
    </row>
    <row r="415" spans="1:20" hidden="1" x14ac:dyDescent="0.25">
      <c r="A415" s="1">
        <f t="shared" si="127"/>
        <v>42885</v>
      </c>
      <c r="B415">
        <v>43</v>
      </c>
      <c r="C415">
        <v>1150.3</v>
      </c>
      <c r="E415" s="13">
        <f t="shared" si="126"/>
        <v>1150.3</v>
      </c>
      <c r="F415" s="13">
        <v>1150.3</v>
      </c>
      <c r="G415" s="13">
        <f t="shared" si="122"/>
        <v>0</v>
      </c>
      <c r="H415" s="14">
        <v>1462</v>
      </c>
      <c r="I415" s="15">
        <v>504.4</v>
      </c>
      <c r="J415" s="13">
        <v>504.4</v>
      </c>
      <c r="K415" s="13">
        <v>0</v>
      </c>
      <c r="L415" s="13">
        <v>1245</v>
      </c>
      <c r="Q415" s="5">
        <f>SUMIFS(Coin!E:E,Coin!C:C,B415,Coin!D:D,A415)</f>
        <v>0</v>
      </c>
    </row>
    <row r="416" spans="1:20" hidden="1" x14ac:dyDescent="0.25">
      <c r="A416" s="1">
        <f t="shared" si="127"/>
        <v>42885</v>
      </c>
      <c r="B416">
        <v>44</v>
      </c>
      <c r="C416">
        <v>357.45</v>
      </c>
      <c r="E416" s="13">
        <f t="shared" si="126"/>
        <v>356.45</v>
      </c>
      <c r="F416" s="13">
        <v>356.45</v>
      </c>
      <c r="G416" s="13">
        <f t="shared" si="122"/>
        <v>0</v>
      </c>
      <c r="H416" s="14">
        <v>1463</v>
      </c>
      <c r="I416" s="15">
        <v>998.6</v>
      </c>
      <c r="J416" s="13">
        <v>998.6</v>
      </c>
      <c r="K416" s="13">
        <v>0</v>
      </c>
      <c r="L416" s="13">
        <v>1246</v>
      </c>
      <c r="Q416" s="5">
        <v>1</v>
      </c>
    </row>
    <row r="417" spans="1:22" hidden="1" x14ac:dyDescent="0.25">
      <c r="A417" s="1">
        <f t="shared" si="127"/>
        <v>42885</v>
      </c>
      <c r="B417">
        <v>103</v>
      </c>
      <c r="C417">
        <v>859.35</v>
      </c>
      <c r="E417" s="13">
        <f t="shared" si="126"/>
        <v>856.6</v>
      </c>
      <c r="F417" s="13">
        <v>856.6</v>
      </c>
      <c r="G417" s="13">
        <f t="shared" si="122"/>
        <v>0</v>
      </c>
      <c r="H417" s="14">
        <v>1465</v>
      </c>
      <c r="I417" s="15">
        <v>733.22</v>
      </c>
      <c r="J417" s="13">
        <v>733.22</v>
      </c>
      <c r="K417" s="13">
        <v>0</v>
      </c>
      <c r="L417" s="13">
        <v>1257</v>
      </c>
      <c r="Q417" s="5">
        <v>2.75</v>
      </c>
    </row>
    <row r="418" spans="1:22" hidden="1" x14ac:dyDescent="0.25">
      <c r="A418" s="1">
        <f t="shared" si="127"/>
        <v>42885</v>
      </c>
      <c r="B418">
        <v>201</v>
      </c>
      <c r="C418">
        <v>652.5</v>
      </c>
      <c r="E418" s="13">
        <f t="shared" si="126"/>
        <v>652.5</v>
      </c>
      <c r="F418" s="13">
        <v>652.5</v>
      </c>
      <c r="G418" s="13">
        <f t="shared" si="122"/>
        <v>0</v>
      </c>
      <c r="H418" s="14">
        <v>1466</v>
      </c>
      <c r="I418" s="15">
        <v>189.9</v>
      </c>
      <c r="J418" s="13">
        <v>189.9</v>
      </c>
      <c r="K418" s="13">
        <v>0</v>
      </c>
      <c r="L418" s="13">
        <v>1252</v>
      </c>
      <c r="Q418" s="5">
        <f>SUMIFS(Coin!E:E,Coin!C:C,B418,Coin!D:D,A418)</f>
        <v>0</v>
      </c>
    </row>
    <row r="419" spans="1:22" hidden="1" x14ac:dyDescent="0.25">
      <c r="A419" s="1">
        <f t="shared" ref="A419:A425" si="128">DATE(2017,5,31)</f>
        <v>42886</v>
      </c>
      <c r="B419">
        <v>35</v>
      </c>
      <c r="C419">
        <v>1278.5999999999999</v>
      </c>
      <c r="E419" s="13">
        <f t="shared" ref="E419:E425" si="129">C419+D419-Q419+U419</f>
        <v>1275</v>
      </c>
      <c r="F419" s="13">
        <v>1275</v>
      </c>
      <c r="G419" s="13">
        <f t="shared" si="122"/>
        <v>0</v>
      </c>
      <c r="H419" s="14">
        <v>1458</v>
      </c>
      <c r="I419" s="15">
        <v>1243.6500000000001</v>
      </c>
      <c r="J419" s="13">
        <v>1243.6500000000001</v>
      </c>
      <c r="K419" s="13">
        <v>0</v>
      </c>
      <c r="L419" s="13">
        <v>1261</v>
      </c>
      <c r="Q419" s="15">
        <v>3.6</v>
      </c>
      <c r="R419" s="13">
        <v>3.6</v>
      </c>
      <c r="S419" s="13">
        <v>0</v>
      </c>
      <c r="T419" s="19">
        <v>1480</v>
      </c>
    </row>
    <row r="420" spans="1:22" hidden="1" x14ac:dyDescent="0.25">
      <c r="A420" s="1">
        <f t="shared" si="128"/>
        <v>42886</v>
      </c>
      <c r="B420">
        <v>37</v>
      </c>
      <c r="C420">
        <v>959.95</v>
      </c>
      <c r="E420" s="13">
        <f t="shared" si="129"/>
        <v>959.95</v>
      </c>
      <c r="F420" s="13">
        <v>959.95</v>
      </c>
      <c r="G420" s="13">
        <f t="shared" ref="G420:G425" si="130">E420-F420</f>
        <v>0</v>
      </c>
      <c r="H420" s="14">
        <v>1468</v>
      </c>
      <c r="I420" s="15">
        <v>1118.3900000000001</v>
      </c>
      <c r="J420" s="13">
        <v>1118.3900000000001</v>
      </c>
      <c r="K420" s="13">
        <v>0</v>
      </c>
      <c r="L420" s="13">
        <v>1263</v>
      </c>
      <c r="Q420" s="5">
        <f>SUMIFS(Coin!E:E,Coin!C:C,B420,Coin!D:D,A420)</f>
        <v>0</v>
      </c>
    </row>
    <row r="421" spans="1:22" hidden="1" x14ac:dyDescent="0.25">
      <c r="A421" s="1">
        <f t="shared" si="128"/>
        <v>42886</v>
      </c>
      <c r="B421">
        <v>41</v>
      </c>
      <c r="C421">
        <v>712.65</v>
      </c>
      <c r="E421" s="13">
        <f t="shared" si="129"/>
        <v>712.65</v>
      </c>
      <c r="F421" s="13">
        <v>712.65</v>
      </c>
      <c r="G421" s="13">
        <f t="shared" si="130"/>
        <v>0</v>
      </c>
      <c r="H421" s="14">
        <v>1469</v>
      </c>
      <c r="I421" s="15">
        <v>594.95000000000005</v>
      </c>
      <c r="J421" s="13">
        <v>594.95000000000005</v>
      </c>
      <c r="K421" s="13">
        <v>0</v>
      </c>
      <c r="L421" s="13">
        <v>1259</v>
      </c>
      <c r="Q421" s="5">
        <f>SUMIFS(Coin!E:E,Coin!C:C,B421,Coin!D:D,A421)</f>
        <v>0</v>
      </c>
    </row>
    <row r="422" spans="1:22" hidden="1" x14ac:dyDescent="0.25">
      <c r="A422" s="1">
        <f t="shared" si="128"/>
        <v>42886</v>
      </c>
      <c r="B422">
        <v>43</v>
      </c>
      <c r="C422">
        <v>1655.2</v>
      </c>
      <c r="E422" s="13">
        <f t="shared" si="129"/>
        <v>1655.2</v>
      </c>
      <c r="F422" s="13">
        <v>1655.2</v>
      </c>
      <c r="G422" s="13">
        <f t="shared" si="130"/>
        <v>0</v>
      </c>
      <c r="H422" s="14">
        <v>1470</v>
      </c>
      <c r="I422" s="15">
        <v>380.15</v>
      </c>
      <c r="J422" s="13">
        <v>380.15</v>
      </c>
      <c r="K422" s="13">
        <v>0</v>
      </c>
      <c r="L422" s="13">
        <v>1260</v>
      </c>
      <c r="Q422" s="5">
        <f>SUMIFS(Coin!E:E,Coin!C:C,B422,Coin!D:D,A422)</f>
        <v>0</v>
      </c>
    </row>
    <row r="423" spans="1:22" hidden="1" x14ac:dyDescent="0.25">
      <c r="A423" s="1">
        <f t="shared" si="128"/>
        <v>42886</v>
      </c>
      <c r="B423">
        <v>44</v>
      </c>
      <c r="C423">
        <v>482.2</v>
      </c>
      <c r="E423" s="13">
        <f t="shared" si="129"/>
        <v>482.2</v>
      </c>
      <c r="F423" s="13">
        <v>482.2</v>
      </c>
      <c r="G423" s="13">
        <f t="shared" si="130"/>
        <v>0</v>
      </c>
      <c r="H423" s="14">
        <v>1471</v>
      </c>
      <c r="I423" s="15">
        <v>789.45</v>
      </c>
      <c r="J423" s="13">
        <v>789.45</v>
      </c>
      <c r="K423" s="13">
        <v>0</v>
      </c>
      <c r="L423" s="13">
        <v>1258</v>
      </c>
      <c r="M423" s="15">
        <v>10</v>
      </c>
      <c r="N423" s="13">
        <v>10</v>
      </c>
      <c r="O423" s="13">
        <v>0</v>
      </c>
      <c r="P423" s="13">
        <v>56</v>
      </c>
      <c r="Q423" s="5">
        <f>SUMIFS(Coin!E:E,Coin!C:C,B423,Coin!D:D,A423)</f>
        <v>0</v>
      </c>
    </row>
    <row r="424" spans="1:22" hidden="1" x14ac:dyDescent="0.25">
      <c r="A424" s="1">
        <f t="shared" si="128"/>
        <v>42886</v>
      </c>
      <c r="B424">
        <v>103</v>
      </c>
      <c r="C424">
        <v>1398.4</v>
      </c>
      <c r="E424" s="13">
        <f t="shared" si="129"/>
        <v>1346.4</v>
      </c>
      <c r="F424" s="13">
        <v>1346.4</v>
      </c>
      <c r="G424" s="13">
        <f t="shared" si="130"/>
        <v>0</v>
      </c>
      <c r="H424" s="14">
        <v>1474</v>
      </c>
      <c r="I424" s="15">
        <v>914</v>
      </c>
      <c r="J424" s="13">
        <v>914</v>
      </c>
      <c r="K424" s="13">
        <v>0</v>
      </c>
      <c r="L424" s="13">
        <v>1262</v>
      </c>
      <c r="Q424" s="15">
        <v>52</v>
      </c>
      <c r="R424" s="13">
        <v>52</v>
      </c>
      <c r="S424" s="13">
        <v>0</v>
      </c>
      <c r="T424" s="19">
        <v>1477</v>
      </c>
    </row>
    <row r="425" spans="1:22" hidden="1" x14ac:dyDescent="0.25">
      <c r="A425" s="1">
        <f t="shared" si="128"/>
        <v>42886</v>
      </c>
      <c r="B425">
        <v>201</v>
      </c>
      <c r="C425">
        <v>379.35</v>
      </c>
      <c r="E425" s="13">
        <f t="shared" si="129"/>
        <v>379.35</v>
      </c>
      <c r="F425" s="13">
        <v>379.35</v>
      </c>
      <c r="G425" s="13">
        <f t="shared" si="130"/>
        <v>0</v>
      </c>
      <c r="H425" s="14">
        <v>1475</v>
      </c>
      <c r="I425" s="15">
        <f>529+V425</f>
        <v>484.15</v>
      </c>
      <c r="J425" s="13">
        <v>484.15</v>
      </c>
      <c r="K425" s="13">
        <v>0</v>
      </c>
      <c r="L425" s="13">
        <v>1264</v>
      </c>
      <c r="Q425" s="5">
        <f>SUMIFS(Coin!E:E,Coin!C:C,B425,Coin!D:D,A425)</f>
        <v>0</v>
      </c>
      <c r="V425" s="21">
        <v>-44.85</v>
      </c>
    </row>
    <row r="426" spans="1:22" x14ac:dyDescent="0.25">
      <c r="A426" s="1">
        <f t="shared" ref="A426:A432" si="131">DATE(2017,6,1)</f>
        <v>42887</v>
      </c>
      <c r="B426">
        <v>35</v>
      </c>
      <c r="C426">
        <v>1848.3</v>
      </c>
      <c r="E426" s="13">
        <f t="shared" ref="E426:E432" si="132">C426+D426-Q426+U426</f>
        <v>1848.3</v>
      </c>
      <c r="F426" s="13">
        <v>1848.3</v>
      </c>
      <c r="G426" s="13">
        <f>E426-F426</f>
        <v>0</v>
      </c>
      <c r="H426" s="14">
        <v>1481</v>
      </c>
      <c r="I426" s="15">
        <v>2121.2600000000002</v>
      </c>
      <c r="J426" s="13">
        <v>2121.2600000000002</v>
      </c>
      <c r="K426" s="13">
        <v>0</v>
      </c>
      <c r="L426" s="13">
        <v>1268</v>
      </c>
      <c r="Q426" s="5">
        <f>SUMIFS(Coin!E:E,Coin!C:C,B426,Coin!D:D,A426)</f>
        <v>0</v>
      </c>
    </row>
    <row r="427" spans="1:22" x14ac:dyDescent="0.25">
      <c r="A427" s="1">
        <f t="shared" si="131"/>
        <v>42887</v>
      </c>
      <c r="B427">
        <v>37</v>
      </c>
      <c r="C427">
        <v>1351.5</v>
      </c>
      <c r="E427" s="13">
        <f t="shared" si="132"/>
        <v>1351.5</v>
      </c>
      <c r="F427" s="13">
        <v>1351.5</v>
      </c>
      <c r="G427" s="13">
        <f>E427-F427</f>
        <v>0</v>
      </c>
      <c r="H427" s="14">
        <v>1482</v>
      </c>
      <c r="I427" s="15">
        <f>1708.52+V427</f>
        <v>1723.47</v>
      </c>
      <c r="J427" s="13">
        <v>1723.47</v>
      </c>
      <c r="K427" s="13">
        <v>0</v>
      </c>
      <c r="L427" s="13">
        <v>1270</v>
      </c>
      <c r="Q427" s="5">
        <f>SUMIFS(Coin!E:E,Coin!C:C,B427,Coin!D:D,A427)</f>
        <v>0</v>
      </c>
      <c r="V427" s="21">
        <v>14.95</v>
      </c>
    </row>
    <row r="428" spans="1:22" x14ac:dyDescent="0.25">
      <c r="A428" s="1">
        <f t="shared" si="131"/>
        <v>42887</v>
      </c>
      <c r="B428">
        <v>41</v>
      </c>
      <c r="C428">
        <v>983.45</v>
      </c>
      <c r="E428" s="13">
        <f t="shared" si="132"/>
        <v>983.45</v>
      </c>
      <c r="F428" s="13">
        <v>983.45</v>
      </c>
      <c r="G428" s="13">
        <f>E428-F428</f>
        <v>0</v>
      </c>
      <c r="H428" s="14">
        <v>1483</v>
      </c>
      <c r="I428" s="15">
        <v>748.5</v>
      </c>
      <c r="J428" s="13">
        <v>748.5</v>
      </c>
      <c r="K428" s="13">
        <v>0</v>
      </c>
      <c r="L428" s="13">
        <v>1269</v>
      </c>
      <c r="Q428" s="5">
        <f>SUMIFS(Coin!E:E,Coin!C:C,B428,Coin!D:D,A428)</f>
        <v>0</v>
      </c>
    </row>
    <row r="429" spans="1:22" x14ac:dyDescent="0.25">
      <c r="A429" s="1">
        <f t="shared" si="131"/>
        <v>42887</v>
      </c>
      <c r="B429">
        <v>43</v>
      </c>
      <c r="C429">
        <v>1640.8</v>
      </c>
      <c r="E429" s="13">
        <f t="shared" si="132"/>
        <v>1640.8</v>
      </c>
      <c r="F429" s="13">
        <v>1640.8</v>
      </c>
      <c r="G429" s="13">
        <f>E429-F429</f>
        <v>0</v>
      </c>
      <c r="H429" s="14">
        <v>1484</v>
      </c>
      <c r="I429" s="15">
        <v>936.05</v>
      </c>
      <c r="J429" s="13">
        <v>936.05</v>
      </c>
      <c r="K429" s="13">
        <v>0</v>
      </c>
      <c r="L429" s="13">
        <v>1265</v>
      </c>
      <c r="Q429" s="5">
        <f>SUMIFS(Coin!E:E,Coin!C:C,B429,Coin!D:D,A429)</f>
        <v>0</v>
      </c>
    </row>
    <row r="430" spans="1:22" x14ac:dyDescent="0.25">
      <c r="A430" s="1">
        <f t="shared" si="131"/>
        <v>42887</v>
      </c>
      <c r="B430">
        <v>44</v>
      </c>
      <c r="C430">
        <v>423.25</v>
      </c>
      <c r="E430" s="13">
        <f t="shared" si="132"/>
        <v>423.25</v>
      </c>
      <c r="F430" s="13">
        <v>423.25</v>
      </c>
      <c r="G430" s="13">
        <f>E430-F430</f>
        <v>0</v>
      </c>
      <c r="H430" s="14"/>
      <c r="I430" s="15">
        <v>677.15</v>
      </c>
      <c r="J430" s="13">
        <v>677.15</v>
      </c>
      <c r="K430" s="13">
        <v>0</v>
      </c>
      <c r="L430" s="13">
        <v>1266</v>
      </c>
      <c r="Q430" s="5">
        <f>SUMIFS(Coin!E:E,Coin!C:C,B430,Coin!D:D,A430)</f>
        <v>0</v>
      </c>
    </row>
    <row r="431" spans="1:22" x14ac:dyDescent="0.25">
      <c r="A431" s="1">
        <f t="shared" si="131"/>
        <v>42887</v>
      </c>
      <c r="B431">
        <v>103</v>
      </c>
      <c r="C431">
        <v>2024.5</v>
      </c>
      <c r="E431">
        <f t="shared" si="132"/>
        <v>2024.5</v>
      </c>
      <c r="I431" s="15">
        <v>1979.85</v>
      </c>
      <c r="J431" s="13">
        <v>1979.85</v>
      </c>
      <c r="K431" s="13">
        <v>0</v>
      </c>
      <c r="L431" s="13">
        <v>1267</v>
      </c>
      <c r="Q431" s="5">
        <f>SUMIFS(Coin!E:E,Coin!C:C,B431,Coin!D:D,A431)</f>
        <v>0</v>
      </c>
    </row>
    <row r="432" spans="1:22" x14ac:dyDescent="0.25">
      <c r="A432" s="1">
        <f t="shared" si="131"/>
        <v>42887</v>
      </c>
      <c r="B432">
        <v>201</v>
      </c>
      <c r="C432">
        <v>843.45</v>
      </c>
      <c r="E432" s="13">
        <f t="shared" si="132"/>
        <v>843.45</v>
      </c>
      <c r="F432" s="13">
        <v>843.45</v>
      </c>
      <c r="G432" s="13">
        <f t="shared" ref="G432:G444" si="133">E432-F432</f>
        <v>0</v>
      </c>
      <c r="H432" s="14">
        <v>1485</v>
      </c>
      <c r="I432" s="15">
        <v>731.85</v>
      </c>
      <c r="J432" s="13">
        <v>731.85</v>
      </c>
      <c r="K432" s="13">
        <v>0</v>
      </c>
      <c r="L432" s="13">
        <v>1271</v>
      </c>
      <c r="Q432" s="5">
        <f>SUMIFS(Coin!E:E,Coin!C:C,B432,Coin!D:D,A432)</f>
        <v>0</v>
      </c>
    </row>
    <row r="433" spans="1:22" x14ac:dyDescent="0.25">
      <c r="A433" s="1">
        <f t="shared" ref="A433:A439" si="134">DATE(2017,6,2)</f>
        <v>42888</v>
      </c>
      <c r="B433">
        <v>35</v>
      </c>
      <c r="C433">
        <v>1467.1</v>
      </c>
      <c r="E433" s="13">
        <f t="shared" ref="E433:E467" si="135">C433+D433-Q433+U433</f>
        <v>1465</v>
      </c>
      <c r="F433" s="13">
        <v>1465</v>
      </c>
      <c r="G433" s="13">
        <f t="shared" si="133"/>
        <v>0</v>
      </c>
      <c r="H433" s="14">
        <v>1479</v>
      </c>
      <c r="I433" s="15">
        <v>1292.8</v>
      </c>
      <c r="J433" s="13">
        <v>1292.8</v>
      </c>
      <c r="K433" s="13">
        <v>0</v>
      </c>
      <c r="L433" s="13">
        <v>1293</v>
      </c>
      <c r="Q433" s="15">
        <v>2.1</v>
      </c>
      <c r="R433" s="13">
        <v>2.1</v>
      </c>
      <c r="S433" s="13">
        <v>0</v>
      </c>
      <c r="T433" s="19">
        <v>1490</v>
      </c>
    </row>
    <row r="434" spans="1:22" x14ac:dyDescent="0.25">
      <c r="A434" s="1">
        <f t="shared" si="134"/>
        <v>42888</v>
      </c>
      <c r="B434">
        <v>37</v>
      </c>
      <c r="C434">
        <v>1003.8</v>
      </c>
      <c r="E434" s="13">
        <f t="shared" si="135"/>
        <v>853.84999999999991</v>
      </c>
      <c r="F434" s="13">
        <v>853.85</v>
      </c>
      <c r="G434" s="13">
        <f t="shared" si="133"/>
        <v>0</v>
      </c>
      <c r="H434" s="14">
        <v>1491</v>
      </c>
      <c r="I434" s="15">
        <f>1357.75+V434</f>
        <v>1507.7</v>
      </c>
      <c r="J434" s="13">
        <v>1507.7</v>
      </c>
      <c r="K434" s="13">
        <v>0</v>
      </c>
      <c r="L434" s="13">
        <v>1305</v>
      </c>
      <c r="Q434" s="5">
        <f>SUMIFS(Coin!E:E,Coin!C:C,B434,Coin!D:D,A434)</f>
        <v>0</v>
      </c>
      <c r="U434" s="21">
        <v>-149.94999999999999</v>
      </c>
      <c r="V434" s="21">
        <v>149.94999999999999</v>
      </c>
    </row>
    <row r="435" spans="1:22" x14ac:dyDescent="0.25">
      <c r="A435" s="1">
        <f t="shared" si="134"/>
        <v>42888</v>
      </c>
      <c r="B435">
        <v>41</v>
      </c>
      <c r="C435">
        <v>697.95</v>
      </c>
      <c r="E435" s="13">
        <f t="shared" si="135"/>
        <v>697.95</v>
      </c>
      <c r="F435" s="13">
        <v>697.95</v>
      </c>
      <c r="G435" s="13">
        <f t="shared" si="133"/>
        <v>0</v>
      </c>
      <c r="H435" s="14">
        <v>1494</v>
      </c>
      <c r="I435" s="15">
        <v>901.65</v>
      </c>
      <c r="J435" s="13">
        <v>901.65</v>
      </c>
      <c r="K435" s="13">
        <v>0</v>
      </c>
      <c r="L435" s="13">
        <v>1292</v>
      </c>
      <c r="Q435" s="5">
        <f>SUMIFS(Coin!E:E,Coin!C:C,B435,Coin!D:D,A435)</f>
        <v>0</v>
      </c>
    </row>
    <row r="436" spans="1:22" x14ac:dyDescent="0.25">
      <c r="A436" s="1">
        <f t="shared" si="134"/>
        <v>42888</v>
      </c>
      <c r="B436">
        <v>43</v>
      </c>
      <c r="C436">
        <v>1428.75</v>
      </c>
      <c r="E436" s="13">
        <f t="shared" si="135"/>
        <v>1428.75</v>
      </c>
      <c r="F436" s="13">
        <v>1428.75</v>
      </c>
      <c r="G436" s="13">
        <f t="shared" si="133"/>
        <v>0</v>
      </c>
      <c r="H436" s="14">
        <v>1498</v>
      </c>
      <c r="I436" s="15">
        <v>769</v>
      </c>
      <c r="J436" s="13">
        <v>769</v>
      </c>
      <c r="K436" s="13">
        <v>0</v>
      </c>
      <c r="L436" s="13">
        <v>1295</v>
      </c>
      <c r="Q436" s="5">
        <f>SUMIFS(Coin!E:E,Coin!C:C,B436,Coin!D:D,A436)</f>
        <v>0</v>
      </c>
    </row>
    <row r="437" spans="1:22" x14ac:dyDescent="0.25">
      <c r="A437" s="1">
        <f t="shared" si="134"/>
        <v>42888</v>
      </c>
      <c r="B437">
        <v>44</v>
      </c>
      <c r="C437">
        <v>416.2</v>
      </c>
      <c r="E437" s="13">
        <f t="shared" si="135"/>
        <v>416.2</v>
      </c>
      <c r="F437" s="13">
        <v>416.2</v>
      </c>
      <c r="G437" s="13">
        <f t="shared" si="133"/>
        <v>0</v>
      </c>
      <c r="H437" s="14"/>
      <c r="I437" s="15">
        <v>941</v>
      </c>
      <c r="J437" s="13">
        <v>941</v>
      </c>
      <c r="K437" s="13">
        <v>0</v>
      </c>
      <c r="L437" s="13">
        <v>1294</v>
      </c>
      <c r="Q437" s="5">
        <f>SUMIFS(Coin!E:E,Coin!C:C,B437,Coin!D:D,A437)</f>
        <v>0</v>
      </c>
    </row>
    <row r="438" spans="1:22" x14ac:dyDescent="0.25">
      <c r="A438" s="1">
        <f t="shared" si="134"/>
        <v>42888</v>
      </c>
      <c r="B438">
        <v>103</v>
      </c>
      <c r="C438">
        <v>1219.55</v>
      </c>
      <c r="E438" s="13">
        <f t="shared" si="135"/>
        <v>1210.05</v>
      </c>
      <c r="F438" s="13">
        <v>1210.05</v>
      </c>
      <c r="G438" s="13">
        <f t="shared" si="133"/>
        <v>0</v>
      </c>
      <c r="H438" s="25">
        <v>1467</v>
      </c>
      <c r="I438" s="15">
        <v>879.85</v>
      </c>
      <c r="J438" s="13">
        <v>879.85</v>
      </c>
      <c r="K438" s="13">
        <v>0</v>
      </c>
      <c r="L438" s="13">
        <v>1291</v>
      </c>
      <c r="Q438" s="5">
        <v>9.5</v>
      </c>
    </row>
    <row r="439" spans="1:22" x14ac:dyDescent="0.25">
      <c r="A439" s="1">
        <f t="shared" si="134"/>
        <v>42888</v>
      </c>
      <c r="B439">
        <v>201</v>
      </c>
      <c r="C439">
        <v>863.95</v>
      </c>
      <c r="E439" s="13">
        <f t="shared" si="135"/>
        <v>863.95</v>
      </c>
      <c r="F439" s="13">
        <v>863.95</v>
      </c>
      <c r="G439" s="13">
        <f t="shared" si="133"/>
        <v>0</v>
      </c>
      <c r="H439" s="14">
        <v>1504</v>
      </c>
      <c r="I439" s="15">
        <v>991.1</v>
      </c>
      <c r="J439" s="13">
        <v>991.1</v>
      </c>
      <c r="K439" s="13">
        <v>0</v>
      </c>
      <c r="L439" s="13">
        <v>1304</v>
      </c>
      <c r="Q439" s="5">
        <f>SUMIFS(Coin!E:E,Coin!C:C,B439,Coin!D:D,A439)</f>
        <v>0</v>
      </c>
    </row>
    <row r="440" spans="1:22" x14ac:dyDescent="0.25">
      <c r="A440" s="1">
        <f t="shared" ref="A440:A446" si="136">DATE(2017,6,3)</f>
        <v>42889</v>
      </c>
      <c r="B440">
        <v>35</v>
      </c>
      <c r="C440">
        <v>1393.55</v>
      </c>
      <c r="E440" s="13">
        <f t="shared" si="135"/>
        <v>1390</v>
      </c>
      <c r="F440" s="13">
        <v>1390</v>
      </c>
      <c r="G440" s="13">
        <f t="shared" si="133"/>
        <v>0</v>
      </c>
      <c r="H440" s="14">
        <v>1486</v>
      </c>
      <c r="I440" s="15">
        <v>1491.9</v>
      </c>
      <c r="J440" s="13">
        <v>1491.9</v>
      </c>
      <c r="K440" s="13">
        <v>0</v>
      </c>
      <c r="L440" s="13">
        <v>1289</v>
      </c>
      <c r="Q440" s="15">
        <v>3.55</v>
      </c>
      <c r="R440" s="13">
        <v>3.55</v>
      </c>
      <c r="S440" s="13">
        <v>0</v>
      </c>
      <c r="T440" s="19">
        <v>1489</v>
      </c>
    </row>
    <row r="441" spans="1:22" x14ac:dyDescent="0.25">
      <c r="A441" s="1">
        <f t="shared" si="136"/>
        <v>42889</v>
      </c>
      <c r="B441">
        <v>37</v>
      </c>
      <c r="C441">
        <v>950.5</v>
      </c>
      <c r="E441" s="13">
        <f t="shared" si="135"/>
        <v>950.5</v>
      </c>
      <c r="F441" s="13">
        <v>950.5</v>
      </c>
      <c r="G441" s="13">
        <f t="shared" si="133"/>
        <v>0</v>
      </c>
      <c r="H441" s="14">
        <v>1492</v>
      </c>
      <c r="I441" s="15">
        <f>1771.86+V441</f>
        <v>1786.81</v>
      </c>
      <c r="J441" s="13">
        <v>1786.81</v>
      </c>
      <c r="K441" s="13">
        <v>0</v>
      </c>
      <c r="L441" s="13">
        <v>1303</v>
      </c>
      <c r="Q441" s="5">
        <f>SUMIFS(Coin!E:E,Coin!C:C,B441,Coin!D:D,A441)</f>
        <v>0</v>
      </c>
      <c r="V441" s="21">
        <v>14.95</v>
      </c>
    </row>
    <row r="442" spans="1:22" x14ac:dyDescent="0.25">
      <c r="A442" s="1">
        <f t="shared" si="136"/>
        <v>42889</v>
      </c>
      <c r="B442">
        <v>41</v>
      </c>
      <c r="C442">
        <v>738.6</v>
      </c>
      <c r="E442" s="13">
        <f t="shared" si="135"/>
        <v>778.6</v>
      </c>
      <c r="F442" s="13">
        <v>778.6</v>
      </c>
      <c r="G442" s="13">
        <f t="shared" si="133"/>
        <v>0</v>
      </c>
      <c r="H442" s="14">
        <v>1495</v>
      </c>
      <c r="I442" s="15">
        <v>804.5</v>
      </c>
      <c r="J442" s="13">
        <v>804.5</v>
      </c>
      <c r="K442" s="13">
        <v>0</v>
      </c>
      <c r="L442" s="13">
        <v>1286</v>
      </c>
      <c r="M442" s="15">
        <v>34.950000000000003</v>
      </c>
      <c r="N442" s="13">
        <v>34.950000000000003</v>
      </c>
      <c r="O442" s="13">
        <v>0</v>
      </c>
      <c r="P442" s="13">
        <v>60</v>
      </c>
      <c r="Q442" s="5">
        <f>SUMIFS(Coin!E:E,Coin!C:C,B442,Coin!D:D,A442)</f>
        <v>0</v>
      </c>
      <c r="U442" s="21">
        <v>40</v>
      </c>
      <c r="V442" s="21">
        <v>-20</v>
      </c>
    </row>
    <row r="443" spans="1:22" x14ac:dyDescent="0.25">
      <c r="A443" s="1">
        <f t="shared" si="136"/>
        <v>42889</v>
      </c>
      <c r="B443">
        <v>43</v>
      </c>
      <c r="C443">
        <v>1473.25</v>
      </c>
      <c r="E443" s="13">
        <f t="shared" si="135"/>
        <v>1473.25</v>
      </c>
      <c r="F443" s="13">
        <v>1473.25</v>
      </c>
      <c r="G443" s="13">
        <f t="shared" si="133"/>
        <v>0</v>
      </c>
      <c r="H443" s="14">
        <v>1497</v>
      </c>
      <c r="I443" s="15">
        <v>808.7</v>
      </c>
      <c r="J443" s="13">
        <v>808.7</v>
      </c>
      <c r="K443" s="13">
        <v>0</v>
      </c>
      <c r="L443" s="13">
        <v>1288</v>
      </c>
      <c r="Q443" s="5">
        <f>SUMIFS(Coin!E:E,Coin!C:C,B443,Coin!D:D,A443)</f>
        <v>0</v>
      </c>
    </row>
    <row r="444" spans="1:22" x14ac:dyDescent="0.25">
      <c r="A444" s="1">
        <f t="shared" si="136"/>
        <v>42889</v>
      </c>
      <c r="B444">
        <v>44</v>
      </c>
      <c r="C444">
        <v>455.3</v>
      </c>
      <c r="E444" s="13">
        <f t="shared" si="135"/>
        <v>455.3</v>
      </c>
      <c r="F444" s="13">
        <v>455.3</v>
      </c>
      <c r="G444" s="13">
        <f t="shared" si="133"/>
        <v>0</v>
      </c>
      <c r="H444" s="14"/>
      <c r="I444" s="15">
        <v>1069.2</v>
      </c>
      <c r="J444" s="13">
        <v>1069.2</v>
      </c>
      <c r="K444" s="13">
        <v>0</v>
      </c>
      <c r="L444" s="13">
        <v>1290</v>
      </c>
      <c r="M444" s="15">
        <v>199.7</v>
      </c>
      <c r="N444" s="13">
        <v>199.7</v>
      </c>
      <c r="O444" s="13">
        <v>0</v>
      </c>
      <c r="P444" s="13">
        <v>59</v>
      </c>
      <c r="Q444" s="5">
        <f>SUMIFS(Coin!E:E,Coin!C:C,B444,Coin!D:D,A444)</f>
        <v>0</v>
      </c>
    </row>
    <row r="445" spans="1:22" x14ac:dyDescent="0.25">
      <c r="A445" s="1">
        <f t="shared" si="136"/>
        <v>42889</v>
      </c>
      <c r="B445">
        <v>103</v>
      </c>
      <c r="C445">
        <v>1324.35</v>
      </c>
      <c r="E445" s="13">
        <f t="shared" si="135"/>
        <v>1305.3499999999999</v>
      </c>
      <c r="F445" s="13">
        <v>1305.3499999999999</v>
      </c>
      <c r="G445" s="13">
        <f t="shared" ref="G445:G457" si="137">E445-F445</f>
        <v>0</v>
      </c>
      <c r="H445" s="14">
        <v>1502</v>
      </c>
      <c r="I445" s="15">
        <v>779.9</v>
      </c>
      <c r="J445" s="13">
        <v>779.9</v>
      </c>
      <c r="K445" s="13">
        <v>0</v>
      </c>
      <c r="L445" s="13">
        <v>1287</v>
      </c>
      <c r="Q445" s="5">
        <f>SUMIFS(Coin!E:E,Coin!C:C,B445,Coin!D:D,A445)</f>
        <v>0</v>
      </c>
      <c r="U445" s="21">
        <v>-19</v>
      </c>
    </row>
    <row r="446" spans="1:22" x14ac:dyDescent="0.25">
      <c r="A446" s="1">
        <f t="shared" si="136"/>
        <v>42889</v>
      </c>
      <c r="B446">
        <v>201</v>
      </c>
      <c r="C446">
        <v>1048.55</v>
      </c>
      <c r="E446" s="13">
        <f t="shared" si="135"/>
        <v>1048.55</v>
      </c>
      <c r="F446" s="13">
        <v>1048.55</v>
      </c>
      <c r="G446" s="13">
        <f t="shared" si="137"/>
        <v>0</v>
      </c>
      <c r="H446" s="14">
        <v>1503</v>
      </c>
      <c r="I446" s="15">
        <v>583.9</v>
      </c>
      <c r="J446" s="13">
        <v>583.9</v>
      </c>
      <c r="K446" s="13">
        <v>0</v>
      </c>
      <c r="L446" s="13">
        <v>1302</v>
      </c>
      <c r="Q446" s="5">
        <f>SUMIFS(Coin!E:E,Coin!C:C,B446,Coin!D:D,A446)</f>
        <v>0</v>
      </c>
    </row>
    <row r="447" spans="1:22" x14ac:dyDescent="0.25">
      <c r="A447" s="1">
        <f t="shared" ref="A447:A453" si="138">DATE(2017,6,4)</f>
        <v>42890</v>
      </c>
      <c r="B447">
        <v>35</v>
      </c>
      <c r="C447">
        <v>848.25</v>
      </c>
      <c r="E447" s="13">
        <f t="shared" si="135"/>
        <v>848.25</v>
      </c>
      <c r="F447" s="13">
        <v>848.25</v>
      </c>
      <c r="G447" s="13">
        <f t="shared" si="137"/>
        <v>0</v>
      </c>
      <c r="H447" s="14">
        <v>1488</v>
      </c>
      <c r="I447" s="15">
        <v>1046.75</v>
      </c>
      <c r="J447" s="13">
        <v>1046.75</v>
      </c>
      <c r="K447" s="13">
        <v>0</v>
      </c>
      <c r="L447" s="13">
        <v>1282</v>
      </c>
      <c r="Q447" s="5">
        <f>SUMIFS(Coin!E:E,Coin!C:C,B447,Coin!D:D,A447)</f>
        <v>0</v>
      </c>
    </row>
    <row r="448" spans="1:22" x14ac:dyDescent="0.25">
      <c r="A448" s="1">
        <f t="shared" si="138"/>
        <v>42890</v>
      </c>
      <c r="B448">
        <v>37</v>
      </c>
      <c r="C448">
        <v>671.95</v>
      </c>
      <c r="E448" s="13">
        <f t="shared" si="135"/>
        <v>671.95</v>
      </c>
      <c r="F448" s="13">
        <v>671.95</v>
      </c>
      <c r="G448" s="13">
        <f t="shared" si="137"/>
        <v>0</v>
      </c>
      <c r="H448" s="14">
        <v>1493</v>
      </c>
      <c r="I448" s="15">
        <v>1241.98</v>
      </c>
      <c r="J448" s="13">
        <v>1241.98</v>
      </c>
      <c r="K448" s="13">
        <v>0</v>
      </c>
      <c r="L448" s="13">
        <v>1300</v>
      </c>
      <c r="Q448" s="5">
        <f>SUMIFS(Coin!E:E,Coin!C:C,B448,Coin!D:D,A448)</f>
        <v>0</v>
      </c>
    </row>
    <row r="449" spans="1:22" x14ac:dyDescent="0.25">
      <c r="A449" s="1">
        <f t="shared" si="138"/>
        <v>42890</v>
      </c>
      <c r="B449">
        <v>41</v>
      </c>
      <c r="C449">
        <v>349.65</v>
      </c>
      <c r="E449" s="13">
        <f t="shared" si="135"/>
        <v>349.65</v>
      </c>
      <c r="F449" s="13">
        <v>349.65</v>
      </c>
      <c r="G449" s="13">
        <f t="shared" si="137"/>
        <v>0</v>
      </c>
      <c r="H449" s="14">
        <v>1496</v>
      </c>
      <c r="I449" s="15">
        <v>144.80000000000001</v>
      </c>
      <c r="J449" s="13">
        <v>144.80000000000001</v>
      </c>
      <c r="K449" s="13">
        <v>0</v>
      </c>
      <c r="L449" s="13">
        <v>1284</v>
      </c>
      <c r="Q449" s="5">
        <f>SUMIFS(Coin!E:E,Coin!C:C,B449,Coin!D:D,A449)</f>
        <v>0</v>
      </c>
    </row>
    <row r="450" spans="1:22" x14ac:dyDescent="0.25">
      <c r="A450" s="1">
        <f t="shared" si="138"/>
        <v>42890</v>
      </c>
      <c r="B450">
        <v>43</v>
      </c>
      <c r="C450">
        <v>654.04999999999995</v>
      </c>
      <c r="E450" s="13">
        <f t="shared" si="135"/>
        <v>654.04999999999995</v>
      </c>
      <c r="F450" s="13">
        <v>654.04999999999995</v>
      </c>
      <c r="G450" s="13">
        <f t="shared" si="137"/>
        <v>0</v>
      </c>
      <c r="H450" s="14">
        <v>1499</v>
      </c>
      <c r="I450" s="15">
        <v>414.55</v>
      </c>
      <c r="J450" s="13">
        <v>414.55</v>
      </c>
      <c r="K450" s="13">
        <v>0</v>
      </c>
      <c r="L450" s="13">
        <v>1283</v>
      </c>
      <c r="Q450" s="5">
        <f>SUMIFS(Coin!E:E,Coin!C:C,B450,Coin!D:D,A450)</f>
        <v>0</v>
      </c>
    </row>
    <row r="451" spans="1:22" x14ac:dyDescent="0.25">
      <c r="A451" s="1">
        <f t="shared" si="138"/>
        <v>42890</v>
      </c>
      <c r="B451">
        <v>44</v>
      </c>
      <c r="C451">
        <v>332.45</v>
      </c>
      <c r="E451" s="13">
        <f t="shared" si="135"/>
        <v>332.45</v>
      </c>
      <c r="F451" s="13">
        <v>332.45</v>
      </c>
      <c r="G451" s="13">
        <f t="shared" si="137"/>
        <v>0</v>
      </c>
      <c r="H451" s="14"/>
      <c r="I451" s="15">
        <v>758.55</v>
      </c>
      <c r="J451" s="13">
        <v>758.55</v>
      </c>
      <c r="K451" s="13">
        <v>0</v>
      </c>
      <c r="L451" s="13">
        <v>1285</v>
      </c>
      <c r="M451" s="15">
        <v>7.95</v>
      </c>
      <c r="N451" s="13">
        <v>7.95</v>
      </c>
      <c r="O451" s="13">
        <v>0</v>
      </c>
      <c r="P451" s="13">
        <v>58</v>
      </c>
      <c r="Q451" s="5">
        <f>SUMIFS(Coin!E:E,Coin!C:C,B451,Coin!D:D,A451)</f>
        <v>0</v>
      </c>
    </row>
    <row r="452" spans="1:22" x14ac:dyDescent="0.25">
      <c r="A452" s="1">
        <f t="shared" si="138"/>
        <v>42890</v>
      </c>
      <c r="B452">
        <v>103</v>
      </c>
      <c r="C452">
        <v>1142.1500000000001</v>
      </c>
      <c r="E452" s="13">
        <f t="shared" si="135"/>
        <v>1161.5500000000002</v>
      </c>
      <c r="F452" s="13">
        <v>1161.55</v>
      </c>
      <c r="G452" s="13">
        <f t="shared" si="137"/>
        <v>0</v>
      </c>
      <c r="H452" s="14">
        <v>1501</v>
      </c>
      <c r="I452" s="15">
        <v>857.5</v>
      </c>
      <c r="J452" s="13">
        <v>857.5</v>
      </c>
      <c r="K452" s="13">
        <v>0</v>
      </c>
      <c r="L452" s="13">
        <v>1281</v>
      </c>
      <c r="Q452" s="5">
        <f>SUMIFS(Coin!E:E,Coin!C:C,B452,Coin!D:D,A452)</f>
        <v>0</v>
      </c>
      <c r="U452" s="21">
        <v>19.399999999999999</v>
      </c>
    </row>
    <row r="453" spans="1:22" x14ac:dyDescent="0.25">
      <c r="A453" s="1">
        <f t="shared" si="138"/>
        <v>42890</v>
      </c>
      <c r="B453">
        <v>201</v>
      </c>
      <c r="C453">
        <v>474.4</v>
      </c>
      <c r="E453" s="13">
        <f t="shared" si="135"/>
        <v>474.4</v>
      </c>
      <c r="F453" s="13">
        <v>474.4</v>
      </c>
      <c r="G453" s="13">
        <f t="shared" si="137"/>
        <v>0</v>
      </c>
      <c r="H453" s="14">
        <v>1505</v>
      </c>
      <c r="I453" s="15">
        <v>444.45</v>
      </c>
      <c r="J453" s="13">
        <v>444.45</v>
      </c>
      <c r="K453" s="13">
        <v>0</v>
      </c>
      <c r="L453" s="13">
        <v>1301</v>
      </c>
      <c r="Q453" s="5">
        <f>SUMIFS(Coin!E:E,Coin!C:C,B453,Coin!D:D,A453)</f>
        <v>0</v>
      </c>
    </row>
    <row r="454" spans="1:22" x14ac:dyDescent="0.25">
      <c r="A454" s="1">
        <f t="shared" ref="A454:A460" si="139">DATE(2017,6,5)</f>
        <v>42891</v>
      </c>
      <c r="B454">
        <v>35</v>
      </c>
      <c r="C454">
        <v>1173.2</v>
      </c>
      <c r="E454" s="13">
        <f t="shared" si="135"/>
        <v>1170</v>
      </c>
      <c r="F454" s="13">
        <v>1170</v>
      </c>
      <c r="G454" s="13">
        <f t="shared" si="137"/>
        <v>0</v>
      </c>
      <c r="H454" s="14">
        <v>1487</v>
      </c>
      <c r="I454" s="15">
        <v>668.65</v>
      </c>
      <c r="J454" s="13">
        <v>668.65</v>
      </c>
      <c r="K454" s="13">
        <v>0</v>
      </c>
      <c r="L454" s="13">
        <v>1280</v>
      </c>
      <c r="Q454" s="15">
        <v>3.2</v>
      </c>
      <c r="R454" s="13">
        <v>3.2</v>
      </c>
      <c r="S454" s="13">
        <v>0</v>
      </c>
      <c r="T454" s="19">
        <v>1478</v>
      </c>
    </row>
    <row r="455" spans="1:22" x14ac:dyDescent="0.25">
      <c r="A455" s="1">
        <f t="shared" si="139"/>
        <v>42891</v>
      </c>
      <c r="B455">
        <v>37</v>
      </c>
      <c r="C455">
        <v>554.20000000000005</v>
      </c>
      <c r="E455" s="13">
        <f t="shared" si="135"/>
        <v>554.20000000000005</v>
      </c>
      <c r="F455" s="13">
        <v>554.20000000000005</v>
      </c>
      <c r="G455" s="13">
        <f t="shared" si="137"/>
        <v>0</v>
      </c>
      <c r="H455" s="14">
        <v>1506</v>
      </c>
      <c r="I455" s="15">
        <f>510.85+V455</f>
        <v>520.85</v>
      </c>
      <c r="J455" s="13">
        <v>520.85</v>
      </c>
      <c r="K455" s="13">
        <v>0</v>
      </c>
      <c r="L455" s="13">
        <v>1298</v>
      </c>
      <c r="Q455" s="5">
        <f>SUMIFS(Coin!E:E,Coin!C:C,B455,Coin!D:D,A455)</f>
        <v>0</v>
      </c>
      <c r="V455" s="21">
        <v>10</v>
      </c>
    </row>
    <row r="456" spans="1:22" x14ac:dyDescent="0.25">
      <c r="A456" s="1">
        <f t="shared" si="139"/>
        <v>42891</v>
      </c>
      <c r="B456">
        <v>41</v>
      </c>
      <c r="C456">
        <v>607.20000000000005</v>
      </c>
      <c r="E456" s="13">
        <f t="shared" si="135"/>
        <v>607.20000000000005</v>
      </c>
      <c r="F456" s="13">
        <v>607.20000000000005</v>
      </c>
      <c r="G456" s="13">
        <f t="shared" si="137"/>
        <v>0</v>
      </c>
      <c r="H456" s="14">
        <v>1507</v>
      </c>
      <c r="I456" s="15">
        <v>477.25</v>
      </c>
      <c r="J456" s="13">
        <v>477.25</v>
      </c>
      <c r="K456" s="13">
        <v>0</v>
      </c>
      <c r="L456" s="13">
        <v>1276</v>
      </c>
      <c r="Q456" s="5">
        <f>SUMIFS(Coin!E:E,Coin!C:C,B456,Coin!D:D,A456)</f>
        <v>0</v>
      </c>
    </row>
    <row r="457" spans="1:22" x14ac:dyDescent="0.25">
      <c r="A457" s="1">
        <f t="shared" si="139"/>
        <v>42891</v>
      </c>
      <c r="B457">
        <v>43</v>
      </c>
      <c r="C457">
        <v>909.65</v>
      </c>
      <c r="E457" s="13">
        <f t="shared" si="135"/>
        <v>909.65</v>
      </c>
      <c r="F457" s="13">
        <v>909.7</v>
      </c>
      <c r="G457" s="13">
        <f t="shared" si="137"/>
        <v>-5.0000000000068212E-2</v>
      </c>
      <c r="H457" s="14">
        <v>1508</v>
      </c>
      <c r="I457" s="15">
        <v>254.55</v>
      </c>
      <c r="J457" s="13">
        <v>254.55</v>
      </c>
      <c r="K457" s="13">
        <v>0</v>
      </c>
      <c r="L457" s="13">
        <v>1278</v>
      </c>
      <c r="Q457" s="5">
        <f>SUMIFS(Coin!E:E,Coin!C:C,B457,Coin!D:D,A457)</f>
        <v>0</v>
      </c>
    </row>
    <row r="458" spans="1:22" x14ac:dyDescent="0.25">
      <c r="A458" s="1">
        <f t="shared" si="139"/>
        <v>42891</v>
      </c>
      <c r="B458">
        <v>44</v>
      </c>
      <c r="C458">
        <v>331.4</v>
      </c>
      <c r="E458" s="13">
        <f t="shared" si="135"/>
        <v>331.4</v>
      </c>
      <c r="F458" s="13">
        <v>331.4</v>
      </c>
      <c r="G458" s="13">
        <v>0</v>
      </c>
      <c r="H458" s="14"/>
      <c r="I458" s="15">
        <v>331.05</v>
      </c>
      <c r="J458" s="13">
        <v>331.05</v>
      </c>
      <c r="K458" s="13">
        <v>0</v>
      </c>
      <c r="L458" s="13">
        <v>1279</v>
      </c>
      <c r="M458" s="15">
        <v>39.9</v>
      </c>
      <c r="N458" s="13">
        <v>39.9</v>
      </c>
      <c r="O458" s="13">
        <v>0</v>
      </c>
      <c r="P458" s="13">
        <v>57</v>
      </c>
      <c r="Q458" s="5">
        <f>SUMIFS(Coin!E:E,Coin!C:C,B458,Coin!D:D,A458)</f>
        <v>0</v>
      </c>
    </row>
    <row r="459" spans="1:22" x14ac:dyDescent="0.25">
      <c r="A459" s="1">
        <f t="shared" si="139"/>
        <v>42891</v>
      </c>
      <c r="B459">
        <v>103</v>
      </c>
      <c r="C459">
        <v>1354.25</v>
      </c>
      <c r="E459" s="13">
        <f t="shared" si="135"/>
        <v>1354.25</v>
      </c>
      <c r="F459" s="13">
        <v>1354.25</v>
      </c>
      <c r="G459" s="13">
        <f t="shared" ref="G459:G464" si="140">E459-F459</f>
        <v>0</v>
      </c>
      <c r="H459" s="14">
        <v>1509</v>
      </c>
      <c r="I459" s="15">
        <v>514.29999999999995</v>
      </c>
      <c r="J459" s="13">
        <v>514.29999999999995</v>
      </c>
      <c r="K459" s="13">
        <v>0</v>
      </c>
      <c r="L459" s="13">
        <v>1277</v>
      </c>
      <c r="Q459" s="5">
        <f>SUMIFS(Coin!E:E,Coin!C:C,B459,Coin!D:D,A459)</f>
        <v>0</v>
      </c>
    </row>
    <row r="460" spans="1:22" x14ac:dyDescent="0.25">
      <c r="A460" s="1">
        <f t="shared" si="139"/>
        <v>42891</v>
      </c>
      <c r="B460">
        <v>201</v>
      </c>
      <c r="C460">
        <v>612.45000000000005</v>
      </c>
      <c r="E460" s="13">
        <f t="shared" si="135"/>
        <v>612.45000000000005</v>
      </c>
      <c r="F460" s="13">
        <v>612.45000000000005</v>
      </c>
      <c r="G460" s="13">
        <f t="shared" si="140"/>
        <v>0</v>
      </c>
      <c r="H460" s="14">
        <v>1510</v>
      </c>
      <c r="I460" s="15">
        <v>259.60000000000002</v>
      </c>
      <c r="J460" s="13">
        <v>259.60000000000002</v>
      </c>
      <c r="K460" s="13">
        <v>0</v>
      </c>
      <c r="L460" s="13">
        <v>1299</v>
      </c>
      <c r="Q460" s="5">
        <f>SUMIFS(Coin!E:E,Coin!C:C,B460,Coin!D:D,A460)</f>
        <v>0</v>
      </c>
    </row>
    <row r="461" spans="1:22" x14ac:dyDescent="0.25">
      <c r="A461" s="1">
        <f t="shared" ref="A461:A467" si="141">DATE(2017,6,6)</f>
        <v>42892</v>
      </c>
      <c r="B461">
        <v>35</v>
      </c>
      <c r="C461">
        <v>947.7</v>
      </c>
      <c r="E461" s="13">
        <f t="shared" si="135"/>
        <v>947.7</v>
      </c>
      <c r="F461" s="13">
        <v>947.7</v>
      </c>
      <c r="G461" s="13">
        <f t="shared" si="140"/>
        <v>0</v>
      </c>
      <c r="H461" s="14">
        <v>1512</v>
      </c>
      <c r="I461" s="15">
        <v>632</v>
      </c>
      <c r="J461" s="13">
        <v>632</v>
      </c>
      <c r="K461" s="13">
        <v>0</v>
      </c>
      <c r="L461" s="13">
        <v>1274</v>
      </c>
      <c r="Q461" s="5">
        <f>SUMIFS(Coin!E:E,Coin!C:C,B461,Coin!D:D,A461)</f>
        <v>0</v>
      </c>
    </row>
    <row r="462" spans="1:22" x14ac:dyDescent="0.25">
      <c r="A462" s="1">
        <f t="shared" si="141"/>
        <v>42892</v>
      </c>
      <c r="B462">
        <v>37</v>
      </c>
      <c r="C462">
        <v>669.15</v>
      </c>
      <c r="E462" s="13">
        <f t="shared" si="135"/>
        <v>669.15</v>
      </c>
      <c r="F462" s="13">
        <v>669.15</v>
      </c>
      <c r="G462" s="13">
        <f t="shared" si="140"/>
        <v>0</v>
      </c>
      <c r="H462" s="14">
        <v>1513</v>
      </c>
      <c r="I462" s="15">
        <v>808.85</v>
      </c>
      <c r="J462" s="13">
        <v>808.85</v>
      </c>
      <c r="K462" s="13">
        <v>0</v>
      </c>
      <c r="L462" s="13">
        <v>1296</v>
      </c>
      <c r="Q462" s="5">
        <f>SUMIFS(Coin!E:E,Coin!C:C,B462,Coin!D:D,A462)</f>
        <v>0</v>
      </c>
    </row>
    <row r="463" spans="1:22" x14ac:dyDescent="0.25">
      <c r="A463" s="1">
        <f t="shared" si="141"/>
        <v>42892</v>
      </c>
      <c r="B463">
        <v>41</v>
      </c>
      <c r="C463">
        <v>532.25</v>
      </c>
      <c r="E463" s="13">
        <f t="shared" si="135"/>
        <v>532.25</v>
      </c>
      <c r="F463" s="13">
        <v>532.25</v>
      </c>
      <c r="G463" s="13">
        <f t="shared" si="140"/>
        <v>0</v>
      </c>
      <c r="H463" s="14">
        <v>1514</v>
      </c>
      <c r="I463" s="15">
        <v>387.2</v>
      </c>
      <c r="J463" s="13">
        <v>387.2</v>
      </c>
      <c r="K463" s="13">
        <v>0</v>
      </c>
      <c r="L463" s="13">
        <v>1273</v>
      </c>
      <c r="Q463" s="5">
        <f>SUMIFS(Coin!E:E,Coin!C:C,B463,Coin!D:D,A463)</f>
        <v>0</v>
      </c>
    </row>
    <row r="464" spans="1:22" x14ac:dyDescent="0.25">
      <c r="A464" s="1">
        <f t="shared" si="141"/>
        <v>42892</v>
      </c>
      <c r="B464">
        <v>43</v>
      </c>
      <c r="C464">
        <v>899.5</v>
      </c>
      <c r="E464" s="13">
        <f t="shared" si="135"/>
        <v>899.5</v>
      </c>
      <c r="F464" s="13">
        <v>899.5</v>
      </c>
      <c r="G464" s="13">
        <f t="shared" si="140"/>
        <v>0</v>
      </c>
      <c r="H464" s="14">
        <v>1515</v>
      </c>
      <c r="I464" s="15">
        <v>359.4</v>
      </c>
      <c r="J464" s="13">
        <v>359.4</v>
      </c>
      <c r="K464" s="13">
        <v>0</v>
      </c>
      <c r="L464" s="13">
        <v>1275</v>
      </c>
      <c r="Q464" s="5">
        <f>SUMIFS(Coin!E:E,Coin!C:C,B464,Coin!D:D,A464)</f>
        <v>0</v>
      </c>
    </row>
    <row r="465" spans="1:21" x14ac:dyDescent="0.25">
      <c r="A465" s="1">
        <f t="shared" si="141"/>
        <v>42892</v>
      </c>
      <c r="B465">
        <v>44</v>
      </c>
      <c r="C465">
        <v>389</v>
      </c>
      <c r="E465" s="13">
        <f t="shared" si="135"/>
        <v>389</v>
      </c>
      <c r="F465" s="13">
        <v>389</v>
      </c>
      <c r="G465" s="13">
        <v>0</v>
      </c>
      <c r="H465" s="14"/>
      <c r="I465" s="15">
        <v>488.8</v>
      </c>
      <c r="J465" s="13">
        <v>488.8</v>
      </c>
      <c r="K465" s="13">
        <v>0</v>
      </c>
      <c r="L465" s="13">
        <v>1307</v>
      </c>
      <c r="M465" s="15">
        <v>39.9</v>
      </c>
      <c r="N465" s="13">
        <v>39.9</v>
      </c>
      <c r="O465" s="13">
        <v>0</v>
      </c>
      <c r="P465" s="13">
        <v>61</v>
      </c>
      <c r="Q465" s="5">
        <f>SUMIFS(Coin!E:E,Coin!C:C,B465,Coin!D:D,A465)</f>
        <v>0</v>
      </c>
    </row>
    <row r="466" spans="1:21" x14ac:dyDescent="0.25">
      <c r="A466" s="1">
        <f t="shared" si="141"/>
        <v>42892</v>
      </c>
      <c r="B466">
        <v>103</v>
      </c>
      <c r="C466">
        <v>1063.5</v>
      </c>
      <c r="E466" s="13">
        <f t="shared" si="135"/>
        <v>1063.5</v>
      </c>
      <c r="F466" s="13">
        <v>1063.5</v>
      </c>
      <c r="G466" s="13">
        <f t="shared" ref="G466:G475" si="142">E466-F466</f>
        <v>0</v>
      </c>
      <c r="H466" s="14">
        <v>1511</v>
      </c>
      <c r="I466" s="15">
        <v>434.4</v>
      </c>
      <c r="J466" s="13">
        <v>434.4</v>
      </c>
      <c r="K466" s="13">
        <v>0</v>
      </c>
      <c r="L466" s="13">
        <v>1272</v>
      </c>
      <c r="Q466" s="5">
        <f>SUMIFS(Coin!E:E,Coin!C:C,B466,Coin!D:D,A466)</f>
        <v>0</v>
      </c>
    </row>
    <row r="467" spans="1:21" x14ac:dyDescent="0.25">
      <c r="A467" s="1">
        <f t="shared" si="141"/>
        <v>42892</v>
      </c>
      <c r="B467">
        <v>201</v>
      </c>
      <c r="C467">
        <v>359.6</v>
      </c>
      <c r="E467" s="13">
        <f t="shared" si="135"/>
        <v>359</v>
      </c>
      <c r="F467" s="13">
        <v>359</v>
      </c>
      <c r="G467" s="13">
        <f t="shared" si="142"/>
        <v>0</v>
      </c>
      <c r="H467" s="14">
        <v>1516</v>
      </c>
      <c r="I467" s="15">
        <v>349.8</v>
      </c>
      <c r="J467" s="13">
        <v>349.8</v>
      </c>
      <c r="K467" s="13">
        <v>0</v>
      </c>
      <c r="L467" s="13">
        <v>1297</v>
      </c>
      <c r="Q467" s="5">
        <v>0.6</v>
      </c>
    </row>
    <row r="468" spans="1:21" x14ac:dyDescent="0.25">
      <c r="A468" s="1">
        <f t="shared" ref="A468:A474" si="143">DATE(2017,6,7)</f>
        <v>42893</v>
      </c>
      <c r="B468">
        <v>35</v>
      </c>
      <c r="C468">
        <v>859.5</v>
      </c>
      <c r="E468" s="13">
        <f t="shared" ref="E468:E481" si="144">C468+D468-Q468+U468</f>
        <v>859.5</v>
      </c>
      <c r="F468" s="13">
        <v>859.5</v>
      </c>
      <c r="G468" s="13">
        <f t="shared" si="142"/>
        <v>0</v>
      </c>
      <c r="H468" s="14">
        <v>1518</v>
      </c>
      <c r="I468" s="15">
        <v>1211.05</v>
      </c>
      <c r="J468" s="13">
        <v>1211.05</v>
      </c>
      <c r="K468" s="13">
        <v>0</v>
      </c>
      <c r="L468" s="13">
        <v>1306</v>
      </c>
      <c r="Q468" s="5">
        <f>SUMIFS(Coin!E:E,Coin!C:C,B468,Coin!D:D,A468)</f>
        <v>0</v>
      </c>
    </row>
    <row r="469" spans="1:21" x14ac:dyDescent="0.25">
      <c r="A469" s="1">
        <f t="shared" si="143"/>
        <v>42893</v>
      </c>
      <c r="B469">
        <v>37</v>
      </c>
      <c r="C469">
        <v>856.15</v>
      </c>
      <c r="E469" s="13">
        <f t="shared" si="144"/>
        <v>806.65</v>
      </c>
      <c r="F469" s="13">
        <v>806.65</v>
      </c>
      <c r="G469" s="13">
        <f t="shared" si="142"/>
        <v>0</v>
      </c>
      <c r="H469" s="14">
        <v>1519</v>
      </c>
      <c r="I469" s="15">
        <v>636.45000000000005</v>
      </c>
      <c r="J469" s="13">
        <v>636.45000000000005</v>
      </c>
      <c r="K469" s="13">
        <v>0</v>
      </c>
      <c r="L469" s="13">
        <v>1311</v>
      </c>
      <c r="Q469" s="5">
        <v>49.5</v>
      </c>
    </row>
    <row r="470" spans="1:21" x14ac:dyDescent="0.25">
      <c r="A470" s="1">
        <f t="shared" si="143"/>
        <v>42893</v>
      </c>
      <c r="B470">
        <v>41</v>
      </c>
      <c r="C470">
        <v>800</v>
      </c>
      <c r="E470" s="13">
        <f t="shared" si="144"/>
        <v>800</v>
      </c>
      <c r="F470" s="13">
        <v>800</v>
      </c>
      <c r="G470" s="13">
        <f t="shared" si="142"/>
        <v>0</v>
      </c>
      <c r="H470" s="14">
        <v>1520</v>
      </c>
      <c r="I470" s="15">
        <v>634.20000000000005</v>
      </c>
      <c r="J470" s="13">
        <v>634.20000000000005</v>
      </c>
      <c r="K470" s="13">
        <v>0</v>
      </c>
      <c r="L470" s="13">
        <v>1310</v>
      </c>
      <c r="Q470" s="5">
        <f>SUMIFS(Coin!E:E,Coin!C:C,B470,Coin!D:D,A470)</f>
        <v>0</v>
      </c>
    </row>
    <row r="471" spans="1:21" x14ac:dyDescent="0.25">
      <c r="A471" s="1">
        <f t="shared" si="143"/>
        <v>42893</v>
      </c>
      <c r="B471">
        <v>43</v>
      </c>
      <c r="C471">
        <v>827.3</v>
      </c>
      <c r="E471" s="13">
        <f t="shared" si="144"/>
        <v>827.3</v>
      </c>
      <c r="F471" s="13">
        <v>827.3</v>
      </c>
      <c r="G471" s="13">
        <f t="shared" si="142"/>
        <v>0</v>
      </c>
      <c r="H471" s="14">
        <v>1521</v>
      </c>
      <c r="I471" s="15">
        <v>319.7</v>
      </c>
      <c r="J471" s="13">
        <v>319.7</v>
      </c>
      <c r="K471" s="13">
        <v>0</v>
      </c>
      <c r="L471" s="13">
        <v>1309</v>
      </c>
      <c r="Q471" s="5">
        <f>SUMIFS(Coin!E:E,Coin!C:C,B471,Coin!D:D,A471)</f>
        <v>0</v>
      </c>
    </row>
    <row r="472" spans="1:21" x14ac:dyDescent="0.25">
      <c r="A472" s="1">
        <f t="shared" si="143"/>
        <v>42893</v>
      </c>
      <c r="B472">
        <v>44</v>
      </c>
      <c r="C472">
        <v>370.45</v>
      </c>
      <c r="E472" s="13">
        <f t="shared" si="144"/>
        <v>350.45</v>
      </c>
      <c r="F472" s="13">
        <v>350.45</v>
      </c>
      <c r="G472" s="13">
        <f t="shared" si="142"/>
        <v>0</v>
      </c>
      <c r="H472" s="14">
        <v>1522</v>
      </c>
      <c r="I472" s="15">
        <v>672.3</v>
      </c>
      <c r="J472" s="13">
        <v>672.3</v>
      </c>
      <c r="K472" s="13">
        <v>0</v>
      </c>
      <c r="L472" s="13">
        <v>1313</v>
      </c>
      <c r="Q472" s="5">
        <v>20</v>
      </c>
    </row>
    <row r="473" spans="1:21" x14ac:dyDescent="0.25">
      <c r="A473" s="1">
        <f t="shared" si="143"/>
        <v>42893</v>
      </c>
      <c r="B473">
        <v>103</v>
      </c>
      <c r="C473">
        <v>861.1</v>
      </c>
      <c r="E473" s="13">
        <f t="shared" si="144"/>
        <v>871.1</v>
      </c>
      <c r="F473" s="13">
        <v>871.1</v>
      </c>
      <c r="G473" s="13">
        <f t="shared" si="142"/>
        <v>0</v>
      </c>
      <c r="H473" s="14">
        <v>1523</v>
      </c>
      <c r="I473" s="15">
        <v>564.29999999999995</v>
      </c>
      <c r="J473" s="13">
        <v>564.29999999999995</v>
      </c>
      <c r="K473" s="13">
        <v>0</v>
      </c>
      <c r="L473" s="13">
        <v>1308</v>
      </c>
      <c r="U473" s="21">
        <v>10</v>
      </c>
    </row>
    <row r="474" spans="1:21" x14ac:dyDescent="0.25">
      <c r="A474" s="1">
        <f t="shared" si="143"/>
        <v>42893</v>
      </c>
      <c r="B474">
        <v>201</v>
      </c>
      <c r="C474">
        <v>662.05</v>
      </c>
      <c r="E474" s="13">
        <f t="shared" si="144"/>
        <v>662.05</v>
      </c>
      <c r="F474" s="13">
        <v>662.05</v>
      </c>
      <c r="G474" s="13">
        <f t="shared" si="142"/>
        <v>0</v>
      </c>
      <c r="H474" s="14">
        <v>1524</v>
      </c>
      <c r="I474" s="15">
        <v>365.7</v>
      </c>
      <c r="J474" s="13">
        <v>365.7</v>
      </c>
      <c r="K474" s="13">
        <v>0</v>
      </c>
      <c r="L474" s="13">
        <v>1312</v>
      </c>
      <c r="Q474" s="5">
        <f>SUMIFS(Coin!E:E,Coin!C:C,B474,Coin!D:D,A474)</f>
        <v>0</v>
      </c>
    </row>
    <row r="475" spans="1:21" x14ac:dyDescent="0.25">
      <c r="A475" s="1">
        <f t="shared" ref="A475:A481" si="145">DATE(2017,6,8)</f>
        <v>42894</v>
      </c>
      <c r="B475">
        <v>35</v>
      </c>
      <c r="C475">
        <v>1141.2</v>
      </c>
      <c r="E475" s="13">
        <f t="shared" si="144"/>
        <v>1135</v>
      </c>
      <c r="F475" s="13">
        <v>1135</v>
      </c>
      <c r="G475" s="13">
        <f t="shared" si="142"/>
        <v>0</v>
      </c>
      <c r="H475" s="14">
        <v>1517</v>
      </c>
      <c r="I475" s="15">
        <v>1733.95</v>
      </c>
      <c r="J475" s="13">
        <v>1733.95</v>
      </c>
      <c r="K475" s="13">
        <v>0</v>
      </c>
      <c r="L475" s="13">
        <v>1316</v>
      </c>
      <c r="Q475" s="5">
        <v>6.2</v>
      </c>
    </row>
    <row r="476" spans="1:21" x14ac:dyDescent="0.25">
      <c r="A476" s="1">
        <f t="shared" si="145"/>
        <v>42894</v>
      </c>
      <c r="B476">
        <v>37</v>
      </c>
      <c r="C476">
        <v>1194.8</v>
      </c>
      <c r="E476" s="13">
        <f t="shared" si="144"/>
        <v>1194.8</v>
      </c>
      <c r="F476" s="13">
        <v>1194.8</v>
      </c>
      <c r="G476" s="13">
        <f t="shared" ref="G476:G481" si="146">E476-F476</f>
        <v>0</v>
      </c>
      <c r="H476" s="14">
        <v>1526</v>
      </c>
      <c r="I476" s="15">
        <v>1370.7</v>
      </c>
      <c r="J476" s="13">
        <v>1370.7</v>
      </c>
      <c r="K476" s="13">
        <v>0</v>
      </c>
      <c r="L476" s="13">
        <v>1318</v>
      </c>
      <c r="Q476" s="5">
        <f>SUMIFS(Coin!E:E,Coin!C:C,B476,Coin!D:D,A476)</f>
        <v>0</v>
      </c>
    </row>
    <row r="477" spans="1:21" x14ac:dyDescent="0.25">
      <c r="A477" s="1">
        <f t="shared" si="145"/>
        <v>42894</v>
      </c>
      <c r="B477">
        <v>41</v>
      </c>
      <c r="C477">
        <v>1011.65</v>
      </c>
      <c r="E477" s="13">
        <f t="shared" si="144"/>
        <v>1011.65</v>
      </c>
      <c r="F477" s="13">
        <v>1011.65</v>
      </c>
      <c r="G477" s="13">
        <f t="shared" si="146"/>
        <v>0</v>
      </c>
      <c r="H477" s="14">
        <v>1527</v>
      </c>
      <c r="I477" s="15">
        <v>997.1</v>
      </c>
      <c r="J477" s="13">
        <v>997.1</v>
      </c>
      <c r="K477" s="13">
        <v>0</v>
      </c>
      <c r="L477" s="13">
        <v>1314</v>
      </c>
      <c r="Q477" s="5">
        <f>SUMIFS(Coin!E:E,Coin!C:C,B477,Coin!D:D,A477)</f>
        <v>0</v>
      </c>
    </row>
    <row r="478" spans="1:21" x14ac:dyDescent="0.25">
      <c r="A478" s="1">
        <f t="shared" si="145"/>
        <v>42894</v>
      </c>
      <c r="B478">
        <v>43</v>
      </c>
      <c r="C478">
        <v>1715</v>
      </c>
      <c r="E478" s="13">
        <f t="shared" si="144"/>
        <v>1715</v>
      </c>
      <c r="F478" s="13">
        <v>1715</v>
      </c>
      <c r="G478" s="13">
        <f t="shared" si="146"/>
        <v>0</v>
      </c>
      <c r="H478" s="14">
        <v>1528</v>
      </c>
      <c r="I478" s="15">
        <v>709.6</v>
      </c>
      <c r="J478" s="13">
        <v>709.6</v>
      </c>
      <c r="K478" s="13">
        <v>0</v>
      </c>
      <c r="L478" s="13">
        <v>1315</v>
      </c>
      <c r="Q478" s="5">
        <f>SUMIFS(Coin!E:E,Coin!C:C,B478,Coin!D:D,A478)</f>
        <v>0</v>
      </c>
    </row>
    <row r="479" spans="1:21" x14ac:dyDescent="0.25">
      <c r="A479" s="1">
        <f t="shared" si="145"/>
        <v>42894</v>
      </c>
      <c r="B479">
        <v>44</v>
      </c>
      <c r="C479">
        <v>578.95000000000005</v>
      </c>
      <c r="E479" s="13">
        <f t="shared" si="144"/>
        <v>578.95000000000005</v>
      </c>
      <c r="F479" s="13">
        <v>578.95000000000005</v>
      </c>
      <c r="G479" s="13">
        <f t="shared" si="146"/>
        <v>0</v>
      </c>
      <c r="H479" s="14">
        <v>1529</v>
      </c>
      <c r="I479" s="15">
        <v>1063.7</v>
      </c>
      <c r="J479" s="13">
        <v>1063.7</v>
      </c>
      <c r="K479" s="13">
        <v>0</v>
      </c>
      <c r="L479" s="13">
        <v>1332</v>
      </c>
      <c r="Q479" s="5">
        <f>SUMIFS(Coin!E:E,Coin!C:C,B479,Coin!D:D,A479)</f>
        <v>0</v>
      </c>
    </row>
    <row r="480" spans="1:21" x14ac:dyDescent="0.25">
      <c r="A480" s="1">
        <f t="shared" si="145"/>
        <v>42894</v>
      </c>
      <c r="B480">
        <v>103</v>
      </c>
      <c r="C480">
        <v>2248.4</v>
      </c>
      <c r="D480">
        <v>-5</v>
      </c>
      <c r="E480" s="13">
        <f t="shared" si="144"/>
        <v>2243.4</v>
      </c>
      <c r="F480" s="13">
        <v>2243.4</v>
      </c>
      <c r="G480" s="13">
        <f t="shared" si="146"/>
        <v>0</v>
      </c>
      <c r="H480" s="14">
        <v>1530</v>
      </c>
      <c r="I480" s="15">
        <v>2138.75</v>
      </c>
      <c r="J480" s="13">
        <v>2138.75</v>
      </c>
      <c r="K480" s="13">
        <v>0</v>
      </c>
      <c r="L480" s="13">
        <v>1317</v>
      </c>
      <c r="Q480" s="5">
        <f>SUMIFS(Coin!E:E,Coin!C:C,B480,Coin!D:D,A480)</f>
        <v>0</v>
      </c>
    </row>
    <row r="481" spans="1:21" x14ac:dyDescent="0.25">
      <c r="A481" s="1">
        <f t="shared" si="145"/>
        <v>42894</v>
      </c>
      <c r="B481">
        <v>201</v>
      </c>
      <c r="C481">
        <v>1030.3</v>
      </c>
      <c r="E481" s="13">
        <f t="shared" si="144"/>
        <v>1030.3</v>
      </c>
      <c r="F481" s="13">
        <v>1030.3</v>
      </c>
      <c r="G481" s="13">
        <f t="shared" si="146"/>
        <v>0</v>
      </c>
      <c r="H481" s="14">
        <v>1531</v>
      </c>
      <c r="I481" s="15">
        <v>734.25</v>
      </c>
      <c r="J481" s="13">
        <v>734.25</v>
      </c>
      <c r="K481" s="13">
        <v>0</v>
      </c>
      <c r="L481" s="13">
        <v>1319</v>
      </c>
      <c r="Q481" s="5">
        <f>SUMIFS(Coin!E:E,Coin!C:C,B481,Coin!D:D,A481)</f>
        <v>0</v>
      </c>
    </row>
    <row r="482" spans="1:21" x14ac:dyDescent="0.25">
      <c r="A482" s="1">
        <v>42895</v>
      </c>
      <c r="B482">
        <v>35</v>
      </c>
      <c r="C482">
        <v>1790.2</v>
      </c>
      <c r="E482" s="13">
        <f t="shared" ref="E482:E503" si="147">C482+D482-Q482+U482</f>
        <v>1820.2</v>
      </c>
      <c r="F482" s="13">
        <v>1820.2</v>
      </c>
      <c r="G482" s="13">
        <f>E482-F482</f>
        <v>0</v>
      </c>
      <c r="H482" s="14">
        <v>1536</v>
      </c>
      <c r="I482" s="15">
        <v>1124.2</v>
      </c>
      <c r="J482" s="13">
        <v>1124.2</v>
      </c>
      <c r="K482" s="13">
        <v>0</v>
      </c>
      <c r="L482" s="13">
        <v>1333</v>
      </c>
      <c r="U482" s="21">
        <v>30</v>
      </c>
    </row>
    <row r="483" spans="1:21" x14ac:dyDescent="0.25">
      <c r="A483" s="1">
        <f t="shared" ref="A483:A488" si="148">DATE(2017,6,9)</f>
        <v>42895</v>
      </c>
      <c r="B483">
        <v>37</v>
      </c>
      <c r="C483">
        <v>721.55</v>
      </c>
      <c r="E483" s="13">
        <f t="shared" si="147"/>
        <v>721.55</v>
      </c>
      <c r="F483" s="13">
        <v>721.55</v>
      </c>
      <c r="G483" s="13">
        <f>E483-F483</f>
        <v>0</v>
      </c>
      <c r="H483" s="14">
        <v>1537</v>
      </c>
      <c r="I483" s="15">
        <v>1333.7</v>
      </c>
      <c r="J483" s="13">
        <v>1333.7</v>
      </c>
      <c r="K483" s="13">
        <v>0</v>
      </c>
      <c r="L483" s="13">
        <v>1341</v>
      </c>
      <c r="Q483" s="5">
        <f>SUMIFS(Coin!E:E,Coin!C:C,B483,Coin!D:D,A483)</f>
        <v>0</v>
      </c>
    </row>
    <row r="484" spans="1:21" x14ac:dyDescent="0.25">
      <c r="A484" s="1">
        <f t="shared" si="148"/>
        <v>42895</v>
      </c>
      <c r="B484">
        <v>41</v>
      </c>
      <c r="C484">
        <v>851</v>
      </c>
      <c r="E484" s="13">
        <f t="shared" si="147"/>
        <v>851</v>
      </c>
      <c r="F484" s="13">
        <v>851</v>
      </c>
      <c r="G484" s="13">
        <f>E484-F484</f>
        <v>0</v>
      </c>
      <c r="H484" s="14">
        <v>1541</v>
      </c>
      <c r="I484" s="15">
        <v>1127.3</v>
      </c>
      <c r="J484" s="13">
        <v>1127.3</v>
      </c>
      <c r="K484" s="13">
        <v>0</v>
      </c>
      <c r="L484" s="13">
        <v>1334</v>
      </c>
      <c r="Q484" s="5">
        <f>SUMIFS(Coin!E:E,Coin!C:C,B484,Coin!D:D,A484)</f>
        <v>0</v>
      </c>
    </row>
    <row r="485" spans="1:21" x14ac:dyDescent="0.25">
      <c r="A485" s="1">
        <f t="shared" si="148"/>
        <v>42895</v>
      </c>
      <c r="B485">
        <v>43</v>
      </c>
      <c r="C485">
        <v>1619.6</v>
      </c>
      <c r="E485" s="13">
        <f t="shared" si="147"/>
        <v>1619.85</v>
      </c>
      <c r="F485" s="13">
        <v>1619.85</v>
      </c>
      <c r="G485" s="13">
        <f>E485-F485</f>
        <v>0</v>
      </c>
      <c r="H485" s="14">
        <v>1544</v>
      </c>
      <c r="I485" s="15">
        <v>632.45000000000005</v>
      </c>
      <c r="J485" s="13">
        <v>632.45000000000005</v>
      </c>
      <c r="K485" s="13">
        <v>0</v>
      </c>
      <c r="L485" s="13">
        <v>1331</v>
      </c>
      <c r="Q485" s="5">
        <f>SUMIFS(Coin!E:E,Coin!C:C,B485,Coin!D:D,A485)</f>
        <v>0</v>
      </c>
      <c r="U485" s="21">
        <v>0.25</v>
      </c>
    </row>
    <row r="486" spans="1:21" x14ac:dyDescent="0.25">
      <c r="A486" s="1">
        <f t="shared" si="148"/>
        <v>42895</v>
      </c>
      <c r="B486">
        <v>44</v>
      </c>
      <c r="C486">
        <v>408.8</v>
      </c>
      <c r="E486" s="13">
        <f t="shared" si="147"/>
        <v>408.8</v>
      </c>
      <c r="F486" s="13">
        <v>408.8</v>
      </c>
      <c r="G486" s="13">
        <v>0</v>
      </c>
      <c r="H486" s="14"/>
      <c r="I486" s="15">
        <v>748.85</v>
      </c>
      <c r="J486" s="13">
        <v>748.85</v>
      </c>
      <c r="K486" s="13">
        <v>0</v>
      </c>
      <c r="L486" s="13">
        <v>1342</v>
      </c>
      <c r="M486" s="15">
        <v>24.95</v>
      </c>
      <c r="N486" s="13">
        <v>24.95</v>
      </c>
      <c r="O486" s="13">
        <v>0</v>
      </c>
      <c r="P486" s="13">
        <v>62</v>
      </c>
      <c r="Q486" s="5">
        <f>SUMIFS(Coin!E:E,Coin!C:C,B486,Coin!D:D,A486)</f>
        <v>0</v>
      </c>
    </row>
    <row r="487" spans="1:21" x14ac:dyDescent="0.25">
      <c r="A487" s="1">
        <f t="shared" si="148"/>
        <v>42895</v>
      </c>
      <c r="B487">
        <v>103</v>
      </c>
      <c r="C487">
        <v>1059.0999999999999</v>
      </c>
      <c r="D487">
        <v>-247.95</v>
      </c>
      <c r="E487" s="13">
        <f t="shared" si="147"/>
        <v>811.14999999999986</v>
      </c>
      <c r="F487" s="13">
        <v>811.15</v>
      </c>
      <c r="G487" s="13">
        <v>0</v>
      </c>
      <c r="H487" s="14"/>
      <c r="I487" s="15">
        <v>959.4</v>
      </c>
      <c r="J487" s="13">
        <v>959.4</v>
      </c>
      <c r="K487" s="13">
        <v>0</v>
      </c>
      <c r="L487" s="13">
        <v>1335</v>
      </c>
      <c r="Q487" s="5">
        <f>SUMIFS(Coin!E:E,Coin!C:C,B487,Coin!D:D,A487)</f>
        <v>0</v>
      </c>
    </row>
    <row r="488" spans="1:21" x14ac:dyDescent="0.25">
      <c r="A488" s="1">
        <f t="shared" si="148"/>
        <v>42895</v>
      </c>
      <c r="B488">
        <v>201</v>
      </c>
      <c r="C488">
        <v>902.45</v>
      </c>
      <c r="E488" s="13">
        <f t="shared" si="147"/>
        <v>902.45</v>
      </c>
      <c r="F488" s="13">
        <v>902.45</v>
      </c>
      <c r="G488" s="13">
        <f>E488-F488</f>
        <v>0</v>
      </c>
      <c r="H488" s="14">
        <v>1551</v>
      </c>
      <c r="I488" s="15">
        <v>1164.0999999999999</v>
      </c>
      <c r="J488" s="13">
        <v>1164.0999999999999</v>
      </c>
      <c r="K488" s="13">
        <v>0</v>
      </c>
      <c r="L488" s="13">
        <v>1340</v>
      </c>
      <c r="Q488" s="5">
        <f>SUMIFS(Coin!E:E,Coin!C:C,B488,Coin!D:D,A488)</f>
        <v>0</v>
      </c>
    </row>
    <row r="489" spans="1:21" x14ac:dyDescent="0.25">
      <c r="A489" s="1">
        <v>42896</v>
      </c>
      <c r="B489">
        <v>35</v>
      </c>
      <c r="C489">
        <v>1676.8</v>
      </c>
      <c r="E489" s="13">
        <f t="shared" si="147"/>
        <v>1676.8</v>
      </c>
      <c r="F489" s="13">
        <v>1676.8</v>
      </c>
      <c r="G489" s="13">
        <f>E489-F489</f>
        <v>0</v>
      </c>
      <c r="H489" s="14">
        <v>1534</v>
      </c>
      <c r="I489" s="15">
        <v>1039.8499999999999</v>
      </c>
      <c r="J489" s="13">
        <v>1039.8499999999999</v>
      </c>
      <c r="K489" s="13">
        <v>0</v>
      </c>
      <c r="L489" s="13">
        <v>1329</v>
      </c>
    </row>
    <row r="490" spans="1:21" x14ac:dyDescent="0.25">
      <c r="A490" s="1">
        <f t="shared" ref="A490:A495" si="149">DATE(2017,6,10)</f>
        <v>42896</v>
      </c>
      <c r="B490">
        <v>37</v>
      </c>
      <c r="C490">
        <v>939.45</v>
      </c>
      <c r="E490" s="13">
        <f t="shared" si="147"/>
        <v>939.45</v>
      </c>
      <c r="F490" s="13">
        <v>939.45</v>
      </c>
      <c r="G490" s="13">
        <f>E490-F490</f>
        <v>0</v>
      </c>
      <c r="H490" s="14">
        <v>1539</v>
      </c>
      <c r="I490" s="15">
        <v>1333.48</v>
      </c>
      <c r="J490" s="13">
        <v>1333.48</v>
      </c>
      <c r="K490" s="13">
        <v>0</v>
      </c>
      <c r="L490" s="13">
        <v>1339</v>
      </c>
      <c r="Q490" s="5">
        <f>SUMIFS(Coin!E:E,Coin!C:C,B490,Coin!D:D,A490)</f>
        <v>0</v>
      </c>
    </row>
    <row r="491" spans="1:21" x14ac:dyDescent="0.25">
      <c r="A491" s="1">
        <f t="shared" si="149"/>
        <v>42896</v>
      </c>
      <c r="B491">
        <v>41</v>
      </c>
      <c r="C491">
        <v>779.15</v>
      </c>
      <c r="E491" s="13">
        <f t="shared" si="147"/>
        <v>779.15</v>
      </c>
      <c r="F491" s="13">
        <v>779.15</v>
      </c>
      <c r="G491" s="13">
        <f>E491-F491</f>
        <v>0</v>
      </c>
      <c r="H491" s="14">
        <v>1540</v>
      </c>
      <c r="I491" s="15">
        <v>942.76</v>
      </c>
      <c r="J491" s="13">
        <v>942.76</v>
      </c>
      <c r="K491" s="13">
        <v>0</v>
      </c>
      <c r="L491" s="13">
        <v>1330</v>
      </c>
      <c r="Q491" s="5">
        <f>SUMIFS(Coin!E:E,Coin!C:C,B491,Coin!D:D,A491)</f>
        <v>0</v>
      </c>
    </row>
    <row r="492" spans="1:21" x14ac:dyDescent="0.25">
      <c r="A492" s="1">
        <f t="shared" si="149"/>
        <v>42896</v>
      </c>
      <c r="B492">
        <v>43</v>
      </c>
      <c r="C492">
        <v>1636.95</v>
      </c>
      <c r="E492" s="13">
        <f t="shared" si="147"/>
        <v>1636.95</v>
      </c>
      <c r="F492" s="13">
        <v>1636.95</v>
      </c>
      <c r="G492" s="13">
        <f>E492-F492</f>
        <v>0</v>
      </c>
      <c r="H492" s="14">
        <v>1545</v>
      </c>
      <c r="I492" s="15">
        <v>727.1</v>
      </c>
      <c r="J492" s="13">
        <v>727.1</v>
      </c>
      <c r="K492" s="13">
        <v>0</v>
      </c>
      <c r="L492" s="13">
        <v>1326</v>
      </c>
      <c r="Q492" s="5">
        <f>SUMIFS(Coin!E:E,Coin!C:C,B492,Coin!D:D,A492)</f>
        <v>0</v>
      </c>
    </row>
    <row r="493" spans="1:21" x14ac:dyDescent="0.25">
      <c r="A493" s="1">
        <f t="shared" si="149"/>
        <v>42896</v>
      </c>
      <c r="B493">
        <v>44</v>
      </c>
      <c r="C493">
        <v>869</v>
      </c>
      <c r="E493" s="13">
        <f t="shared" si="147"/>
        <v>869</v>
      </c>
      <c r="F493" s="13">
        <v>869</v>
      </c>
      <c r="G493" s="13">
        <v>0</v>
      </c>
      <c r="H493" s="14"/>
      <c r="I493" s="15">
        <v>1069.2</v>
      </c>
      <c r="J493" s="13">
        <v>1069.2</v>
      </c>
      <c r="K493" s="13">
        <v>0</v>
      </c>
      <c r="L493" s="13">
        <v>1343</v>
      </c>
      <c r="Q493" s="5">
        <f>SUMIFS(Coin!E:E,Coin!C:C,B493,Coin!D:D,A493)</f>
        <v>0</v>
      </c>
    </row>
    <row r="494" spans="1:21" x14ac:dyDescent="0.25">
      <c r="A494" s="1">
        <f t="shared" si="149"/>
        <v>42896</v>
      </c>
      <c r="B494">
        <v>103</v>
      </c>
      <c r="C494">
        <v>1245.3</v>
      </c>
      <c r="E494" s="13">
        <f t="shared" si="147"/>
        <v>1245.3</v>
      </c>
      <c r="F494" s="13">
        <v>1245.3</v>
      </c>
      <c r="G494" s="13">
        <f t="shared" ref="G494:G500" si="150">E494-F494</f>
        <v>0</v>
      </c>
      <c r="H494" s="14">
        <v>1525</v>
      </c>
      <c r="I494" s="15">
        <v>1176.1500000000001</v>
      </c>
      <c r="J494" s="13">
        <v>1176.1500000000001</v>
      </c>
      <c r="K494" s="13">
        <v>0</v>
      </c>
      <c r="L494" s="13">
        <v>1327</v>
      </c>
      <c r="Q494" s="5">
        <f>SUMIFS(Coin!E:E,Coin!C:C,B494,Coin!D:D,A494)</f>
        <v>0</v>
      </c>
    </row>
    <row r="495" spans="1:21" x14ac:dyDescent="0.25">
      <c r="A495" s="1">
        <f t="shared" si="149"/>
        <v>42896</v>
      </c>
      <c r="B495">
        <v>201</v>
      </c>
      <c r="C495">
        <v>1006.9</v>
      </c>
      <c r="E495" s="13">
        <f t="shared" si="147"/>
        <v>977.69999999999993</v>
      </c>
      <c r="F495" s="13">
        <v>977.7</v>
      </c>
      <c r="G495" s="13">
        <f t="shared" si="150"/>
        <v>0</v>
      </c>
      <c r="H495" s="14">
        <v>1550</v>
      </c>
      <c r="I495" s="15">
        <v>1129</v>
      </c>
      <c r="J495" s="13">
        <v>1129</v>
      </c>
      <c r="K495" s="13">
        <v>0</v>
      </c>
      <c r="L495" s="13">
        <v>1338</v>
      </c>
      <c r="U495" s="21">
        <v>-29.2</v>
      </c>
    </row>
    <row r="496" spans="1:21" x14ac:dyDescent="0.25">
      <c r="A496" s="1">
        <f t="shared" ref="A496:A502" si="151">DATE(2017,6,11)</f>
        <v>42897</v>
      </c>
      <c r="B496">
        <v>35</v>
      </c>
      <c r="C496">
        <v>640.1</v>
      </c>
      <c r="E496" s="13">
        <f t="shared" si="147"/>
        <v>640.1</v>
      </c>
      <c r="F496" s="13">
        <v>640.1</v>
      </c>
      <c r="G496" s="13">
        <f t="shared" si="150"/>
        <v>0</v>
      </c>
      <c r="H496" s="14">
        <v>1535</v>
      </c>
      <c r="I496" s="15">
        <v>1311.3</v>
      </c>
      <c r="J496" s="13">
        <v>1311.3</v>
      </c>
      <c r="K496" s="13">
        <v>0</v>
      </c>
      <c r="L496" s="13">
        <v>1321</v>
      </c>
      <c r="Q496" s="5">
        <f>SUMIFS(Coin!E:E,Coin!C:C,B496,Coin!D:D,A496)</f>
        <v>0</v>
      </c>
    </row>
    <row r="497" spans="1:22" x14ac:dyDescent="0.25">
      <c r="A497" s="1">
        <f t="shared" si="151"/>
        <v>42897</v>
      </c>
      <c r="B497">
        <v>37</v>
      </c>
      <c r="C497">
        <v>659.6</v>
      </c>
      <c r="E497" s="13">
        <f t="shared" si="147"/>
        <v>659.6</v>
      </c>
      <c r="F497" s="13">
        <v>659.6</v>
      </c>
      <c r="G497" s="13">
        <f t="shared" si="150"/>
        <v>0</v>
      </c>
      <c r="H497" s="14">
        <v>1538</v>
      </c>
      <c r="I497" s="15">
        <v>1053.8499999999999</v>
      </c>
      <c r="J497" s="13">
        <v>1053.8499999999999</v>
      </c>
      <c r="K497" s="13">
        <v>0</v>
      </c>
      <c r="L497" s="13">
        <v>1337</v>
      </c>
      <c r="Q497" s="5">
        <f>SUMIFS(Coin!E:E,Coin!C:C,B497,Coin!D:D,A497)</f>
        <v>0</v>
      </c>
    </row>
    <row r="498" spans="1:22" x14ac:dyDescent="0.25">
      <c r="A498" s="1">
        <f t="shared" si="151"/>
        <v>42897</v>
      </c>
      <c r="B498">
        <v>41</v>
      </c>
      <c r="C498">
        <v>304.64999999999998</v>
      </c>
      <c r="E498" s="13">
        <f t="shared" si="147"/>
        <v>304.64999999999998</v>
      </c>
      <c r="F498" s="13">
        <v>304.64999999999998</v>
      </c>
      <c r="G498" s="13">
        <f t="shared" si="150"/>
        <v>0</v>
      </c>
      <c r="H498" s="14">
        <v>1542</v>
      </c>
      <c r="I498" s="15">
        <v>234.65</v>
      </c>
      <c r="J498" s="13">
        <v>234.65</v>
      </c>
      <c r="K498" s="13">
        <v>0</v>
      </c>
      <c r="L498" s="13">
        <v>1325</v>
      </c>
      <c r="Q498" s="5">
        <f>SUMIFS(Coin!E:E,Coin!C:C,B498,Coin!D:D,A498)</f>
        <v>0</v>
      </c>
    </row>
    <row r="499" spans="1:22" x14ac:dyDescent="0.25">
      <c r="A499" s="1">
        <f t="shared" si="151"/>
        <v>42897</v>
      </c>
      <c r="B499">
        <v>43</v>
      </c>
      <c r="C499">
        <v>667.5</v>
      </c>
      <c r="E499" s="13">
        <f t="shared" si="147"/>
        <v>667.5</v>
      </c>
      <c r="F499" s="13">
        <v>667.5</v>
      </c>
      <c r="G499" s="13">
        <f t="shared" si="150"/>
        <v>0</v>
      </c>
      <c r="H499" s="14">
        <v>1543</v>
      </c>
      <c r="I499" s="15">
        <v>204.95</v>
      </c>
      <c r="J499" s="13">
        <v>204.95</v>
      </c>
      <c r="K499" s="13">
        <v>0</v>
      </c>
      <c r="L499" s="13">
        <v>1323</v>
      </c>
      <c r="Q499" s="5">
        <f>SUMIFS(Coin!E:E,Coin!C:C,B499,Coin!D:D,A499)</f>
        <v>0</v>
      </c>
    </row>
    <row r="500" spans="1:22" x14ac:dyDescent="0.25">
      <c r="A500" s="1">
        <f t="shared" si="151"/>
        <v>42897</v>
      </c>
      <c r="B500">
        <v>44</v>
      </c>
      <c r="C500">
        <v>368.5</v>
      </c>
      <c r="E500" s="13">
        <f t="shared" si="147"/>
        <v>368.5</v>
      </c>
      <c r="F500" s="13">
        <v>368.5</v>
      </c>
      <c r="G500" s="13">
        <f t="shared" si="150"/>
        <v>0</v>
      </c>
      <c r="H500" s="14">
        <v>1553</v>
      </c>
      <c r="I500" s="15">
        <v>851.05</v>
      </c>
      <c r="J500" s="13">
        <v>851.05</v>
      </c>
      <c r="K500" s="13">
        <v>0</v>
      </c>
      <c r="L500" s="13">
        <v>1322</v>
      </c>
      <c r="Q500" s="5">
        <f>SUMIFS(Coin!E:E,Coin!C:C,B500,Coin!D:D,A500)</f>
        <v>0</v>
      </c>
    </row>
    <row r="501" spans="1:22" x14ac:dyDescent="0.25">
      <c r="A501" s="1">
        <f t="shared" si="151"/>
        <v>42897</v>
      </c>
      <c r="B501">
        <v>103</v>
      </c>
      <c r="C501">
        <v>599.85</v>
      </c>
      <c r="E501" s="13">
        <f t="shared" si="147"/>
        <v>583.1</v>
      </c>
      <c r="F501" s="13">
        <v>583.1</v>
      </c>
      <c r="G501" s="13">
        <f>E501-F501</f>
        <v>0</v>
      </c>
      <c r="H501" s="14">
        <v>1580</v>
      </c>
      <c r="I501" s="15">
        <v>419.85</v>
      </c>
      <c r="J501" s="13">
        <v>419.85</v>
      </c>
      <c r="K501" s="13">
        <v>0</v>
      </c>
      <c r="L501" s="13">
        <v>1324</v>
      </c>
      <c r="Q501" s="5">
        <f>SUMIFS(Coin!E:E,Coin!C:C,B501,Coin!D:D,A501)</f>
        <v>0</v>
      </c>
      <c r="U501" s="21">
        <v>-16.75</v>
      </c>
    </row>
    <row r="502" spans="1:22" x14ac:dyDescent="0.25">
      <c r="A502" s="1">
        <f t="shared" si="151"/>
        <v>42897</v>
      </c>
      <c r="B502">
        <v>201</v>
      </c>
      <c r="C502">
        <v>574.79999999999995</v>
      </c>
      <c r="E502" s="13">
        <f t="shared" si="147"/>
        <v>574.79999999999995</v>
      </c>
      <c r="F502" s="13">
        <v>574.79999999999995</v>
      </c>
      <c r="G502" s="13">
        <f t="shared" ref="G502:G511" si="152">E502-F502</f>
        <v>0</v>
      </c>
      <c r="H502" s="14">
        <v>1552</v>
      </c>
      <c r="I502" s="15">
        <v>479.65</v>
      </c>
      <c r="J502" s="13">
        <v>479.65</v>
      </c>
      <c r="K502" s="13">
        <v>0</v>
      </c>
      <c r="L502" s="13">
        <v>1336</v>
      </c>
      <c r="Q502" s="5">
        <f>SUMIFS(Coin!E:E,Coin!C:C,B502,Coin!D:D,A502)</f>
        <v>0</v>
      </c>
    </row>
    <row r="503" spans="1:22" x14ac:dyDescent="0.25">
      <c r="A503" s="1">
        <f>DATE(2017,6,12)</f>
        <v>42898</v>
      </c>
      <c r="B503">
        <v>44</v>
      </c>
      <c r="C503">
        <v>370.65</v>
      </c>
      <c r="E503" s="13">
        <f t="shared" si="147"/>
        <v>370.65</v>
      </c>
      <c r="F503" s="13">
        <v>370.65</v>
      </c>
      <c r="G503" s="13">
        <f t="shared" si="152"/>
        <v>0</v>
      </c>
      <c r="H503" s="14">
        <v>1554</v>
      </c>
      <c r="I503" s="15">
        <v>369.7</v>
      </c>
      <c r="J503" s="13">
        <v>369.7</v>
      </c>
      <c r="K503" s="13">
        <v>0</v>
      </c>
      <c r="L503" s="13">
        <v>1320</v>
      </c>
      <c r="Q503" s="5">
        <f>SUMIFS(Coin!E:E,Coin!C:C,B503,Coin!D:D,A503)</f>
        <v>0</v>
      </c>
    </row>
    <row r="504" spans="1:22" x14ac:dyDescent="0.25">
      <c r="A504" s="1">
        <f t="shared" ref="A504:A510" si="153">DATE(2017,6,13)</f>
        <v>42899</v>
      </c>
      <c r="B504">
        <v>35</v>
      </c>
      <c r="C504">
        <v>1136</v>
      </c>
      <c r="E504" s="13">
        <f t="shared" ref="E504:E510" si="154">C504+D504-Q504+U504</f>
        <v>1136</v>
      </c>
      <c r="F504" s="13">
        <v>1136</v>
      </c>
      <c r="G504" s="13">
        <f t="shared" si="152"/>
        <v>0</v>
      </c>
      <c r="H504" s="14">
        <v>1556</v>
      </c>
      <c r="I504" s="15">
        <v>604.29999999999995</v>
      </c>
      <c r="J504" s="13">
        <v>604.29999999999995</v>
      </c>
      <c r="K504" s="13">
        <v>0</v>
      </c>
      <c r="L504" s="13">
        <v>1347</v>
      </c>
      <c r="Q504" s="5">
        <f>SUMIFS(Coin!E:E,Coin!C:C,B504,Coin!D:D,A504)</f>
        <v>0</v>
      </c>
    </row>
    <row r="505" spans="1:22" x14ac:dyDescent="0.25">
      <c r="A505" s="1">
        <f t="shared" si="153"/>
        <v>42899</v>
      </c>
      <c r="B505">
        <v>37</v>
      </c>
      <c r="C505">
        <v>522.20000000000005</v>
      </c>
      <c r="E505" s="13">
        <f t="shared" si="154"/>
        <v>520</v>
      </c>
      <c r="F505" s="13">
        <v>520</v>
      </c>
      <c r="G505" s="13">
        <f t="shared" si="152"/>
        <v>0</v>
      </c>
      <c r="H505" s="14">
        <v>1557</v>
      </c>
      <c r="I505" s="15">
        <v>695.7</v>
      </c>
      <c r="J505" s="13">
        <v>695.7</v>
      </c>
      <c r="K505" s="13">
        <v>0</v>
      </c>
      <c r="L505" s="13">
        <v>1348</v>
      </c>
      <c r="Q505" s="5">
        <v>2.2000000000000002</v>
      </c>
    </row>
    <row r="506" spans="1:22" x14ac:dyDescent="0.25">
      <c r="A506" s="1">
        <f t="shared" si="153"/>
        <v>42899</v>
      </c>
      <c r="B506">
        <v>41</v>
      </c>
      <c r="C506">
        <v>399.55</v>
      </c>
      <c r="E506" s="13">
        <f t="shared" si="154"/>
        <v>449.55</v>
      </c>
      <c r="F506" s="13">
        <v>449.55</v>
      </c>
      <c r="G506" s="13">
        <f t="shared" si="152"/>
        <v>0</v>
      </c>
      <c r="H506" s="14">
        <v>1558</v>
      </c>
      <c r="I506" s="15">
        <f>412.65+V506</f>
        <v>362.65</v>
      </c>
      <c r="J506" s="13">
        <v>362.65</v>
      </c>
      <c r="K506" s="13">
        <v>0</v>
      </c>
      <c r="L506" s="13">
        <v>1344</v>
      </c>
      <c r="Q506" s="5">
        <f>SUMIFS(Coin!E:E,Coin!C:C,B506,Coin!D:D,A506)</f>
        <v>0</v>
      </c>
      <c r="U506" s="21">
        <v>50</v>
      </c>
      <c r="V506" s="21">
        <v>-50</v>
      </c>
    </row>
    <row r="507" spans="1:22" x14ac:dyDescent="0.25">
      <c r="A507" s="1">
        <f t="shared" si="153"/>
        <v>42899</v>
      </c>
      <c r="B507">
        <v>43</v>
      </c>
      <c r="C507">
        <v>847.5</v>
      </c>
      <c r="E507" s="13">
        <f t="shared" si="154"/>
        <v>847.5</v>
      </c>
      <c r="F507" s="13">
        <v>847.5</v>
      </c>
      <c r="G507" s="13">
        <f t="shared" si="152"/>
        <v>0</v>
      </c>
      <c r="H507" s="14">
        <v>1559</v>
      </c>
      <c r="I507" s="15">
        <v>397.85</v>
      </c>
      <c r="J507" s="13">
        <v>397.85</v>
      </c>
      <c r="K507" s="13">
        <v>0</v>
      </c>
      <c r="L507" s="13">
        <v>1346</v>
      </c>
      <c r="Q507" s="5">
        <f>SUMIFS(Coin!E:E,Coin!C:C,B507,Coin!D:D,A507)</f>
        <v>0</v>
      </c>
    </row>
    <row r="508" spans="1:22" x14ac:dyDescent="0.25">
      <c r="A508" s="1">
        <f t="shared" si="153"/>
        <v>42899</v>
      </c>
      <c r="B508">
        <v>44</v>
      </c>
      <c r="C508">
        <v>300.60000000000002</v>
      </c>
      <c r="E508" s="13">
        <f t="shared" si="154"/>
        <v>300.60000000000002</v>
      </c>
      <c r="F508" s="13">
        <v>300.60000000000002</v>
      </c>
      <c r="G508" s="13">
        <f t="shared" si="152"/>
        <v>0</v>
      </c>
      <c r="H508" s="14">
        <v>1560</v>
      </c>
      <c r="I508" s="15">
        <v>487.95</v>
      </c>
      <c r="J508" s="13">
        <v>487.95</v>
      </c>
      <c r="K508" s="13">
        <v>0</v>
      </c>
      <c r="L508" s="13">
        <v>1357</v>
      </c>
      <c r="Q508" s="5">
        <f>SUMIFS(Coin!E:E,Coin!C:C,B508,Coin!D:D,A508)</f>
        <v>0</v>
      </c>
    </row>
    <row r="509" spans="1:22" x14ac:dyDescent="0.25">
      <c r="A509" s="1">
        <f t="shared" si="153"/>
        <v>42899</v>
      </c>
      <c r="B509">
        <v>103</v>
      </c>
      <c r="C509">
        <v>918.35</v>
      </c>
      <c r="E509" s="13">
        <f t="shared" si="154"/>
        <v>918.35</v>
      </c>
      <c r="F509" s="13">
        <v>918.3</v>
      </c>
      <c r="G509" s="13">
        <f t="shared" si="152"/>
        <v>5.0000000000068212E-2</v>
      </c>
      <c r="H509" s="14">
        <v>1561</v>
      </c>
      <c r="I509" s="15">
        <v>748</v>
      </c>
      <c r="J509" s="13">
        <v>748</v>
      </c>
      <c r="K509" s="13">
        <v>0</v>
      </c>
      <c r="L509" s="13">
        <v>1345</v>
      </c>
      <c r="Q509" s="5">
        <f>SUMIFS(Coin!E:E,Coin!C:C,B509,Coin!D:D,A509)</f>
        <v>0</v>
      </c>
    </row>
    <row r="510" spans="1:22" x14ac:dyDescent="0.25">
      <c r="A510" s="1">
        <f t="shared" si="153"/>
        <v>42899</v>
      </c>
      <c r="B510">
        <v>201</v>
      </c>
      <c r="C510">
        <v>674.55</v>
      </c>
      <c r="E510" s="13">
        <f t="shared" si="154"/>
        <v>674.55</v>
      </c>
      <c r="F510" s="13">
        <v>674.55</v>
      </c>
      <c r="G510" s="13">
        <f t="shared" si="152"/>
        <v>0</v>
      </c>
      <c r="H510" s="14">
        <v>1562</v>
      </c>
      <c r="I510" s="15">
        <v>799.65</v>
      </c>
      <c r="J510" s="13">
        <v>799.65</v>
      </c>
      <c r="K510" s="13">
        <v>0</v>
      </c>
      <c r="L510" s="13">
        <v>1349</v>
      </c>
      <c r="Q510" s="5">
        <f>SUMIFS(Coin!E:E,Coin!C:C,B510,Coin!D:D,A510)</f>
        <v>0</v>
      </c>
    </row>
    <row r="511" spans="1:22" x14ac:dyDescent="0.25">
      <c r="A511" s="1">
        <f t="shared" ref="A511:A517" si="155">DATE(2017,6,14)</f>
        <v>42900</v>
      </c>
      <c r="B511">
        <v>35</v>
      </c>
      <c r="C511">
        <v>929.05</v>
      </c>
      <c r="E511" s="13">
        <f t="shared" ref="E511:E517" si="156">C511+D511-Q511+U511</f>
        <v>895</v>
      </c>
      <c r="F511" s="13">
        <v>895</v>
      </c>
      <c r="G511" s="13">
        <f t="shared" si="152"/>
        <v>0</v>
      </c>
      <c r="H511" s="14">
        <v>1555</v>
      </c>
      <c r="I511" s="15">
        <v>654.95000000000005</v>
      </c>
      <c r="J511" s="13">
        <v>654.95000000000005</v>
      </c>
      <c r="K511" s="13">
        <v>0</v>
      </c>
      <c r="L511" s="13">
        <v>1350</v>
      </c>
      <c r="Q511" s="15">
        <v>34.049999999999997</v>
      </c>
      <c r="R511" s="13">
        <v>34.049999999999997</v>
      </c>
      <c r="S511" s="13">
        <v>0</v>
      </c>
      <c r="T511" s="19">
        <v>1565</v>
      </c>
    </row>
    <row r="512" spans="1:22" x14ac:dyDescent="0.25">
      <c r="A512" s="1">
        <f t="shared" si="155"/>
        <v>42900</v>
      </c>
      <c r="B512">
        <v>37</v>
      </c>
      <c r="C512">
        <v>784.1</v>
      </c>
      <c r="E512" s="13">
        <f t="shared" si="156"/>
        <v>786.30000000000007</v>
      </c>
      <c r="F512" s="13">
        <v>786.3</v>
      </c>
      <c r="G512" s="13">
        <f t="shared" ref="G512:G525" si="157">E512-F512</f>
        <v>0</v>
      </c>
      <c r="H512" s="14">
        <v>1566</v>
      </c>
      <c r="I512" s="15">
        <v>726.35</v>
      </c>
      <c r="J512" s="13">
        <v>726.35</v>
      </c>
      <c r="K512" s="13">
        <v>0</v>
      </c>
      <c r="L512" s="13">
        <v>1355</v>
      </c>
      <c r="Q512" s="5">
        <f>SUMIFS(Coin!E:E,Coin!C:C,B512,Coin!D:D,A512)</f>
        <v>0</v>
      </c>
      <c r="U512" s="21">
        <v>2.2000000000000002</v>
      </c>
    </row>
    <row r="513" spans="1:22" x14ac:dyDescent="0.25">
      <c r="A513" s="1">
        <f t="shared" si="155"/>
        <v>42900</v>
      </c>
      <c r="B513">
        <v>41</v>
      </c>
      <c r="C513">
        <v>473.1</v>
      </c>
      <c r="E513" s="13">
        <f t="shared" si="156"/>
        <v>473.1</v>
      </c>
      <c r="F513" s="13">
        <v>473.1</v>
      </c>
      <c r="G513" s="13">
        <f t="shared" si="157"/>
        <v>0</v>
      </c>
      <c r="H513" s="14">
        <v>1567</v>
      </c>
      <c r="I513" s="15">
        <v>264.85000000000002</v>
      </c>
      <c r="J513" s="13">
        <v>264.85000000000002</v>
      </c>
      <c r="K513" s="13">
        <v>0</v>
      </c>
      <c r="L513" s="13">
        <v>1352</v>
      </c>
      <c r="Q513" s="5">
        <f>SUMIFS(Coin!E:E,Coin!C:C,B513,Coin!D:D,A513)</f>
        <v>0</v>
      </c>
    </row>
    <row r="514" spans="1:22" x14ac:dyDescent="0.25">
      <c r="A514" s="1">
        <f t="shared" si="155"/>
        <v>42900</v>
      </c>
      <c r="B514">
        <v>43</v>
      </c>
      <c r="C514">
        <v>1164.3</v>
      </c>
      <c r="E514" s="13">
        <f t="shared" si="156"/>
        <v>1164.3</v>
      </c>
      <c r="F514" s="13">
        <v>1164.3</v>
      </c>
      <c r="G514" s="13">
        <f t="shared" si="157"/>
        <v>0</v>
      </c>
      <c r="H514" s="14">
        <v>1568</v>
      </c>
      <c r="I514" s="15">
        <v>139.80000000000001</v>
      </c>
      <c r="J514" s="13">
        <v>139.80000000000001</v>
      </c>
      <c r="K514" s="13">
        <v>0</v>
      </c>
      <c r="L514" s="13">
        <v>1354</v>
      </c>
      <c r="Q514" s="5">
        <f>SUMIFS(Coin!E:E,Coin!C:C,B514,Coin!D:D,A514)</f>
        <v>0</v>
      </c>
    </row>
    <row r="515" spans="1:22" x14ac:dyDescent="0.25">
      <c r="A515" s="1">
        <f t="shared" si="155"/>
        <v>42900</v>
      </c>
      <c r="B515">
        <v>44</v>
      </c>
      <c r="C515">
        <v>371.55</v>
      </c>
      <c r="E515" s="13">
        <f t="shared" si="156"/>
        <v>371.55</v>
      </c>
      <c r="F515" s="13">
        <v>371.55</v>
      </c>
      <c r="G515" s="13">
        <f t="shared" si="157"/>
        <v>0</v>
      </c>
      <c r="H515" s="14">
        <v>1569</v>
      </c>
      <c r="I515" s="15">
        <v>458.75</v>
      </c>
      <c r="J515" s="13">
        <v>458.75</v>
      </c>
      <c r="K515" s="13">
        <v>0</v>
      </c>
      <c r="L515" s="13">
        <v>1358</v>
      </c>
      <c r="M515" s="15">
        <v>70</v>
      </c>
      <c r="N515" s="13">
        <v>70</v>
      </c>
      <c r="O515" s="13">
        <v>0</v>
      </c>
      <c r="P515" s="13">
        <v>63</v>
      </c>
      <c r="Q515" s="5">
        <f>SUMIFS(Coin!E:E,Coin!C:C,B515,Coin!D:D,A515)</f>
        <v>0</v>
      </c>
    </row>
    <row r="516" spans="1:22" x14ac:dyDescent="0.25">
      <c r="A516" s="1">
        <f t="shared" si="155"/>
        <v>42900</v>
      </c>
      <c r="B516">
        <v>103</v>
      </c>
      <c r="C516">
        <v>666.5</v>
      </c>
      <c r="E516" s="13">
        <f t="shared" si="156"/>
        <v>666.5</v>
      </c>
      <c r="F516" s="13">
        <v>666.5</v>
      </c>
      <c r="G516" s="13">
        <f t="shared" si="157"/>
        <v>0</v>
      </c>
      <c r="H516" s="14">
        <v>1570</v>
      </c>
      <c r="I516" s="15">
        <v>304.55</v>
      </c>
      <c r="J516" s="13">
        <v>304.55</v>
      </c>
      <c r="K516" s="13">
        <v>0</v>
      </c>
      <c r="L516" s="13">
        <v>1353</v>
      </c>
      <c r="Q516" s="5">
        <f>SUMIFS(Coin!E:E,Coin!C:C,B516,Coin!D:D,A516)</f>
        <v>0</v>
      </c>
    </row>
    <row r="517" spans="1:22" x14ac:dyDescent="0.25">
      <c r="A517" s="1">
        <f t="shared" si="155"/>
        <v>42900</v>
      </c>
      <c r="B517">
        <v>201</v>
      </c>
      <c r="C517">
        <v>752.4</v>
      </c>
      <c r="E517" s="13">
        <f t="shared" si="156"/>
        <v>752.4</v>
      </c>
      <c r="F517" s="13">
        <v>752.4</v>
      </c>
      <c r="G517" s="13">
        <f t="shared" si="157"/>
        <v>0</v>
      </c>
      <c r="H517" s="14">
        <v>1571</v>
      </c>
      <c r="I517" s="15">
        <v>499.35</v>
      </c>
      <c r="J517" s="13">
        <v>499.35</v>
      </c>
      <c r="K517" s="13">
        <v>0</v>
      </c>
      <c r="L517" s="13">
        <v>1356</v>
      </c>
      <c r="Q517" s="5">
        <f>SUMIFS(Coin!E:E,Coin!C:C,B517,Coin!D:D,A517)</f>
        <v>0</v>
      </c>
    </row>
    <row r="518" spans="1:22" x14ac:dyDescent="0.25">
      <c r="A518" s="1">
        <f t="shared" ref="A518:A524" si="158">DATE(2017,6,15)</f>
        <v>42901</v>
      </c>
      <c r="B518">
        <v>35</v>
      </c>
      <c r="C518">
        <v>1718.95</v>
      </c>
      <c r="D518">
        <v>-5.6</v>
      </c>
      <c r="E518" s="13">
        <f t="shared" ref="E518:E545" si="159">C518+D518-Q518+U518</f>
        <v>1710.0000000000002</v>
      </c>
      <c r="F518" s="13">
        <v>1710</v>
      </c>
      <c r="G518" s="13">
        <f t="shared" si="157"/>
        <v>0</v>
      </c>
      <c r="H518" s="14">
        <v>1564</v>
      </c>
      <c r="I518" s="15">
        <v>1827.1</v>
      </c>
      <c r="J518" s="13">
        <v>1827.1</v>
      </c>
      <c r="K518" s="13">
        <v>0</v>
      </c>
      <c r="L518" s="13">
        <v>1376</v>
      </c>
      <c r="Q518" s="15">
        <v>3.35</v>
      </c>
      <c r="R518" s="13">
        <v>3.35</v>
      </c>
      <c r="S518" s="13">
        <v>0</v>
      </c>
      <c r="T518" s="19">
        <v>1573</v>
      </c>
    </row>
    <row r="519" spans="1:22" x14ac:dyDescent="0.25">
      <c r="A519" s="1">
        <f t="shared" si="158"/>
        <v>42901</v>
      </c>
      <c r="B519">
        <v>37</v>
      </c>
      <c r="C519">
        <v>925.95</v>
      </c>
      <c r="E519" s="13">
        <f t="shared" si="159"/>
        <v>925.45</v>
      </c>
      <c r="F519" s="13">
        <v>925.45</v>
      </c>
      <c r="G519" s="13">
        <f t="shared" si="157"/>
        <v>0</v>
      </c>
      <c r="H519" s="14">
        <v>1574</v>
      </c>
      <c r="I519" s="15">
        <v>1020.85</v>
      </c>
      <c r="J519" s="13">
        <v>1020.85</v>
      </c>
      <c r="K519" s="13">
        <v>0</v>
      </c>
      <c r="L519" s="13">
        <v>1385</v>
      </c>
      <c r="Q519" s="15">
        <v>0.5</v>
      </c>
      <c r="R519" s="13">
        <v>0.5</v>
      </c>
      <c r="S519" s="13">
        <v>0</v>
      </c>
      <c r="T519" s="19">
        <v>1575</v>
      </c>
    </row>
    <row r="520" spans="1:22" x14ac:dyDescent="0.25">
      <c r="A520" s="1">
        <f t="shared" si="158"/>
        <v>42901</v>
      </c>
      <c r="B520">
        <v>41</v>
      </c>
      <c r="C520">
        <v>630.25</v>
      </c>
      <c r="E520" s="13">
        <f t="shared" si="159"/>
        <v>630.25</v>
      </c>
      <c r="F520" s="13">
        <v>630.25</v>
      </c>
      <c r="G520" s="13">
        <f t="shared" si="157"/>
        <v>0</v>
      </c>
      <c r="H520" s="14">
        <v>1576</v>
      </c>
      <c r="I520" s="15">
        <v>934.9</v>
      </c>
      <c r="J520" s="13">
        <v>934.9</v>
      </c>
      <c r="K520" s="13">
        <v>0</v>
      </c>
      <c r="L520" s="13">
        <v>1377</v>
      </c>
      <c r="Q520" s="5">
        <f>SUMIFS(Coin!E:E,Coin!C:C,B520,Coin!D:D,A520)</f>
        <v>0</v>
      </c>
    </row>
    <row r="521" spans="1:22" x14ac:dyDescent="0.25">
      <c r="A521" s="1">
        <f t="shared" si="158"/>
        <v>42901</v>
      </c>
      <c r="B521">
        <v>43</v>
      </c>
      <c r="C521">
        <v>1257.0999999999999</v>
      </c>
      <c r="E521" s="13">
        <f t="shared" si="159"/>
        <v>1257.0999999999999</v>
      </c>
      <c r="F521" s="13">
        <v>1257.0999999999999</v>
      </c>
      <c r="G521" s="13">
        <f t="shared" si="157"/>
        <v>0</v>
      </c>
      <c r="H521" s="14">
        <v>1577</v>
      </c>
      <c r="I521" s="15">
        <v>752.6</v>
      </c>
      <c r="J521" s="13">
        <v>752.6</v>
      </c>
      <c r="K521" s="13">
        <v>0</v>
      </c>
      <c r="L521" s="13">
        <v>1375</v>
      </c>
      <c r="Q521" s="5">
        <f>SUMIFS(Coin!E:E,Coin!C:C,B521,Coin!D:D,A521)</f>
        <v>0</v>
      </c>
    </row>
    <row r="522" spans="1:22" x14ac:dyDescent="0.25">
      <c r="A522" s="1">
        <f t="shared" si="158"/>
        <v>42901</v>
      </c>
      <c r="B522">
        <v>44</v>
      </c>
      <c r="C522">
        <v>656.35</v>
      </c>
      <c r="E522" s="13">
        <f t="shared" si="159"/>
        <v>656.35</v>
      </c>
      <c r="F522" s="13">
        <v>656.35</v>
      </c>
      <c r="G522" s="13">
        <f t="shared" si="157"/>
        <v>0</v>
      </c>
      <c r="H522" s="14"/>
      <c r="I522" s="15">
        <v>427.4</v>
      </c>
      <c r="J522" s="13">
        <v>427.4</v>
      </c>
      <c r="K522" s="13">
        <v>0</v>
      </c>
      <c r="L522" s="13">
        <v>1386</v>
      </c>
      <c r="M522" s="15">
        <v>64.95</v>
      </c>
      <c r="N522" s="13">
        <v>64.95</v>
      </c>
      <c r="O522" s="13">
        <v>0</v>
      </c>
      <c r="P522" s="13">
        <v>65</v>
      </c>
      <c r="Q522" s="5">
        <f>SUMIFS(Coin!E:E,Coin!C:C,B522,Coin!D:D,A522)</f>
        <v>0</v>
      </c>
    </row>
    <row r="523" spans="1:22" x14ac:dyDescent="0.25">
      <c r="A523" s="1">
        <f t="shared" si="158"/>
        <v>42901</v>
      </c>
      <c r="B523">
        <v>103</v>
      </c>
      <c r="C523">
        <v>1586.25</v>
      </c>
      <c r="E523" s="13">
        <f t="shared" si="159"/>
        <v>1586.25</v>
      </c>
      <c r="F523" s="13">
        <v>1586.25</v>
      </c>
      <c r="G523" s="13">
        <f t="shared" si="157"/>
        <v>0</v>
      </c>
      <c r="H523" s="14">
        <v>1578</v>
      </c>
      <c r="I523" s="15">
        <v>1171.8499999999999</v>
      </c>
      <c r="J523" s="13">
        <v>1171.8499999999999</v>
      </c>
      <c r="K523" s="13">
        <v>0</v>
      </c>
      <c r="L523" s="13">
        <v>1374</v>
      </c>
      <c r="Q523" s="5">
        <f>SUMIFS(Coin!E:E,Coin!C:C,B523,Coin!D:D,A523)</f>
        <v>0</v>
      </c>
    </row>
    <row r="524" spans="1:22" x14ac:dyDescent="0.25">
      <c r="A524" s="1">
        <f t="shared" si="158"/>
        <v>42901</v>
      </c>
      <c r="B524">
        <v>201</v>
      </c>
      <c r="C524">
        <v>1035.3499999999999</v>
      </c>
      <c r="E524" s="13">
        <f t="shared" si="159"/>
        <v>1035.3499999999999</v>
      </c>
      <c r="F524" s="13">
        <v>1035.3499999999999</v>
      </c>
      <c r="G524" s="13">
        <f t="shared" si="157"/>
        <v>0</v>
      </c>
      <c r="H524" s="14">
        <v>1579</v>
      </c>
      <c r="I524" s="15">
        <v>885.39</v>
      </c>
      <c r="J524" s="13">
        <v>885.39</v>
      </c>
      <c r="K524" s="13">
        <v>0</v>
      </c>
      <c r="L524" s="13">
        <v>1384</v>
      </c>
      <c r="Q524" s="5">
        <f>SUMIFS(Coin!E:E,Coin!C:C,B524,Coin!D:D,A524)</f>
        <v>0</v>
      </c>
    </row>
    <row r="525" spans="1:22" x14ac:dyDescent="0.25">
      <c r="A525" s="1">
        <f t="shared" ref="A525:A531" si="160">DATE(2017,6,16)</f>
        <v>42902</v>
      </c>
      <c r="B525">
        <v>35</v>
      </c>
      <c r="C525">
        <v>1392.65</v>
      </c>
      <c r="E525" s="13">
        <f t="shared" si="159"/>
        <v>1385</v>
      </c>
      <c r="F525" s="13">
        <v>1385</v>
      </c>
      <c r="G525" s="13">
        <f t="shared" si="157"/>
        <v>0</v>
      </c>
      <c r="H525" s="14">
        <v>1572</v>
      </c>
      <c r="I525" s="15">
        <v>876.85</v>
      </c>
      <c r="J525" s="13">
        <v>876.85</v>
      </c>
      <c r="K525" s="13">
        <v>0</v>
      </c>
      <c r="L525" s="13">
        <v>1371</v>
      </c>
      <c r="Q525" s="15">
        <v>7.65</v>
      </c>
      <c r="R525" s="13">
        <v>7.65</v>
      </c>
      <c r="S525" s="13">
        <v>0</v>
      </c>
      <c r="T525" s="19">
        <v>1584</v>
      </c>
    </row>
    <row r="526" spans="1:22" x14ac:dyDescent="0.25">
      <c r="A526" s="1">
        <f t="shared" si="160"/>
        <v>42902</v>
      </c>
      <c r="B526">
        <v>37</v>
      </c>
      <c r="C526">
        <v>874.2</v>
      </c>
      <c r="E526" s="13">
        <f t="shared" si="159"/>
        <v>874.2</v>
      </c>
      <c r="F526" s="13">
        <v>874.2</v>
      </c>
      <c r="G526" s="13">
        <f>E526-F526</f>
        <v>0</v>
      </c>
      <c r="H526" s="14">
        <v>1586</v>
      </c>
      <c r="I526" s="15">
        <v>822.3</v>
      </c>
      <c r="J526" s="13">
        <v>822.3</v>
      </c>
      <c r="K526" s="13">
        <v>0</v>
      </c>
      <c r="L526" s="13">
        <v>1382</v>
      </c>
      <c r="Q526" s="5">
        <f>SUMIFS(Coin!E:E,Coin!C:C,B526,Coin!D:D,A526)</f>
        <v>0</v>
      </c>
    </row>
    <row r="527" spans="1:22" x14ac:dyDescent="0.25">
      <c r="A527" s="1">
        <f t="shared" si="160"/>
        <v>42902</v>
      </c>
      <c r="B527">
        <v>41</v>
      </c>
      <c r="C527">
        <v>876.3</v>
      </c>
      <c r="E527" s="13">
        <f t="shared" si="159"/>
        <v>876.3</v>
      </c>
      <c r="F527" s="13">
        <v>876.3</v>
      </c>
      <c r="G527" s="13">
        <f>E527-F527</f>
        <v>0</v>
      </c>
      <c r="H527" s="14">
        <v>1590</v>
      </c>
      <c r="I527" s="15">
        <v>364.62</v>
      </c>
      <c r="J527" s="13">
        <v>364.62</v>
      </c>
      <c r="K527" s="13">
        <v>0</v>
      </c>
      <c r="L527" s="13">
        <v>1369</v>
      </c>
      <c r="Q527" s="5">
        <f>SUMIFS(Coin!E:E,Coin!C:C,B527,Coin!D:D,A527)</f>
        <v>0</v>
      </c>
    </row>
    <row r="528" spans="1:22" x14ac:dyDescent="0.25">
      <c r="A528" s="1">
        <f t="shared" si="160"/>
        <v>42902</v>
      </c>
      <c r="B528">
        <v>43</v>
      </c>
      <c r="C528">
        <v>1164</v>
      </c>
      <c r="E528" s="13">
        <f t="shared" si="159"/>
        <v>1164</v>
      </c>
      <c r="F528" s="13">
        <v>1164</v>
      </c>
      <c r="G528" s="13">
        <f>E528-F528</f>
        <v>0</v>
      </c>
      <c r="H528" s="14"/>
      <c r="I528" s="15">
        <f>602.45+V528</f>
        <v>587.5</v>
      </c>
      <c r="J528" s="13">
        <v>587.5</v>
      </c>
      <c r="K528" s="13">
        <v>0</v>
      </c>
      <c r="L528" s="13">
        <v>1370</v>
      </c>
      <c r="Q528" s="5">
        <f>SUMIFS(Coin!E:E,Coin!C:C,B528,Coin!D:D,A528)</f>
        <v>0</v>
      </c>
      <c r="V528" s="21">
        <v>-14.95</v>
      </c>
    </row>
    <row r="529" spans="1:21" x14ac:dyDescent="0.25">
      <c r="A529" s="1">
        <f t="shared" si="160"/>
        <v>42902</v>
      </c>
      <c r="B529">
        <v>44</v>
      </c>
      <c r="C529">
        <v>377.3</v>
      </c>
      <c r="E529" s="13">
        <f t="shared" si="159"/>
        <v>377.3</v>
      </c>
      <c r="F529" s="13">
        <v>377.3</v>
      </c>
      <c r="G529" s="13">
        <v>0</v>
      </c>
      <c r="H529" s="14"/>
      <c r="I529" s="15">
        <v>269.7</v>
      </c>
      <c r="J529" s="13">
        <v>269.7</v>
      </c>
      <c r="K529" s="13">
        <v>0</v>
      </c>
      <c r="L529" s="13">
        <v>1387</v>
      </c>
      <c r="Q529" s="5">
        <f>SUMIFS(Coin!E:E,Coin!C:C,B529,Coin!D:D,A529)</f>
        <v>0</v>
      </c>
    </row>
    <row r="530" spans="1:21" x14ac:dyDescent="0.25">
      <c r="A530" s="1">
        <f t="shared" si="160"/>
        <v>42902</v>
      </c>
      <c r="B530">
        <v>103</v>
      </c>
      <c r="C530">
        <v>1002.25</v>
      </c>
      <c r="E530" s="13">
        <f t="shared" si="159"/>
        <v>1002.25</v>
      </c>
      <c r="F530" s="13">
        <v>1002.25</v>
      </c>
      <c r="G530" s="13">
        <f t="shared" ref="G530:G543" si="161">E530-F530</f>
        <v>0</v>
      </c>
      <c r="H530" s="14"/>
      <c r="I530" s="15">
        <v>642.29999999999995</v>
      </c>
      <c r="J530" s="13">
        <v>642.29999999999995</v>
      </c>
      <c r="K530" s="13">
        <v>0</v>
      </c>
      <c r="L530" s="13">
        <v>1373</v>
      </c>
    </row>
    <row r="531" spans="1:21" x14ac:dyDescent="0.25">
      <c r="A531" s="1">
        <f t="shared" si="160"/>
        <v>42902</v>
      </c>
      <c r="B531">
        <v>201</v>
      </c>
      <c r="C531">
        <v>1069.0999999999999</v>
      </c>
      <c r="E531" s="13">
        <f t="shared" si="159"/>
        <v>1069.0999999999999</v>
      </c>
      <c r="F531" s="13">
        <v>1069.0999999999999</v>
      </c>
      <c r="G531" s="13">
        <f t="shared" si="161"/>
        <v>0</v>
      </c>
      <c r="H531" s="14">
        <v>1593</v>
      </c>
      <c r="I531" s="15">
        <v>579.6</v>
      </c>
      <c r="J531" s="13">
        <v>579.6</v>
      </c>
      <c r="K531" s="13">
        <v>0</v>
      </c>
      <c r="L531" s="13">
        <v>1383</v>
      </c>
      <c r="M531" s="15">
        <v>14.95</v>
      </c>
      <c r="N531" s="13">
        <v>14.95</v>
      </c>
      <c r="O531" s="13">
        <v>0</v>
      </c>
      <c r="P531" s="13">
        <v>67</v>
      </c>
      <c r="Q531" s="5">
        <f>SUMIFS(Coin!E:E,Coin!C:C,B531,Coin!D:D,A531)</f>
        <v>0</v>
      </c>
    </row>
    <row r="532" spans="1:21" x14ac:dyDescent="0.25">
      <c r="A532" s="1">
        <f t="shared" ref="A532:A538" si="162">DATE(2017,6,17)</f>
        <v>42903</v>
      </c>
      <c r="B532">
        <v>35</v>
      </c>
      <c r="C532">
        <v>899.05</v>
      </c>
      <c r="E532" s="13">
        <f t="shared" si="159"/>
        <v>899.05</v>
      </c>
      <c r="F532" s="13">
        <v>899.05</v>
      </c>
      <c r="G532" s="13">
        <f t="shared" si="161"/>
        <v>0</v>
      </c>
      <c r="H532" s="14">
        <v>1583</v>
      </c>
      <c r="I532" s="15">
        <v>1477.65</v>
      </c>
      <c r="J532" s="13">
        <v>1477.65</v>
      </c>
      <c r="K532" s="13">
        <v>0</v>
      </c>
      <c r="L532" s="13">
        <v>1364</v>
      </c>
      <c r="Q532" s="5">
        <f>SUMIFS(Coin!E:E,Coin!C:C,B532,Coin!D:D,A532)</f>
        <v>0</v>
      </c>
    </row>
    <row r="533" spans="1:21" x14ac:dyDescent="0.25">
      <c r="A533" s="1">
        <f t="shared" si="162"/>
        <v>42903</v>
      </c>
      <c r="B533">
        <v>37</v>
      </c>
      <c r="C533">
        <v>751.45</v>
      </c>
      <c r="E533" s="13">
        <f t="shared" si="159"/>
        <v>752.45</v>
      </c>
      <c r="F533" s="13">
        <v>752.45</v>
      </c>
      <c r="G533" s="13">
        <f t="shared" si="161"/>
        <v>0</v>
      </c>
      <c r="H533" s="14">
        <v>1587</v>
      </c>
      <c r="I533" s="15">
        <v>1487.06</v>
      </c>
      <c r="J533" s="13">
        <v>1487.06</v>
      </c>
      <c r="K533" s="13">
        <v>0</v>
      </c>
      <c r="L533" s="13">
        <v>1380</v>
      </c>
      <c r="U533" s="21">
        <v>1</v>
      </c>
    </row>
    <row r="534" spans="1:21" x14ac:dyDescent="0.25">
      <c r="A534" s="1">
        <f t="shared" si="162"/>
        <v>42903</v>
      </c>
      <c r="B534">
        <v>41</v>
      </c>
      <c r="C534">
        <v>440.55</v>
      </c>
      <c r="E534" s="13">
        <f t="shared" si="159"/>
        <v>440.55</v>
      </c>
      <c r="F534" s="13">
        <v>440.55</v>
      </c>
      <c r="G534" s="13">
        <f t="shared" si="161"/>
        <v>0</v>
      </c>
      <c r="H534" s="14">
        <v>1589</v>
      </c>
      <c r="I534" s="15">
        <v>337.6</v>
      </c>
      <c r="J534" s="13">
        <v>337.6</v>
      </c>
      <c r="K534" s="13">
        <v>0</v>
      </c>
      <c r="L534" s="13">
        <v>1367</v>
      </c>
      <c r="Q534" s="5">
        <f>SUMIFS(Coin!E:E,Coin!C:C,B534,Coin!D:D,A534)</f>
        <v>0</v>
      </c>
    </row>
    <row r="535" spans="1:21" x14ac:dyDescent="0.25">
      <c r="A535" s="1">
        <f t="shared" si="162"/>
        <v>42903</v>
      </c>
      <c r="B535">
        <v>43</v>
      </c>
      <c r="C535">
        <v>835.2</v>
      </c>
      <c r="E535" s="13">
        <f t="shared" si="159"/>
        <v>835.2</v>
      </c>
      <c r="F535" s="13">
        <v>835.2</v>
      </c>
      <c r="G535" s="13">
        <f t="shared" si="161"/>
        <v>0</v>
      </c>
      <c r="H535" s="14">
        <v>1592</v>
      </c>
      <c r="I535" s="15">
        <v>280.60000000000002</v>
      </c>
      <c r="J535" s="13">
        <v>280.60000000000002</v>
      </c>
      <c r="K535" s="13">
        <v>0</v>
      </c>
      <c r="L535" s="13">
        <v>1366</v>
      </c>
      <c r="Q535" s="5">
        <f>SUMIFS(Coin!E:E,Coin!C:C,B535,Coin!D:D,A535)</f>
        <v>0</v>
      </c>
    </row>
    <row r="536" spans="1:21" x14ac:dyDescent="0.25">
      <c r="A536" s="1">
        <f t="shared" si="162"/>
        <v>42903</v>
      </c>
      <c r="B536">
        <v>44</v>
      </c>
      <c r="C536">
        <v>371.45</v>
      </c>
      <c r="D536">
        <v>-5.6</v>
      </c>
      <c r="E536" s="13">
        <f t="shared" si="159"/>
        <v>365.84999999999997</v>
      </c>
      <c r="F536" s="13">
        <v>365.85</v>
      </c>
      <c r="G536" s="13">
        <f t="shared" si="161"/>
        <v>0</v>
      </c>
      <c r="H536" s="14"/>
      <c r="I536" s="15">
        <v>744.1</v>
      </c>
      <c r="J536" s="13">
        <v>744.1</v>
      </c>
      <c r="K536" s="13">
        <v>0</v>
      </c>
      <c r="L536" s="13">
        <v>1368</v>
      </c>
      <c r="M536" s="15">
        <v>67.95</v>
      </c>
      <c r="N536" s="13">
        <v>67.95</v>
      </c>
      <c r="O536" s="13">
        <v>0</v>
      </c>
      <c r="P536" s="13">
        <v>64</v>
      </c>
      <c r="Q536" s="5">
        <f>SUMIFS(Coin!E:E,Coin!C:C,B536,Coin!D:D,A536)</f>
        <v>0</v>
      </c>
    </row>
    <row r="537" spans="1:21" x14ac:dyDescent="0.25">
      <c r="A537" s="1">
        <f t="shared" si="162"/>
        <v>42903</v>
      </c>
      <c r="B537">
        <v>103</v>
      </c>
      <c r="C537">
        <v>932.6</v>
      </c>
      <c r="E537" s="13">
        <f t="shared" si="159"/>
        <v>927.55000000000007</v>
      </c>
      <c r="F537" s="13">
        <v>927.55</v>
      </c>
      <c r="G537" s="13">
        <f t="shared" si="161"/>
        <v>0</v>
      </c>
      <c r="H537" s="25">
        <v>1563</v>
      </c>
      <c r="I537" s="15">
        <v>1102.7</v>
      </c>
      <c r="J537" s="13">
        <v>1102.7</v>
      </c>
      <c r="K537" s="13">
        <v>0</v>
      </c>
      <c r="L537" s="13">
        <v>1365</v>
      </c>
      <c r="Q537" s="15">
        <v>5.05</v>
      </c>
      <c r="R537" s="13">
        <v>5.05</v>
      </c>
      <c r="S537" s="13">
        <v>0</v>
      </c>
      <c r="T537" s="19">
        <v>1630</v>
      </c>
    </row>
    <row r="538" spans="1:21" x14ac:dyDescent="0.25">
      <c r="A538" s="1">
        <f t="shared" si="162"/>
        <v>42903</v>
      </c>
      <c r="B538">
        <v>201</v>
      </c>
      <c r="C538">
        <v>670.5</v>
      </c>
      <c r="E538" s="13">
        <f t="shared" si="159"/>
        <v>670.5</v>
      </c>
      <c r="F538" s="13">
        <v>670.5</v>
      </c>
      <c r="G538" s="13">
        <f t="shared" si="161"/>
        <v>0</v>
      </c>
      <c r="H538" s="14">
        <v>1594</v>
      </c>
      <c r="I538" s="15">
        <v>769.35</v>
      </c>
      <c r="J538" s="13">
        <v>769.35</v>
      </c>
      <c r="K538" s="13">
        <v>0</v>
      </c>
      <c r="L538" s="13">
        <v>1381</v>
      </c>
      <c r="M538" s="15">
        <v>35</v>
      </c>
      <c r="N538" s="13">
        <v>35</v>
      </c>
      <c r="O538" s="13">
        <v>0</v>
      </c>
      <c r="P538" s="13">
        <v>66</v>
      </c>
      <c r="Q538" s="5">
        <f>SUMIFS(Coin!E:E,Coin!C:C,B538,Coin!D:D,A538)</f>
        <v>0</v>
      </c>
    </row>
    <row r="539" spans="1:21" x14ac:dyDescent="0.25">
      <c r="A539" s="1">
        <f t="shared" ref="A539:A545" si="163">DATE(2017,6,18)</f>
        <v>42904</v>
      </c>
      <c r="B539">
        <v>35</v>
      </c>
      <c r="C539">
        <v>582.4</v>
      </c>
      <c r="E539" s="13">
        <f t="shared" si="159"/>
        <v>582.4</v>
      </c>
      <c r="F539" s="13">
        <v>582.4</v>
      </c>
      <c r="G539" s="13">
        <f t="shared" si="161"/>
        <v>0</v>
      </c>
      <c r="H539" s="14">
        <v>1582</v>
      </c>
      <c r="I539" s="15">
        <v>1080.9000000000001</v>
      </c>
      <c r="J539" s="13">
        <v>1080.9000000000001</v>
      </c>
      <c r="K539" s="13">
        <v>0</v>
      </c>
      <c r="L539" s="13">
        <v>1360</v>
      </c>
      <c r="Q539" s="5">
        <f>SUMIFS(Coin!E:E,Coin!C:C,B539,Coin!D:D,A539)</f>
        <v>0</v>
      </c>
    </row>
    <row r="540" spans="1:21" x14ac:dyDescent="0.25">
      <c r="A540" s="1">
        <f t="shared" si="163"/>
        <v>42904</v>
      </c>
      <c r="B540">
        <v>37</v>
      </c>
      <c r="C540">
        <v>409.5</v>
      </c>
      <c r="E540" s="13">
        <f t="shared" si="159"/>
        <v>409.5</v>
      </c>
      <c r="F540" s="13">
        <v>409.5</v>
      </c>
      <c r="G540" s="13">
        <f t="shared" si="161"/>
        <v>0</v>
      </c>
      <c r="H540" s="14">
        <v>1585</v>
      </c>
      <c r="I540" s="15">
        <v>734.13</v>
      </c>
      <c r="J540" s="13">
        <v>734.13</v>
      </c>
      <c r="K540" s="13">
        <v>0</v>
      </c>
      <c r="L540" s="13">
        <v>1379</v>
      </c>
      <c r="Q540" s="5">
        <f>SUMIFS(Coin!E:E,Coin!C:C,B540,Coin!D:D,A540)</f>
        <v>0</v>
      </c>
    </row>
    <row r="541" spans="1:21" x14ac:dyDescent="0.25">
      <c r="A541" s="1">
        <f t="shared" si="163"/>
        <v>42904</v>
      </c>
      <c r="B541">
        <v>41</v>
      </c>
      <c r="C541">
        <v>321.35000000000002</v>
      </c>
      <c r="E541" s="13">
        <f t="shared" si="159"/>
        <v>321.35000000000002</v>
      </c>
      <c r="F541" s="13">
        <v>321.39999999999998</v>
      </c>
      <c r="G541" s="13">
        <f t="shared" si="161"/>
        <v>-4.9999999999954525E-2</v>
      </c>
      <c r="H541" s="14">
        <v>1588</v>
      </c>
      <c r="I541" s="15">
        <v>469.75</v>
      </c>
      <c r="J541" s="13">
        <v>469.75</v>
      </c>
      <c r="K541" s="13">
        <v>0</v>
      </c>
      <c r="L541" s="13">
        <v>1359</v>
      </c>
      <c r="Q541" s="5">
        <f>SUMIFS(Coin!E:E,Coin!C:C,B541,Coin!D:D,A541)</f>
        <v>0</v>
      </c>
    </row>
    <row r="542" spans="1:21" x14ac:dyDescent="0.25">
      <c r="A542" s="1">
        <f t="shared" si="163"/>
        <v>42904</v>
      </c>
      <c r="B542">
        <v>43</v>
      </c>
      <c r="C542">
        <v>519.5</v>
      </c>
      <c r="E542" s="13">
        <f t="shared" si="159"/>
        <v>519.5</v>
      </c>
      <c r="F542" s="13">
        <v>519.5</v>
      </c>
      <c r="G542" s="13">
        <f t="shared" si="161"/>
        <v>0</v>
      </c>
      <c r="H542" s="14">
        <v>1591</v>
      </c>
      <c r="I542" s="15">
        <v>420.45</v>
      </c>
      <c r="J542" s="13">
        <v>420.45</v>
      </c>
      <c r="K542" s="13">
        <v>0</v>
      </c>
      <c r="L542" s="13">
        <v>1363</v>
      </c>
      <c r="Q542" s="5">
        <f>SUMIFS(Coin!E:E,Coin!C:C,B542,Coin!D:D,A542)</f>
        <v>0</v>
      </c>
    </row>
    <row r="543" spans="1:21" x14ac:dyDescent="0.25">
      <c r="A543" s="1">
        <f t="shared" si="163"/>
        <v>42904</v>
      </c>
      <c r="B543">
        <v>44</v>
      </c>
      <c r="C543">
        <v>164.95</v>
      </c>
      <c r="E543" s="13">
        <f t="shared" si="159"/>
        <v>164.95</v>
      </c>
      <c r="F543" s="13">
        <v>164.95</v>
      </c>
      <c r="G543" s="13">
        <f t="shared" si="161"/>
        <v>0</v>
      </c>
      <c r="H543" s="14"/>
      <c r="I543" s="15">
        <v>267.64999999999998</v>
      </c>
      <c r="J543" s="13">
        <v>267.64999999999998</v>
      </c>
      <c r="K543" s="13">
        <v>0</v>
      </c>
      <c r="L543" s="13">
        <v>1361</v>
      </c>
      <c r="Q543" s="5">
        <f>SUMIFS(Coin!E:E,Coin!C:C,B543,Coin!D:D,A543)</f>
        <v>0</v>
      </c>
    </row>
    <row r="544" spans="1:21" x14ac:dyDescent="0.25">
      <c r="A544" s="1">
        <f t="shared" si="163"/>
        <v>42904</v>
      </c>
      <c r="B544">
        <v>103</v>
      </c>
      <c r="C544">
        <v>400.65</v>
      </c>
      <c r="E544" s="13">
        <f t="shared" si="159"/>
        <v>400.65</v>
      </c>
      <c r="F544" s="13">
        <v>400.55</v>
      </c>
      <c r="G544" s="13">
        <f t="shared" ref="G544:G549" si="164">E544-F544</f>
        <v>9.9999999999965894E-2</v>
      </c>
      <c r="H544" s="14">
        <v>1602</v>
      </c>
      <c r="I544" s="15">
        <v>419.6</v>
      </c>
      <c r="J544" s="13">
        <v>419.6</v>
      </c>
      <c r="K544" s="13">
        <v>0</v>
      </c>
      <c r="L544" s="13">
        <v>1362</v>
      </c>
      <c r="Q544" s="5">
        <f>SUMIFS(Coin!E:E,Coin!C:C,B544,Coin!D:D,A544)</f>
        <v>0</v>
      </c>
    </row>
    <row r="545" spans="1:22" x14ac:dyDescent="0.25">
      <c r="A545" s="1">
        <f t="shared" si="163"/>
        <v>42904</v>
      </c>
      <c r="B545">
        <v>201</v>
      </c>
      <c r="C545">
        <v>270</v>
      </c>
      <c r="E545" s="13">
        <f t="shared" si="159"/>
        <v>266.14999999999998</v>
      </c>
      <c r="F545" s="13">
        <v>266.14999999999998</v>
      </c>
      <c r="G545" s="13">
        <f t="shared" si="164"/>
        <v>0</v>
      </c>
      <c r="H545" s="14">
        <v>1595</v>
      </c>
      <c r="I545" s="15">
        <v>570</v>
      </c>
      <c r="J545" s="13">
        <v>570</v>
      </c>
      <c r="K545" s="13">
        <v>0</v>
      </c>
      <c r="L545" s="13">
        <v>1378</v>
      </c>
      <c r="Q545" s="5">
        <v>3.85</v>
      </c>
    </row>
    <row r="546" spans="1:22" x14ac:dyDescent="0.25">
      <c r="A546" s="1">
        <f t="shared" ref="A546:A552" si="165">DATE(2017,6,19)</f>
        <v>42905</v>
      </c>
      <c r="B546">
        <v>35</v>
      </c>
      <c r="C546">
        <v>712.25</v>
      </c>
      <c r="E546" s="13">
        <f t="shared" ref="E546:E552" si="166">C546+D546-Q546+U546</f>
        <v>705</v>
      </c>
      <c r="F546" s="13">
        <v>705</v>
      </c>
      <c r="G546" s="13">
        <f t="shared" si="164"/>
        <v>0</v>
      </c>
      <c r="H546" s="14">
        <v>1581</v>
      </c>
      <c r="I546" s="15">
        <v>749.3</v>
      </c>
      <c r="J546" s="13">
        <v>749.3</v>
      </c>
      <c r="K546" s="13">
        <v>0</v>
      </c>
      <c r="L546" s="13">
        <v>1388</v>
      </c>
      <c r="Q546" s="15">
        <v>7.25</v>
      </c>
      <c r="R546" s="13">
        <v>7.25</v>
      </c>
      <c r="S546" s="13">
        <v>0</v>
      </c>
      <c r="T546" s="19">
        <v>1607</v>
      </c>
    </row>
    <row r="547" spans="1:22" x14ac:dyDescent="0.25">
      <c r="A547" s="1">
        <f t="shared" si="165"/>
        <v>42905</v>
      </c>
      <c r="B547">
        <v>37</v>
      </c>
      <c r="C547">
        <v>464.45</v>
      </c>
      <c r="E547" s="13">
        <f t="shared" si="166"/>
        <v>462.25</v>
      </c>
      <c r="F547" s="13">
        <v>462.25</v>
      </c>
      <c r="G547" s="13">
        <f t="shared" si="164"/>
        <v>0</v>
      </c>
      <c r="H547" s="14">
        <v>1597</v>
      </c>
      <c r="I547" s="15">
        <v>614.6</v>
      </c>
      <c r="J547" s="13">
        <v>614.6</v>
      </c>
      <c r="K547" s="13">
        <v>0</v>
      </c>
      <c r="L547" s="13">
        <v>1393</v>
      </c>
      <c r="Q547" s="5">
        <v>2.2000000000000002</v>
      </c>
    </row>
    <row r="548" spans="1:22" x14ac:dyDescent="0.25">
      <c r="A548" s="1">
        <f t="shared" si="165"/>
        <v>42905</v>
      </c>
      <c r="B548">
        <v>41</v>
      </c>
      <c r="C548">
        <v>469.75</v>
      </c>
      <c r="E548" s="13">
        <f t="shared" si="166"/>
        <v>469.75</v>
      </c>
      <c r="F548" s="13">
        <v>469.75</v>
      </c>
      <c r="G548" s="13">
        <f t="shared" si="164"/>
        <v>0</v>
      </c>
      <c r="H548" s="14">
        <v>1598</v>
      </c>
      <c r="I548" s="15">
        <v>425.4</v>
      </c>
      <c r="J548" s="13">
        <v>425.4</v>
      </c>
      <c r="K548" s="13">
        <v>0</v>
      </c>
      <c r="L548" s="13">
        <v>1392</v>
      </c>
      <c r="Q548" s="5">
        <f>SUMIFS(Coin!E:E,Coin!C:C,B548,Coin!D:D,A548)</f>
        <v>0</v>
      </c>
    </row>
    <row r="549" spans="1:22" x14ac:dyDescent="0.25">
      <c r="A549" s="1">
        <f t="shared" si="165"/>
        <v>42905</v>
      </c>
      <c r="B549">
        <v>43</v>
      </c>
      <c r="C549">
        <v>1072.1500000000001</v>
      </c>
      <c r="E549" s="13">
        <f t="shared" si="166"/>
        <v>1070.1500000000001</v>
      </c>
      <c r="F549" s="13">
        <v>1070.1500000000001</v>
      </c>
      <c r="G549" s="13">
        <f t="shared" si="164"/>
        <v>0</v>
      </c>
      <c r="H549" s="14">
        <v>1599</v>
      </c>
      <c r="I549" s="15">
        <v>288.75</v>
      </c>
      <c r="J549" s="13">
        <v>288.75</v>
      </c>
      <c r="K549" s="13">
        <v>0</v>
      </c>
      <c r="L549" s="13">
        <v>1389</v>
      </c>
      <c r="Q549" s="5">
        <v>2</v>
      </c>
    </row>
    <row r="550" spans="1:22" x14ac:dyDescent="0.25">
      <c r="A550" s="1">
        <f t="shared" si="165"/>
        <v>42905</v>
      </c>
      <c r="B550">
        <v>44</v>
      </c>
      <c r="C550">
        <v>458.55</v>
      </c>
      <c r="E550" s="13">
        <f t="shared" si="166"/>
        <v>458.55</v>
      </c>
      <c r="F550" s="13">
        <v>458.55</v>
      </c>
      <c r="G550" s="13">
        <v>0</v>
      </c>
      <c r="H550" s="14"/>
      <c r="I550" s="15">
        <f>395.35+V550</f>
        <v>385.35</v>
      </c>
      <c r="J550" s="13">
        <v>385.35</v>
      </c>
      <c r="K550" s="13">
        <v>0</v>
      </c>
      <c r="L550" s="13">
        <v>1390</v>
      </c>
      <c r="Q550" s="5">
        <f>SUMIFS(Coin!E:E,Coin!C:C,B550,Coin!D:D,A550)</f>
        <v>0</v>
      </c>
      <c r="V550" s="21">
        <v>-10</v>
      </c>
    </row>
    <row r="551" spans="1:22" x14ac:dyDescent="0.25">
      <c r="A551" s="1">
        <f t="shared" si="165"/>
        <v>42905</v>
      </c>
      <c r="B551">
        <v>103</v>
      </c>
      <c r="C551">
        <v>948.9</v>
      </c>
      <c r="E551" s="13">
        <f t="shared" si="166"/>
        <v>948.9</v>
      </c>
      <c r="F551" s="13">
        <v>948.9</v>
      </c>
      <c r="G551" s="13">
        <f t="shared" ref="G551:G557" si="167">E551-F551</f>
        <v>0</v>
      </c>
      <c r="H551" s="14">
        <v>1604</v>
      </c>
      <c r="I551" s="15">
        <v>616.29999999999995</v>
      </c>
      <c r="J551" s="13">
        <v>616.29999999999995</v>
      </c>
      <c r="K551" s="13">
        <v>0</v>
      </c>
      <c r="L551" s="13">
        <v>1391</v>
      </c>
      <c r="Q551" s="5">
        <f>SUMIFS(Coin!E:E,Coin!C:C,B551,Coin!D:D,A551)</f>
        <v>0</v>
      </c>
    </row>
    <row r="552" spans="1:22" x14ac:dyDescent="0.25">
      <c r="A552" s="1">
        <f t="shared" si="165"/>
        <v>42905</v>
      </c>
      <c r="B552">
        <v>201</v>
      </c>
      <c r="C552">
        <v>632.75</v>
      </c>
      <c r="E552" s="13">
        <f t="shared" si="166"/>
        <v>632.75</v>
      </c>
      <c r="F552" s="13">
        <v>632.75</v>
      </c>
      <c r="G552" s="13">
        <f t="shared" si="167"/>
        <v>0</v>
      </c>
      <c r="H552" s="14">
        <v>1603</v>
      </c>
      <c r="I552" s="15">
        <v>389.65</v>
      </c>
      <c r="J552" s="13">
        <v>389.65</v>
      </c>
      <c r="K552" s="13">
        <v>0</v>
      </c>
      <c r="L552" s="13">
        <v>1394</v>
      </c>
      <c r="Q552" s="5">
        <f>SUMIFS(Coin!E:E,Coin!C:C,B552,Coin!D:D,A552)</f>
        <v>0</v>
      </c>
    </row>
    <row r="553" spans="1:22" x14ac:dyDescent="0.25">
      <c r="A553" s="1">
        <f t="shared" ref="A553:A559" si="168">DATE(2017,6,20)</f>
        <v>42906</v>
      </c>
      <c r="B553">
        <v>35</v>
      </c>
      <c r="C553">
        <v>752.8</v>
      </c>
      <c r="E553" s="13">
        <f t="shared" ref="E553:E559" si="169">C553+D553-Q553+U553</f>
        <v>730</v>
      </c>
      <c r="F553" s="13">
        <v>730</v>
      </c>
      <c r="G553" s="13">
        <f t="shared" si="167"/>
        <v>0</v>
      </c>
      <c r="H553" s="14">
        <v>1596</v>
      </c>
      <c r="I553" s="15">
        <v>537.70000000000005</v>
      </c>
      <c r="J553" s="13">
        <v>537.70000000000005</v>
      </c>
      <c r="K553" s="13">
        <v>0</v>
      </c>
      <c r="L553" s="13">
        <v>1395</v>
      </c>
      <c r="Q553" s="15">
        <v>22.8</v>
      </c>
      <c r="R553" s="13">
        <v>22.8</v>
      </c>
      <c r="S553" s="13">
        <v>0</v>
      </c>
      <c r="T553" s="19">
        <v>1606</v>
      </c>
    </row>
    <row r="554" spans="1:22" x14ac:dyDescent="0.25">
      <c r="A554" s="1">
        <f t="shared" si="168"/>
        <v>42906</v>
      </c>
      <c r="B554">
        <v>37</v>
      </c>
      <c r="C554">
        <v>702.25</v>
      </c>
      <c r="E554" s="13">
        <f t="shared" si="169"/>
        <v>704.45</v>
      </c>
      <c r="F554" s="13">
        <v>704.45</v>
      </c>
      <c r="G554" s="13">
        <f t="shared" si="167"/>
        <v>0</v>
      </c>
      <c r="H554" s="14">
        <v>1608</v>
      </c>
      <c r="I554" s="15">
        <v>671.63</v>
      </c>
      <c r="J554" s="13">
        <v>671.63</v>
      </c>
      <c r="K554" s="13">
        <v>0</v>
      </c>
      <c r="L554" s="13">
        <v>1400</v>
      </c>
      <c r="Q554" s="5">
        <f>SUMIFS(Coin!E:E,Coin!C:C,B554,Coin!D:D,A554)</f>
        <v>0</v>
      </c>
      <c r="U554" s="21">
        <v>2.2000000000000002</v>
      </c>
    </row>
    <row r="555" spans="1:22" x14ac:dyDescent="0.25">
      <c r="A555" s="1">
        <f t="shared" si="168"/>
        <v>42906</v>
      </c>
      <c r="B555">
        <v>41</v>
      </c>
      <c r="C555">
        <v>449.2</v>
      </c>
      <c r="E555" s="13">
        <f t="shared" si="169"/>
        <v>449.2</v>
      </c>
      <c r="F555" s="13">
        <v>449.2</v>
      </c>
      <c r="G555" s="13">
        <f t="shared" si="167"/>
        <v>0</v>
      </c>
      <c r="H555" s="14">
        <v>1609</v>
      </c>
      <c r="I555" s="15">
        <v>377.55</v>
      </c>
      <c r="J555" s="13">
        <v>377.55</v>
      </c>
      <c r="K555" s="13">
        <v>0</v>
      </c>
      <c r="L555" s="13">
        <v>1398</v>
      </c>
      <c r="Q555" s="5">
        <f>SUMIFS(Coin!E:E,Coin!C:C,B555,Coin!D:D,A555)</f>
        <v>0</v>
      </c>
    </row>
    <row r="556" spans="1:22" x14ac:dyDescent="0.25">
      <c r="A556" s="1">
        <f t="shared" si="168"/>
        <v>42906</v>
      </c>
      <c r="B556">
        <v>43</v>
      </c>
      <c r="C556">
        <v>749.5</v>
      </c>
      <c r="E556" s="13">
        <f t="shared" si="169"/>
        <v>749.5</v>
      </c>
      <c r="F556" s="13">
        <v>749.5</v>
      </c>
      <c r="G556" s="13">
        <f t="shared" si="167"/>
        <v>0</v>
      </c>
      <c r="H556" s="14"/>
      <c r="I556" s="15">
        <v>287.60000000000002</v>
      </c>
      <c r="J556" s="13">
        <v>287.60000000000002</v>
      </c>
      <c r="K556" s="13">
        <v>0</v>
      </c>
      <c r="L556" s="13">
        <v>1397</v>
      </c>
      <c r="Q556" s="5">
        <f>SUMIFS(Coin!E:E,Coin!C:C,B556,Coin!D:D,A556)</f>
        <v>0</v>
      </c>
    </row>
    <row r="557" spans="1:22" x14ac:dyDescent="0.25">
      <c r="A557" s="29">
        <f t="shared" si="168"/>
        <v>42906</v>
      </c>
      <c r="B557" s="24">
        <v>44</v>
      </c>
      <c r="C557" s="24">
        <v>464.6</v>
      </c>
      <c r="D557" s="24"/>
      <c r="E557" s="13">
        <f t="shared" si="169"/>
        <v>449.16</v>
      </c>
      <c r="F557" s="13">
        <v>449.16</v>
      </c>
      <c r="G557" s="13">
        <f t="shared" si="167"/>
        <v>0</v>
      </c>
      <c r="H557" s="25">
        <v>1610</v>
      </c>
      <c r="I557" s="15">
        <v>405.6</v>
      </c>
      <c r="J557" s="13">
        <v>405.6</v>
      </c>
      <c r="K557" s="13">
        <v>0</v>
      </c>
      <c r="L557" s="13">
        <v>1403</v>
      </c>
      <c r="Q557" s="5">
        <v>15.44</v>
      </c>
    </row>
    <row r="558" spans="1:22" x14ac:dyDescent="0.25">
      <c r="A558" s="1">
        <f t="shared" si="168"/>
        <v>42906</v>
      </c>
      <c r="B558">
        <v>103</v>
      </c>
      <c r="C558">
        <v>1076.05</v>
      </c>
      <c r="E558" s="13">
        <f t="shared" si="169"/>
        <v>1076.05</v>
      </c>
      <c r="F558" s="13">
        <v>1076</v>
      </c>
      <c r="G558" s="13">
        <f t="shared" ref="G558:G567" si="170">E558-F558</f>
        <v>4.9999999999954525E-2</v>
      </c>
      <c r="H558" s="14">
        <v>1620</v>
      </c>
      <c r="I558" s="15">
        <v>598.54999999999995</v>
      </c>
      <c r="J558" s="13">
        <v>598.54999999999995</v>
      </c>
      <c r="K558" s="13">
        <v>0</v>
      </c>
      <c r="L558" s="13">
        <v>1396</v>
      </c>
      <c r="Q558" s="5">
        <f>SUMIFS(Coin!E:E,Coin!C:C,B558,Coin!D:D,A558)</f>
        <v>0</v>
      </c>
    </row>
    <row r="559" spans="1:22" x14ac:dyDescent="0.25">
      <c r="A559" s="1">
        <f t="shared" si="168"/>
        <v>42906</v>
      </c>
      <c r="B559">
        <v>201</v>
      </c>
      <c r="C559">
        <v>529.6</v>
      </c>
      <c r="E559" s="13">
        <f t="shared" si="169"/>
        <v>529.6</v>
      </c>
      <c r="F559" s="13">
        <v>529.6</v>
      </c>
      <c r="G559" s="13">
        <f t="shared" si="170"/>
        <v>0</v>
      </c>
      <c r="H559" s="14">
        <v>1611</v>
      </c>
      <c r="I559" s="15">
        <v>432.6</v>
      </c>
      <c r="J559" s="13">
        <v>432.6</v>
      </c>
      <c r="K559" s="13">
        <v>0</v>
      </c>
      <c r="L559" s="13">
        <v>1399</v>
      </c>
      <c r="M559" s="15">
        <v>10</v>
      </c>
      <c r="N559" s="13">
        <v>10</v>
      </c>
      <c r="O559" s="13">
        <v>0</v>
      </c>
      <c r="P559" s="13">
        <v>68</v>
      </c>
      <c r="Q559" s="5">
        <f>SUMIFS(Coin!E:E,Coin!C:C,B559,Coin!D:D,A559)</f>
        <v>0</v>
      </c>
    </row>
    <row r="560" spans="1:22" x14ac:dyDescent="0.25">
      <c r="A560" s="1">
        <f t="shared" ref="A560:A566" si="171">DATE(2017,6,21)</f>
        <v>42907</v>
      </c>
      <c r="B560">
        <v>35</v>
      </c>
      <c r="C560">
        <v>1368.3</v>
      </c>
      <c r="E560" s="13">
        <f t="shared" ref="E560:E566" si="172">C560+D560-Q560+U560</f>
        <v>1360</v>
      </c>
      <c r="F560" s="13">
        <v>1360</v>
      </c>
      <c r="G560" s="13">
        <f t="shared" si="170"/>
        <v>0</v>
      </c>
      <c r="H560" s="14">
        <v>1605</v>
      </c>
      <c r="I560" s="15">
        <v>1072.0999999999999</v>
      </c>
      <c r="J560" s="13">
        <v>1072.0999999999999</v>
      </c>
      <c r="K560" s="13">
        <v>0</v>
      </c>
      <c r="L560" s="13">
        <v>1401</v>
      </c>
      <c r="Q560" s="15">
        <v>8.3000000000000007</v>
      </c>
      <c r="R560" s="13">
        <v>8.3000000000000007</v>
      </c>
      <c r="S560" s="13">
        <v>0</v>
      </c>
      <c r="T560" s="19">
        <v>1613</v>
      </c>
    </row>
    <row r="561" spans="1:22" x14ac:dyDescent="0.25">
      <c r="A561" s="1">
        <f t="shared" si="171"/>
        <v>42907</v>
      </c>
      <c r="B561">
        <v>37</v>
      </c>
      <c r="C561">
        <v>598.45000000000005</v>
      </c>
      <c r="E561" s="13">
        <f t="shared" si="172"/>
        <v>598.45000000000005</v>
      </c>
      <c r="F561" s="13">
        <v>598.45000000000005</v>
      </c>
      <c r="G561" s="13">
        <f t="shared" si="170"/>
        <v>0</v>
      </c>
      <c r="H561" s="14">
        <v>1614</v>
      </c>
      <c r="I561" s="15">
        <v>649.04999999999995</v>
      </c>
      <c r="J561" s="13">
        <v>649.04999999999995</v>
      </c>
      <c r="K561" s="13">
        <v>0</v>
      </c>
      <c r="L561" s="13">
        <v>1406</v>
      </c>
      <c r="Q561" s="5">
        <f>SUMIFS(Coin!E:E,Coin!C:C,B561,Coin!D:D,A561)</f>
        <v>0</v>
      </c>
    </row>
    <row r="562" spans="1:22" x14ac:dyDescent="0.25">
      <c r="A562" s="1">
        <f t="shared" si="171"/>
        <v>42907</v>
      </c>
      <c r="B562">
        <v>41</v>
      </c>
      <c r="C562">
        <v>646.1</v>
      </c>
      <c r="E562" s="13">
        <f t="shared" si="172"/>
        <v>646.1</v>
      </c>
      <c r="F562" s="13">
        <v>646.1</v>
      </c>
      <c r="G562" s="13">
        <f t="shared" si="170"/>
        <v>0</v>
      </c>
      <c r="H562" s="14">
        <v>1615</v>
      </c>
      <c r="I562" s="15">
        <v>343.7</v>
      </c>
      <c r="J562" s="13">
        <v>343.7</v>
      </c>
      <c r="K562" s="13">
        <v>0</v>
      </c>
      <c r="L562" s="13">
        <v>1402</v>
      </c>
      <c r="Q562" s="5">
        <f>SUMIFS(Coin!E:E,Coin!C:C,B562,Coin!D:D,A562)</f>
        <v>0</v>
      </c>
    </row>
    <row r="563" spans="1:22" x14ac:dyDescent="0.25">
      <c r="A563" s="1">
        <f t="shared" si="171"/>
        <v>42907</v>
      </c>
      <c r="B563">
        <v>43</v>
      </c>
      <c r="C563">
        <v>991.9</v>
      </c>
      <c r="D563">
        <v>-100</v>
      </c>
      <c r="E563" s="13">
        <f t="shared" si="172"/>
        <v>891.9</v>
      </c>
      <c r="F563" s="13">
        <v>891.9</v>
      </c>
      <c r="G563" s="13">
        <f t="shared" si="170"/>
        <v>0</v>
      </c>
      <c r="H563" s="14">
        <v>1616</v>
      </c>
      <c r="I563" s="15">
        <v>293.5</v>
      </c>
      <c r="J563" s="13">
        <v>293.5</v>
      </c>
      <c r="K563" s="13">
        <v>0</v>
      </c>
      <c r="L563" s="13">
        <v>1404</v>
      </c>
      <c r="Q563" s="5">
        <f>SUMIFS(Coin!E:E,Coin!C:C,B563,Coin!D:D,A563)</f>
        <v>0</v>
      </c>
    </row>
    <row r="564" spans="1:22" x14ac:dyDescent="0.25">
      <c r="A564" s="1">
        <f t="shared" si="171"/>
        <v>42907</v>
      </c>
      <c r="B564">
        <v>44</v>
      </c>
      <c r="C564">
        <v>453.55</v>
      </c>
      <c r="E564" s="13">
        <f t="shared" si="172"/>
        <v>453.55</v>
      </c>
      <c r="F564" s="13">
        <v>453.55</v>
      </c>
      <c r="G564" s="13">
        <f t="shared" si="170"/>
        <v>0</v>
      </c>
      <c r="H564" s="14">
        <v>1617</v>
      </c>
      <c r="I564" s="15">
        <v>546.1</v>
      </c>
      <c r="J564" s="13">
        <v>546.1</v>
      </c>
      <c r="K564" s="13">
        <v>0</v>
      </c>
      <c r="L564" s="13">
        <v>1411</v>
      </c>
      <c r="M564" s="15">
        <v>14.95</v>
      </c>
      <c r="N564" s="13">
        <v>14.95</v>
      </c>
      <c r="O564" s="13">
        <v>0</v>
      </c>
      <c r="P564" s="13">
        <v>69</v>
      </c>
    </row>
    <row r="565" spans="1:22" x14ac:dyDescent="0.25">
      <c r="A565" s="1">
        <f t="shared" si="171"/>
        <v>42907</v>
      </c>
      <c r="B565">
        <v>103</v>
      </c>
      <c r="C565">
        <v>1098.6500000000001</v>
      </c>
      <c r="E565" s="13">
        <f t="shared" si="172"/>
        <v>1098.6500000000001</v>
      </c>
      <c r="F565" s="13">
        <v>1098.6500000000001</v>
      </c>
      <c r="G565" s="13">
        <f t="shared" si="170"/>
        <v>0</v>
      </c>
      <c r="H565" s="14">
        <v>1619</v>
      </c>
      <c r="I565" s="15">
        <v>485.5</v>
      </c>
      <c r="J565" s="13">
        <v>485.5</v>
      </c>
      <c r="K565" s="13">
        <v>0</v>
      </c>
      <c r="L565" s="13">
        <v>1405</v>
      </c>
      <c r="Q565" s="5">
        <f>SUMIFS(Coin!E:E,Coin!C:C,B565,Coin!D:D,A565)</f>
        <v>0</v>
      </c>
    </row>
    <row r="566" spans="1:22" x14ac:dyDescent="0.25">
      <c r="A566" s="1">
        <f t="shared" si="171"/>
        <v>42907</v>
      </c>
      <c r="B566">
        <v>201</v>
      </c>
      <c r="C566">
        <v>479.15</v>
      </c>
      <c r="E566" s="13">
        <f t="shared" si="172"/>
        <v>479.15</v>
      </c>
      <c r="F566" s="13">
        <v>479.15</v>
      </c>
      <c r="G566" s="13">
        <f t="shared" si="170"/>
        <v>0</v>
      </c>
      <c r="H566" s="14">
        <v>1621</v>
      </c>
      <c r="I566" s="15">
        <v>304.89</v>
      </c>
      <c r="J566" s="13">
        <v>304.89</v>
      </c>
      <c r="K566" s="13">
        <v>0</v>
      </c>
      <c r="L566" s="13">
        <v>1407</v>
      </c>
      <c r="Q566" s="5">
        <f>SUMIFS(Coin!E:E,Coin!C:C,B566,Coin!D:D,A566)</f>
        <v>0</v>
      </c>
    </row>
    <row r="567" spans="1:22" x14ac:dyDescent="0.25">
      <c r="A567" s="1">
        <f t="shared" ref="A567:A573" si="173">DATE(2017,6,22)</f>
        <v>42908</v>
      </c>
      <c r="B567">
        <v>35</v>
      </c>
      <c r="C567">
        <v>1601.5</v>
      </c>
      <c r="E567" s="13">
        <f t="shared" ref="E567:E573" si="174">C567+D567-Q567+U567</f>
        <v>1575</v>
      </c>
      <c r="F567" s="13">
        <v>1575</v>
      </c>
      <c r="G567" s="13">
        <f t="shared" si="170"/>
        <v>0</v>
      </c>
      <c r="H567" s="14">
        <v>1612</v>
      </c>
      <c r="I567" s="15">
        <v>1527.45</v>
      </c>
      <c r="J567" s="13">
        <v>1527.45</v>
      </c>
      <c r="K567" s="13">
        <v>0</v>
      </c>
      <c r="L567" s="13">
        <v>1412</v>
      </c>
      <c r="Q567" s="15">
        <v>26.5</v>
      </c>
      <c r="R567" s="13">
        <v>26.5</v>
      </c>
      <c r="S567" s="13">
        <v>0</v>
      </c>
      <c r="T567" s="19">
        <v>1624</v>
      </c>
    </row>
    <row r="568" spans="1:22" x14ac:dyDescent="0.25">
      <c r="A568" s="1">
        <f t="shared" si="173"/>
        <v>42908</v>
      </c>
      <c r="B568">
        <v>37</v>
      </c>
      <c r="C568">
        <v>789.75</v>
      </c>
      <c r="E568" s="13">
        <f t="shared" si="174"/>
        <v>788.75</v>
      </c>
      <c r="F568" s="13">
        <v>788.75</v>
      </c>
      <c r="G568" s="13">
        <f>E568-F568</f>
        <v>0</v>
      </c>
      <c r="H568" s="14">
        <v>1625</v>
      </c>
      <c r="I568" s="15">
        <v>850.14</v>
      </c>
      <c r="J568" s="13">
        <v>850.14</v>
      </c>
      <c r="K568" s="13">
        <v>0</v>
      </c>
      <c r="L568" s="13">
        <v>1413</v>
      </c>
      <c r="Q568" s="5">
        <v>1</v>
      </c>
    </row>
    <row r="569" spans="1:22" x14ac:dyDescent="0.25">
      <c r="A569" s="1">
        <f t="shared" si="173"/>
        <v>42908</v>
      </c>
      <c r="B569">
        <v>41</v>
      </c>
      <c r="C569">
        <v>1634.95</v>
      </c>
      <c r="E569" s="13">
        <f t="shared" si="174"/>
        <v>1634.95</v>
      </c>
      <c r="F569" s="13">
        <v>1634.95</v>
      </c>
      <c r="G569" s="13">
        <f>E569-F569</f>
        <v>0</v>
      </c>
      <c r="H569" s="14">
        <v>1626</v>
      </c>
      <c r="I569" s="15">
        <v>912.05</v>
      </c>
      <c r="J569" s="13">
        <v>912.05</v>
      </c>
      <c r="K569" s="13">
        <v>0</v>
      </c>
      <c r="L569" s="13">
        <v>1410</v>
      </c>
    </row>
    <row r="570" spans="1:22" x14ac:dyDescent="0.25">
      <c r="A570" s="1">
        <f t="shared" si="173"/>
        <v>42908</v>
      </c>
      <c r="B570">
        <v>43</v>
      </c>
      <c r="C570">
        <v>1384.45</v>
      </c>
      <c r="E570" s="13">
        <f t="shared" si="174"/>
        <v>1384.45</v>
      </c>
      <c r="F570" s="13">
        <v>1384.45</v>
      </c>
      <c r="G570" s="13">
        <f>E570-F570</f>
        <v>0</v>
      </c>
      <c r="H570" s="14">
        <v>1627</v>
      </c>
      <c r="I570" s="15">
        <v>643.45000000000005</v>
      </c>
      <c r="J570" s="13">
        <v>643.45000000000005</v>
      </c>
      <c r="K570" s="13">
        <v>0</v>
      </c>
      <c r="L570" s="13">
        <v>1408</v>
      </c>
    </row>
    <row r="571" spans="1:22" x14ac:dyDescent="0.25">
      <c r="A571" s="1">
        <f t="shared" si="173"/>
        <v>42908</v>
      </c>
      <c r="B571">
        <v>44</v>
      </c>
      <c r="C571">
        <v>437.3</v>
      </c>
      <c r="E571" s="13">
        <f t="shared" si="174"/>
        <v>432.3</v>
      </c>
      <c r="F571" s="13">
        <v>432.3</v>
      </c>
      <c r="G571" s="13">
        <f>E571-F571</f>
        <v>0</v>
      </c>
      <c r="H571" s="14"/>
      <c r="I571" s="15">
        <v>665.1</v>
      </c>
      <c r="J571" s="13">
        <v>665.1</v>
      </c>
      <c r="K571" s="13">
        <v>0</v>
      </c>
      <c r="L571" s="13">
        <v>1426</v>
      </c>
      <c r="M571" s="15">
        <v>47.95</v>
      </c>
      <c r="N571" s="13">
        <v>47.95</v>
      </c>
      <c r="O571" s="13">
        <v>0</v>
      </c>
      <c r="P571" s="13">
        <v>71</v>
      </c>
      <c r="U571" s="21">
        <v>-5</v>
      </c>
    </row>
    <row r="572" spans="1:22" x14ac:dyDescent="0.25">
      <c r="A572" s="1">
        <f t="shared" si="173"/>
        <v>42908</v>
      </c>
      <c r="B572">
        <v>103</v>
      </c>
      <c r="C572">
        <v>1491.7</v>
      </c>
      <c r="E572" s="13">
        <f t="shared" si="174"/>
        <v>1491.7</v>
      </c>
      <c r="F572" s="13">
        <v>1491.7</v>
      </c>
      <c r="G572" s="13">
        <f t="shared" ref="G572" si="175">E572-F572</f>
        <v>0</v>
      </c>
      <c r="H572" s="14"/>
      <c r="I572" s="15">
        <v>1117.9000000000001</v>
      </c>
      <c r="J572" s="13">
        <v>1117.9000000000001</v>
      </c>
      <c r="K572" s="13">
        <v>0</v>
      </c>
      <c r="L572" s="13">
        <v>1409</v>
      </c>
      <c r="Q572" s="5">
        <f>SUMIFS(Coin!E:E,Coin!C:C,B572,Coin!D:D,A572)</f>
        <v>0</v>
      </c>
    </row>
    <row r="573" spans="1:22" x14ac:dyDescent="0.25">
      <c r="A573" s="1">
        <f t="shared" si="173"/>
        <v>42908</v>
      </c>
      <c r="B573">
        <v>201</v>
      </c>
      <c r="C573">
        <v>730.3</v>
      </c>
      <c r="E573" s="13">
        <f t="shared" si="174"/>
        <v>629.34999999999991</v>
      </c>
      <c r="F573" s="13">
        <v>629.35</v>
      </c>
      <c r="G573" s="13">
        <f>E573-F573</f>
        <v>0</v>
      </c>
      <c r="H573" s="14">
        <v>1628</v>
      </c>
      <c r="I573" s="15">
        <v>427.55</v>
      </c>
      <c r="J573" s="13">
        <v>427.55</v>
      </c>
      <c r="K573" s="13">
        <v>0</v>
      </c>
      <c r="L573" s="13">
        <v>1414</v>
      </c>
      <c r="Q573" s="5">
        <v>100.95</v>
      </c>
    </row>
    <row r="574" spans="1:22" x14ac:dyDescent="0.25">
      <c r="A574" s="1">
        <f t="shared" ref="A574:A580" si="176">DATE(2017,6,23)</f>
        <v>42909</v>
      </c>
      <c r="B574">
        <v>35</v>
      </c>
      <c r="C574">
        <v>1319.6</v>
      </c>
      <c r="E574" s="13">
        <f t="shared" ref="E574:E594" si="177">C574+D574-Q574+U574</f>
        <v>1305</v>
      </c>
      <c r="F574" s="13">
        <v>1305</v>
      </c>
      <c r="G574" s="13">
        <f>E574-F574</f>
        <v>0</v>
      </c>
      <c r="H574" s="14">
        <v>1623</v>
      </c>
      <c r="I574" s="15">
        <v>527.4</v>
      </c>
      <c r="J574" s="13">
        <v>527.4</v>
      </c>
      <c r="K574" s="13">
        <v>0</v>
      </c>
      <c r="L574" s="13">
        <v>1428</v>
      </c>
      <c r="Q574" s="15">
        <v>14.6</v>
      </c>
      <c r="R574" s="13">
        <v>14.6</v>
      </c>
      <c r="S574" s="13">
        <v>0</v>
      </c>
      <c r="T574" s="19">
        <v>1631</v>
      </c>
    </row>
    <row r="575" spans="1:22" x14ac:dyDescent="0.25">
      <c r="A575" s="1">
        <f t="shared" si="176"/>
        <v>42909</v>
      </c>
      <c r="B575">
        <v>37</v>
      </c>
      <c r="C575">
        <v>646</v>
      </c>
      <c r="E575" s="13">
        <f t="shared" si="177"/>
        <v>626</v>
      </c>
      <c r="F575" s="13">
        <v>626</v>
      </c>
      <c r="G575" s="13">
        <f>E575-F575</f>
        <v>0</v>
      </c>
      <c r="H575" s="14">
        <v>1637</v>
      </c>
      <c r="I575" s="15">
        <v>909.09</v>
      </c>
      <c r="J575" s="13">
        <v>909.09</v>
      </c>
      <c r="K575" s="13">
        <v>0</v>
      </c>
      <c r="L575" s="13">
        <v>1435</v>
      </c>
      <c r="Q575" s="15">
        <v>20</v>
      </c>
      <c r="R575" s="13">
        <v>20</v>
      </c>
      <c r="S575" s="13">
        <v>0</v>
      </c>
      <c r="T575" s="19">
        <v>1634</v>
      </c>
    </row>
    <row r="576" spans="1:22" x14ac:dyDescent="0.25">
      <c r="A576" s="1">
        <f t="shared" si="176"/>
        <v>42909</v>
      </c>
      <c r="B576">
        <v>41</v>
      </c>
      <c r="C576">
        <v>755.2</v>
      </c>
      <c r="E576" s="13">
        <f t="shared" si="177"/>
        <v>780.25</v>
      </c>
      <c r="F576" s="13">
        <v>780.25</v>
      </c>
      <c r="G576" s="13">
        <f>E576-F576</f>
        <v>0</v>
      </c>
      <c r="H576" s="14">
        <v>1640</v>
      </c>
      <c r="I576" s="15">
        <f>705.5+V576</f>
        <v>665.5</v>
      </c>
      <c r="J576" s="13">
        <v>665.5</v>
      </c>
      <c r="K576" s="13">
        <v>0</v>
      </c>
      <c r="L576" s="13">
        <v>1429</v>
      </c>
      <c r="M576" s="15">
        <v>40</v>
      </c>
      <c r="N576" s="13">
        <v>40</v>
      </c>
      <c r="O576" s="13">
        <v>0</v>
      </c>
      <c r="P576" s="13">
        <v>72</v>
      </c>
      <c r="Q576" s="5">
        <f>SUMIFS(Coin!E:E,Coin!C:C,B576,Coin!D:D,A576)</f>
        <v>0</v>
      </c>
      <c r="U576" s="21">
        <v>25.05</v>
      </c>
      <c r="V576" s="21">
        <v>-40</v>
      </c>
    </row>
    <row r="577" spans="1:22" x14ac:dyDescent="0.25">
      <c r="A577" s="1">
        <f t="shared" si="176"/>
        <v>42909</v>
      </c>
      <c r="B577">
        <v>43</v>
      </c>
      <c r="C577">
        <v>1167.75</v>
      </c>
      <c r="E577" s="13">
        <f t="shared" si="177"/>
        <v>1167.75</v>
      </c>
      <c r="F577" s="13">
        <v>1167.75</v>
      </c>
      <c r="G577" s="13">
        <f>E577-F577</f>
        <v>0</v>
      </c>
      <c r="H577" s="14">
        <v>1642</v>
      </c>
      <c r="I577" s="15">
        <v>619.54999999999995</v>
      </c>
      <c r="J577" s="13">
        <v>619.54999999999995</v>
      </c>
      <c r="K577" s="13">
        <v>0</v>
      </c>
      <c r="L577" s="13">
        <v>1427</v>
      </c>
      <c r="Q577" s="5">
        <f>SUMIFS(Coin!E:E,Coin!C:C,B577,Coin!D:D,A577)</f>
        <v>0</v>
      </c>
    </row>
    <row r="578" spans="1:22" x14ac:dyDescent="0.25">
      <c r="A578" s="1">
        <f t="shared" si="176"/>
        <v>42909</v>
      </c>
      <c r="B578">
        <v>44</v>
      </c>
      <c r="C578">
        <v>567.45000000000005</v>
      </c>
      <c r="E578" s="13">
        <f t="shared" si="177"/>
        <v>578.45000000000005</v>
      </c>
      <c r="F578" s="13">
        <v>578.45000000000005</v>
      </c>
      <c r="G578" s="13">
        <f t="shared" ref="G578:G579" si="178">E578-F578</f>
        <v>0</v>
      </c>
      <c r="H578" s="14"/>
      <c r="I578" s="15">
        <v>549.20000000000005</v>
      </c>
      <c r="J578" s="13">
        <v>549.20000000000005</v>
      </c>
      <c r="K578" s="13">
        <v>0</v>
      </c>
      <c r="L578" s="13">
        <v>1436</v>
      </c>
      <c r="Q578" s="5">
        <f>SUMIFS(Coin!E:E,Coin!C:C,B578,Coin!D:D,A578)</f>
        <v>0</v>
      </c>
      <c r="U578" s="21">
        <v>11</v>
      </c>
    </row>
    <row r="579" spans="1:22" x14ac:dyDescent="0.25">
      <c r="A579" s="1">
        <f t="shared" si="176"/>
        <v>42909</v>
      </c>
      <c r="B579">
        <v>103</v>
      </c>
      <c r="C579">
        <v>879.15</v>
      </c>
      <c r="E579" s="13">
        <f t="shared" si="177"/>
        <v>879.15</v>
      </c>
      <c r="F579" s="13">
        <v>879.15</v>
      </c>
      <c r="G579" s="13">
        <f t="shared" si="178"/>
        <v>0</v>
      </c>
      <c r="H579" s="14"/>
      <c r="I579" s="15">
        <v>761.5</v>
      </c>
      <c r="J579" s="13">
        <v>761.5</v>
      </c>
      <c r="K579" s="13">
        <v>0</v>
      </c>
      <c r="L579" s="13">
        <v>1425</v>
      </c>
      <c r="Q579" s="5">
        <f>SUMIFS(Coin!E:E,Coin!C:C,B579,Coin!D:D,A579)</f>
        <v>0</v>
      </c>
    </row>
    <row r="580" spans="1:22" x14ac:dyDescent="0.25">
      <c r="A580" s="1">
        <f t="shared" si="176"/>
        <v>42909</v>
      </c>
      <c r="B580">
        <v>201</v>
      </c>
      <c r="C580">
        <v>609.35</v>
      </c>
      <c r="E580" s="13">
        <f t="shared" si="177"/>
        <v>609.35</v>
      </c>
      <c r="F580" s="13">
        <v>609.35</v>
      </c>
      <c r="G580" s="13">
        <f>E580-F580</f>
        <v>0</v>
      </c>
      <c r="H580" s="14">
        <v>1647</v>
      </c>
      <c r="I580" s="15">
        <v>819.2</v>
      </c>
      <c r="J580" s="13">
        <v>819.2</v>
      </c>
      <c r="K580" s="13">
        <v>0</v>
      </c>
      <c r="L580" s="13">
        <v>1434</v>
      </c>
      <c r="Q580" s="5">
        <f>SUMIFS(Coin!E:E,Coin!C:C,B580,Coin!D:D,A580)</f>
        <v>0</v>
      </c>
    </row>
    <row r="581" spans="1:22" x14ac:dyDescent="0.25">
      <c r="A581" s="1">
        <f t="shared" ref="A581:A587" si="179">DATE(2017,6,24)</f>
        <v>42910</v>
      </c>
      <c r="B581">
        <v>35</v>
      </c>
      <c r="C581">
        <v>1096.95</v>
      </c>
      <c r="E581" s="13">
        <f t="shared" si="177"/>
        <v>1096.95</v>
      </c>
      <c r="F581" s="13">
        <v>1096.95</v>
      </c>
      <c r="G581" s="13">
        <f>E581-F581</f>
        <v>0</v>
      </c>
      <c r="H581" s="14">
        <v>1632</v>
      </c>
      <c r="I581" s="15">
        <v>1330.45</v>
      </c>
      <c r="J581" s="13">
        <v>1330.45</v>
      </c>
      <c r="K581" s="13">
        <v>0</v>
      </c>
      <c r="L581" s="13">
        <v>1424</v>
      </c>
      <c r="Q581" s="5">
        <f>SUMIFS(Coin!E:E,Coin!C:C,B581,Coin!D:D,A581)</f>
        <v>0</v>
      </c>
    </row>
    <row r="582" spans="1:22" x14ac:dyDescent="0.25">
      <c r="A582" s="1">
        <f t="shared" si="179"/>
        <v>42910</v>
      </c>
      <c r="B582">
        <v>37</v>
      </c>
      <c r="C582">
        <v>653.5</v>
      </c>
      <c r="E582" s="13">
        <f t="shared" si="177"/>
        <v>653.5</v>
      </c>
      <c r="F582" s="13">
        <v>653.5</v>
      </c>
      <c r="G582" s="13">
        <f>E582-F582</f>
        <v>0</v>
      </c>
      <c r="H582" s="14">
        <v>1636</v>
      </c>
      <c r="I582" s="15">
        <v>906.57</v>
      </c>
      <c r="J582" s="13">
        <v>906.57</v>
      </c>
      <c r="K582" s="13">
        <v>0</v>
      </c>
      <c r="L582" s="13">
        <v>1433</v>
      </c>
      <c r="Q582" s="5">
        <f>SUMIFS(Coin!E:E,Coin!C:C,B582,Coin!D:D,A582)</f>
        <v>0</v>
      </c>
    </row>
    <row r="583" spans="1:22" x14ac:dyDescent="0.25">
      <c r="A583" s="1">
        <f t="shared" si="179"/>
        <v>42910</v>
      </c>
      <c r="B583">
        <v>41</v>
      </c>
      <c r="C583">
        <v>475.25</v>
      </c>
      <c r="E583" s="13">
        <f t="shared" si="177"/>
        <v>486.25</v>
      </c>
      <c r="F583" s="13">
        <v>486.25</v>
      </c>
      <c r="G583" s="13">
        <f>E583-F583</f>
        <v>0</v>
      </c>
      <c r="H583" s="14">
        <v>1638</v>
      </c>
      <c r="I583" s="15">
        <f>606.59+V583</f>
        <v>556.59</v>
      </c>
      <c r="J583" s="13">
        <v>556.59</v>
      </c>
      <c r="K583" s="13">
        <v>0</v>
      </c>
      <c r="L583" s="13">
        <v>1423</v>
      </c>
      <c r="M583" s="15">
        <v>10</v>
      </c>
      <c r="N583" s="13">
        <v>10</v>
      </c>
      <c r="O583" s="13">
        <v>0</v>
      </c>
      <c r="P583" s="13">
        <v>73</v>
      </c>
      <c r="Q583" s="5">
        <f>SUMIFS(Coin!E:E,Coin!C:C,B583,Coin!D:D,A583)</f>
        <v>0</v>
      </c>
      <c r="U583" s="21">
        <v>11</v>
      </c>
      <c r="V583" s="21">
        <v>-50</v>
      </c>
    </row>
    <row r="584" spans="1:22" x14ac:dyDescent="0.25">
      <c r="A584" s="1">
        <f t="shared" si="179"/>
        <v>42910</v>
      </c>
      <c r="B584">
        <v>43</v>
      </c>
      <c r="C584">
        <v>1015.8</v>
      </c>
      <c r="E584" s="13">
        <f t="shared" si="177"/>
        <v>1015.8</v>
      </c>
      <c r="F584" s="13">
        <v>1015.8</v>
      </c>
      <c r="G584" s="13">
        <f>E584-F584</f>
        <v>0</v>
      </c>
      <c r="H584" s="14">
        <v>1643</v>
      </c>
      <c r="I584" s="15">
        <v>433.15</v>
      </c>
      <c r="J584" s="13">
        <v>433.15</v>
      </c>
      <c r="K584" s="13">
        <v>0</v>
      </c>
      <c r="L584" s="13">
        <v>1421</v>
      </c>
      <c r="Q584" s="5">
        <f>SUMIFS(Coin!E:E,Coin!C:C,B584,Coin!D:D,A584)</f>
        <v>0</v>
      </c>
    </row>
    <row r="585" spans="1:22" x14ac:dyDescent="0.25">
      <c r="A585" s="1">
        <f t="shared" si="179"/>
        <v>42910</v>
      </c>
      <c r="B585">
        <v>44</v>
      </c>
      <c r="C585">
        <v>483.3</v>
      </c>
      <c r="E585" s="13">
        <f t="shared" si="177"/>
        <v>476.5</v>
      </c>
      <c r="F585" s="13">
        <v>476.5</v>
      </c>
      <c r="G585" s="13">
        <f t="shared" ref="G585" si="180">E585-F585</f>
        <v>0</v>
      </c>
      <c r="H585" s="14"/>
      <c r="I585" s="15">
        <v>718.4</v>
      </c>
      <c r="J585" s="13">
        <v>718.4</v>
      </c>
      <c r="K585" s="13">
        <v>0</v>
      </c>
      <c r="L585" s="13">
        <v>1437</v>
      </c>
      <c r="Q585" s="5">
        <f>SUMIFS(Coin!E:E,Coin!C:C,B585,Coin!D:D,A585)</f>
        <v>0</v>
      </c>
      <c r="U585" s="21">
        <v>-6.8</v>
      </c>
    </row>
    <row r="586" spans="1:22" x14ac:dyDescent="0.25">
      <c r="A586" s="1">
        <f t="shared" si="179"/>
        <v>42910</v>
      </c>
      <c r="B586">
        <v>103</v>
      </c>
      <c r="C586">
        <v>1111.8</v>
      </c>
      <c r="D586">
        <v>-3.75</v>
      </c>
      <c r="E586" s="13">
        <f t="shared" si="177"/>
        <v>1085.8</v>
      </c>
      <c r="F586" s="13">
        <v>1085.8</v>
      </c>
      <c r="G586" s="13">
        <f t="shared" ref="G586:G591" si="181">E586-F586</f>
        <v>0</v>
      </c>
      <c r="H586" s="14">
        <v>1629</v>
      </c>
      <c r="I586" s="15">
        <v>873.15</v>
      </c>
      <c r="J586" s="13">
        <v>873.15</v>
      </c>
      <c r="K586" s="13">
        <v>0</v>
      </c>
      <c r="L586" s="13">
        <v>1422</v>
      </c>
      <c r="Q586" s="15">
        <v>15.15</v>
      </c>
      <c r="R586" s="13">
        <v>15.15</v>
      </c>
      <c r="S586" s="13">
        <v>0</v>
      </c>
      <c r="T586" s="19">
        <v>1644</v>
      </c>
      <c r="U586" s="21">
        <v>-7.1</v>
      </c>
    </row>
    <row r="587" spans="1:22" x14ac:dyDescent="0.25">
      <c r="A587" s="1">
        <f t="shared" si="179"/>
        <v>42910</v>
      </c>
      <c r="B587">
        <v>201</v>
      </c>
      <c r="C587">
        <v>749</v>
      </c>
      <c r="E587" s="13">
        <f t="shared" si="177"/>
        <v>749</v>
      </c>
      <c r="F587" s="13">
        <v>749</v>
      </c>
      <c r="G587" s="13">
        <f t="shared" si="181"/>
        <v>0</v>
      </c>
      <c r="H587" s="14">
        <v>1646</v>
      </c>
      <c r="I587" s="15">
        <v>794.05</v>
      </c>
      <c r="J587" s="13">
        <v>794.05</v>
      </c>
      <c r="K587" s="13">
        <v>0</v>
      </c>
      <c r="L587" s="13">
        <v>1432</v>
      </c>
      <c r="Q587" s="5">
        <f>SUMIFS(Coin!E:E,Coin!C:C,B587,Coin!D:D,A587)</f>
        <v>0</v>
      </c>
    </row>
    <row r="588" spans="1:22" x14ac:dyDescent="0.25">
      <c r="A588" s="1">
        <f t="shared" ref="A588:A594" si="182">DATE(2017,6,25)</f>
        <v>42911</v>
      </c>
      <c r="B588">
        <v>35</v>
      </c>
      <c r="C588">
        <v>675.35</v>
      </c>
      <c r="E588" s="13">
        <f t="shared" si="177"/>
        <v>675.35</v>
      </c>
      <c r="F588" s="13">
        <v>675.35</v>
      </c>
      <c r="G588" s="13">
        <f t="shared" si="181"/>
        <v>0</v>
      </c>
      <c r="H588" s="14">
        <v>1633</v>
      </c>
      <c r="I588" s="15">
        <v>937.95</v>
      </c>
      <c r="J588" s="13">
        <v>937.95</v>
      </c>
      <c r="K588" s="13">
        <v>0</v>
      </c>
      <c r="L588" s="13">
        <v>1417</v>
      </c>
      <c r="Q588" s="5">
        <f>SUMIFS(Coin!E:E,Coin!C:C,B588,Coin!D:D,A588)</f>
        <v>0</v>
      </c>
    </row>
    <row r="589" spans="1:22" x14ac:dyDescent="0.25">
      <c r="A589" s="1">
        <f t="shared" si="182"/>
        <v>42911</v>
      </c>
      <c r="B589">
        <v>37</v>
      </c>
      <c r="C589">
        <v>365.7</v>
      </c>
      <c r="E589" s="13">
        <f t="shared" si="177"/>
        <v>365.7</v>
      </c>
      <c r="F589" s="13">
        <v>365.7</v>
      </c>
      <c r="G589" s="13">
        <f t="shared" si="181"/>
        <v>0</v>
      </c>
      <c r="H589" s="14">
        <v>1635</v>
      </c>
      <c r="I589" s="15">
        <v>577.54</v>
      </c>
      <c r="J589" s="13">
        <v>577.54</v>
      </c>
      <c r="K589" s="13">
        <v>0</v>
      </c>
      <c r="L589" s="13">
        <v>1430</v>
      </c>
      <c r="Q589" s="5">
        <f>SUMIFS(Coin!E:E,Coin!C:C,B589,Coin!D:D,A589)</f>
        <v>0</v>
      </c>
    </row>
    <row r="590" spans="1:22" x14ac:dyDescent="0.25">
      <c r="A590" s="1">
        <f t="shared" si="182"/>
        <v>42911</v>
      </c>
      <c r="B590">
        <v>41</v>
      </c>
      <c r="C590">
        <v>464.6</v>
      </c>
      <c r="E590" s="13">
        <f t="shared" si="177"/>
        <v>464.6</v>
      </c>
      <c r="F590" s="13">
        <v>464.6</v>
      </c>
      <c r="G590" s="13">
        <f t="shared" si="181"/>
        <v>0</v>
      </c>
      <c r="H590" s="14">
        <v>1639</v>
      </c>
      <c r="I590" s="15">
        <v>265.75</v>
      </c>
      <c r="J590" s="13">
        <v>265.75</v>
      </c>
      <c r="K590" s="13">
        <v>0</v>
      </c>
      <c r="L590" s="13">
        <v>1419</v>
      </c>
      <c r="Q590" s="5">
        <f>SUMIFS(Coin!E:E,Coin!C:C,B590,Coin!D:D,A590)</f>
        <v>0</v>
      </c>
    </row>
    <row r="591" spans="1:22" x14ac:dyDescent="0.25">
      <c r="A591" s="1">
        <f t="shared" si="182"/>
        <v>42911</v>
      </c>
      <c r="B591">
        <v>43</v>
      </c>
      <c r="C591">
        <v>467.3</v>
      </c>
      <c r="E591" s="13">
        <f t="shared" si="177"/>
        <v>467.3</v>
      </c>
      <c r="F591" s="13">
        <v>467.3</v>
      </c>
      <c r="G591" s="13">
        <f t="shared" si="181"/>
        <v>0</v>
      </c>
      <c r="H591" s="14">
        <v>1641</v>
      </c>
      <c r="I591" s="15">
        <v>370.5</v>
      </c>
      <c r="J591" s="13">
        <v>370.5</v>
      </c>
      <c r="K591" s="13">
        <v>0</v>
      </c>
      <c r="L591" s="13">
        <v>1416</v>
      </c>
      <c r="Q591" s="5">
        <f>SUMIFS(Coin!E:E,Coin!C:C,B591,Coin!D:D,A591)</f>
        <v>0</v>
      </c>
    </row>
    <row r="592" spans="1:22" x14ac:dyDescent="0.25">
      <c r="A592" s="1">
        <f t="shared" si="182"/>
        <v>42911</v>
      </c>
      <c r="B592">
        <v>44</v>
      </c>
      <c r="C592">
        <v>363.4</v>
      </c>
      <c r="D592">
        <v>-4.2</v>
      </c>
      <c r="E592" s="13">
        <f t="shared" si="177"/>
        <v>359.2</v>
      </c>
      <c r="F592" s="13">
        <v>359.2</v>
      </c>
      <c r="G592" s="13">
        <v>0</v>
      </c>
      <c r="H592" s="14"/>
      <c r="I592" s="15">
        <v>350.35</v>
      </c>
      <c r="J592" s="13">
        <v>350.35</v>
      </c>
      <c r="K592" s="13">
        <v>0</v>
      </c>
      <c r="L592" s="13">
        <v>1418</v>
      </c>
      <c r="M592" s="15">
        <v>91.7</v>
      </c>
      <c r="N592" s="13">
        <v>91.7</v>
      </c>
      <c r="O592" s="13">
        <v>0</v>
      </c>
      <c r="P592" s="13">
        <v>70</v>
      </c>
      <c r="Q592" s="5">
        <f>SUMIFS(Coin!E:E,Coin!C:C,B592,Coin!D:D,A592)</f>
        <v>0</v>
      </c>
    </row>
    <row r="593" spans="1:22" x14ac:dyDescent="0.25">
      <c r="A593" s="1">
        <f t="shared" si="182"/>
        <v>42911</v>
      </c>
      <c r="B593">
        <v>103</v>
      </c>
      <c r="C593">
        <v>410.85</v>
      </c>
      <c r="E593" s="13">
        <f t="shared" si="177"/>
        <v>410.85</v>
      </c>
      <c r="F593" s="13">
        <v>410.85</v>
      </c>
      <c r="G593" s="13">
        <f t="shared" ref="G593:G602" si="183">E593-F593</f>
        <v>0</v>
      </c>
      <c r="H593" s="14">
        <v>1645</v>
      </c>
      <c r="I593" s="15">
        <v>421.35</v>
      </c>
      <c r="J593" s="13">
        <v>421.35</v>
      </c>
      <c r="K593" s="13">
        <v>0</v>
      </c>
      <c r="L593" s="13">
        <v>1415</v>
      </c>
      <c r="Q593" s="5">
        <f>SUMIFS(Coin!E:E,Coin!C:C,B593,Coin!D:D,A593)</f>
        <v>0</v>
      </c>
    </row>
    <row r="594" spans="1:22" x14ac:dyDescent="0.25">
      <c r="A594" s="1">
        <f t="shared" si="182"/>
        <v>42911</v>
      </c>
      <c r="B594">
        <v>201</v>
      </c>
      <c r="C594">
        <v>239.65</v>
      </c>
      <c r="E594" s="13">
        <f t="shared" si="177"/>
        <v>239.65</v>
      </c>
      <c r="F594" s="13">
        <v>239.65</v>
      </c>
      <c r="G594" s="13">
        <f t="shared" si="183"/>
        <v>0</v>
      </c>
      <c r="H594" s="14">
        <v>1648</v>
      </c>
      <c r="I594" s="15">
        <v>239.75</v>
      </c>
      <c r="J594" s="13">
        <v>239.75</v>
      </c>
      <c r="K594" s="13">
        <v>0</v>
      </c>
      <c r="L594" s="13">
        <v>1431</v>
      </c>
      <c r="Q594" s="5">
        <f>SUMIFS(Coin!E:E,Coin!C:C,B594,Coin!D:D,A594)</f>
        <v>0</v>
      </c>
    </row>
    <row r="595" spans="1:22" x14ac:dyDescent="0.25">
      <c r="A595" s="1">
        <f t="shared" ref="A595:A601" si="184">DATE(2017,6,26)</f>
        <v>42912</v>
      </c>
      <c r="B595">
        <v>35</v>
      </c>
      <c r="C595">
        <v>709.05</v>
      </c>
      <c r="E595" s="13">
        <f t="shared" ref="E595:E601" si="185">C595+D595-Q595+U595</f>
        <v>709.05</v>
      </c>
      <c r="F595" s="13">
        <v>709.05</v>
      </c>
      <c r="G595" s="13">
        <f t="shared" si="183"/>
        <v>0</v>
      </c>
      <c r="H595" s="14">
        <v>1650</v>
      </c>
      <c r="I595" s="15">
        <v>466.35</v>
      </c>
      <c r="J595" s="13">
        <v>466.35</v>
      </c>
      <c r="K595" s="13">
        <v>0</v>
      </c>
      <c r="L595" s="13">
        <v>1441</v>
      </c>
      <c r="Q595" s="5">
        <f>SUMIFS(Coin!E:E,Coin!C:C,B595,Coin!D:D,A595)</f>
        <v>0</v>
      </c>
    </row>
    <row r="596" spans="1:22" x14ac:dyDescent="0.25">
      <c r="A596" s="1">
        <f t="shared" si="184"/>
        <v>42912</v>
      </c>
      <c r="B596">
        <v>37</v>
      </c>
      <c r="C596">
        <v>324.75</v>
      </c>
      <c r="E596" s="13">
        <f t="shared" si="185"/>
        <v>324.75</v>
      </c>
      <c r="F596" s="13">
        <v>324.75</v>
      </c>
      <c r="G596" s="13">
        <f t="shared" si="183"/>
        <v>0</v>
      </c>
      <c r="H596" s="14">
        <v>1651</v>
      </c>
      <c r="I596" s="15">
        <v>259.75</v>
      </c>
      <c r="J596" s="13">
        <v>259.75</v>
      </c>
      <c r="K596" s="13">
        <v>0</v>
      </c>
      <c r="L596" s="13">
        <v>1444</v>
      </c>
      <c r="Q596" s="5">
        <f>SUMIFS(Coin!E:E,Coin!C:C,B596,Coin!D:D,A596)</f>
        <v>0</v>
      </c>
    </row>
    <row r="597" spans="1:22" x14ac:dyDescent="0.25">
      <c r="A597" s="1">
        <f t="shared" si="184"/>
        <v>42912</v>
      </c>
      <c r="B597">
        <v>41</v>
      </c>
      <c r="C597">
        <v>707.2</v>
      </c>
      <c r="E597" s="13">
        <f t="shared" si="185"/>
        <v>707.2</v>
      </c>
      <c r="F597" s="13">
        <v>707.2</v>
      </c>
      <c r="G597" s="13">
        <f t="shared" si="183"/>
        <v>0</v>
      </c>
      <c r="H597" s="14">
        <v>1652</v>
      </c>
      <c r="I597" s="15">
        <v>650.29999999999995</v>
      </c>
      <c r="J597" s="13">
        <v>650.29999999999995</v>
      </c>
      <c r="K597" s="13">
        <v>0</v>
      </c>
      <c r="L597" s="13">
        <v>1438</v>
      </c>
      <c r="M597" s="15">
        <v>14.95</v>
      </c>
      <c r="N597" s="13">
        <v>14.95</v>
      </c>
      <c r="O597" s="13">
        <v>0</v>
      </c>
      <c r="P597" s="13">
        <v>74</v>
      </c>
      <c r="Q597" s="5">
        <f>SUMIFS(Coin!E:E,Coin!C:C,B597,Coin!D:D,A597)</f>
        <v>0</v>
      </c>
    </row>
    <row r="598" spans="1:22" x14ac:dyDescent="0.25">
      <c r="A598" s="1">
        <f t="shared" si="184"/>
        <v>42912</v>
      </c>
      <c r="B598">
        <v>43</v>
      </c>
      <c r="C598">
        <v>924.05</v>
      </c>
      <c r="E598" s="13">
        <f t="shared" si="185"/>
        <v>924.05</v>
      </c>
      <c r="F598" s="13">
        <v>924.05</v>
      </c>
      <c r="G598" s="13">
        <f t="shared" si="183"/>
        <v>0</v>
      </c>
      <c r="H598" s="14">
        <v>1653</v>
      </c>
      <c r="I598" s="15">
        <v>262.7</v>
      </c>
      <c r="J598" s="13">
        <v>262.7</v>
      </c>
      <c r="K598" s="13">
        <v>0</v>
      </c>
      <c r="L598" s="13">
        <v>1442</v>
      </c>
      <c r="Q598" s="5">
        <f>SUMIFS(Coin!E:E,Coin!C:C,B598,Coin!D:D,A598)</f>
        <v>0</v>
      </c>
    </row>
    <row r="599" spans="1:22" x14ac:dyDescent="0.25">
      <c r="A599" s="1">
        <f t="shared" si="184"/>
        <v>42912</v>
      </c>
      <c r="B599">
        <v>44</v>
      </c>
      <c r="C599">
        <v>413.45</v>
      </c>
      <c r="E599" s="13">
        <f t="shared" si="185"/>
        <v>413.45</v>
      </c>
      <c r="F599" s="13">
        <v>413.4</v>
      </c>
      <c r="G599" s="13">
        <f t="shared" si="183"/>
        <v>5.0000000000011369E-2</v>
      </c>
      <c r="H599" s="14">
        <v>1654</v>
      </c>
      <c r="I599" s="15">
        <v>310.55</v>
      </c>
      <c r="J599" s="13">
        <v>310.55</v>
      </c>
      <c r="K599" s="13">
        <v>0</v>
      </c>
      <c r="L599" s="13">
        <v>1440</v>
      </c>
      <c r="Q599" s="5">
        <f>SUMIFS(Coin!E:E,Coin!C:C,B599,Coin!D:D,A599)</f>
        <v>0</v>
      </c>
    </row>
    <row r="600" spans="1:22" x14ac:dyDescent="0.25">
      <c r="A600" s="1">
        <f t="shared" si="184"/>
        <v>42912</v>
      </c>
      <c r="B600">
        <v>103</v>
      </c>
      <c r="C600">
        <v>765.6</v>
      </c>
      <c r="D600">
        <v>-9</v>
      </c>
      <c r="E600" s="13">
        <f t="shared" si="185"/>
        <v>791.65</v>
      </c>
      <c r="F600" s="13">
        <v>791.65</v>
      </c>
      <c r="G600" s="13">
        <f t="shared" si="183"/>
        <v>0</v>
      </c>
      <c r="H600" s="14">
        <v>1655</v>
      </c>
      <c r="I600" s="15">
        <f>372.75+V600</f>
        <v>387.75</v>
      </c>
      <c r="J600" s="13">
        <v>387.75</v>
      </c>
      <c r="K600" s="13">
        <v>0</v>
      </c>
      <c r="L600" s="13">
        <v>1439</v>
      </c>
      <c r="Q600" s="5">
        <f>SUMIFS(Coin!E:E,Coin!C:C,B600,Coin!D:D,A600)</f>
        <v>0</v>
      </c>
      <c r="U600" s="21">
        <v>35.049999999999997</v>
      </c>
      <c r="V600" s="21">
        <v>15</v>
      </c>
    </row>
    <row r="601" spans="1:22" x14ac:dyDescent="0.25">
      <c r="A601" s="1">
        <f t="shared" si="184"/>
        <v>42912</v>
      </c>
      <c r="B601">
        <v>201</v>
      </c>
      <c r="C601">
        <v>427.9</v>
      </c>
      <c r="E601" s="13">
        <f t="shared" si="185"/>
        <v>427.9</v>
      </c>
      <c r="F601" s="13">
        <v>427.9</v>
      </c>
      <c r="G601" s="13">
        <f t="shared" si="183"/>
        <v>0</v>
      </c>
      <c r="H601" s="14">
        <v>1656</v>
      </c>
      <c r="I601" s="15">
        <v>109.9</v>
      </c>
      <c r="J601" s="13">
        <v>109.9</v>
      </c>
      <c r="K601" s="13">
        <v>0</v>
      </c>
      <c r="L601" s="13">
        <v>1443</v>
      </c>
      <c r="Q601" s="5">
        <f>SUMIFS(Coin!E:E,Coin!C:C,B601,Coin!D:D,A601)</f>
        <v>0</v>
      </c>
    </row>
    <row r="602" spans="1:22" x14ac:dyDescent="0.25">
      <c r="A602" s="1">
        <f t="shared" ref="A602:A608" si="186">DATE(2017,6,27)</f>
        <v>42913</v>
      </c>
      <c r="B602">
        <v>35</v>
      </c>
      <c r="C602">
        <v>877.7</v>
      </c>
      <c r="E602" s="13">
        <f t="shared" ref="E602:E608" si="187">C602+D602-Q602+U602</f>
        <v>870</v>
      </c>
      <c r="F602" s="13">
        <v>870</v>
      </c>
      <c r="G602" s="13">
        <f t="shared" si="183"/>
        <v>0</v>
      </c>
      <c r="H602" s="14">
        <v>1649</v>
      </c>
      <c r="I602" s="15">
        <v>647.15</v>
      </c>
      <c r="J602" s="13">
        <v>647.15</v>
      </c>
      <c r="K602" s="13">
        <v>0</v>
      </c>
      <c r="L602" s="13">
        <v>1447</v>
      </c>
      <c r="Q602" s="15">
        <v>7.7</v>
      </c>
      <c r="R602" s="13">
        <v>7.7</v>
      </c>
      <c r="S602" s="13">
        <v>0</v>
      </c>
      <c r="T602" s="19">
        <v>1658</v>
      </c>
    </row>
    <row r="603" spans="1:22" x14ac:dyDescent="0.25">
      <c r="A603" s="1">
        <f t="shared" si="186"/>
        <v>42913</v>
      </c>
      <c r="B603">
        <v>37</v>
      </c>
      <c r="C603">
        <v>390.45</v>
      </c>
      <c r="E603" s="13">
        <f t="shared" si="187"/>
        <v>390.45</v>
      </c>
      <c r="F603" s="13">
        <v>390.45</v>
      </c>
      <c r="G603" s="13">
        <f t="shared" ref="G603:G609" si="188">E603-F603</f>
        <v>0</v>
      </c>
      <c r="H603" s="14">
        <v>1659</v>
      </c>
      <c r="I603" s="15">
        <v>354.55</v>
      </c>
      <c r="J603" s="13">
        <v>354.55</v>
      </c>
      <c r="K603" s="13">
        <v>0</v>
      </c>
      <c r="L603" s="13">
        <v>1450</v>
      </c>
      <c r="Q603" s="5">
        <f>SUMIFS(Coin!E:E,Coin!C:C,B603,Coin!D:D,A603)</f>
        <v>0</v>
      </c>
    </row>
    <row r="604" spans="1:22" x14ac:dyDescent="0.25">
      <c r="A604" s="1">
        <f t="shared" si="186"/>
        <v>42913</v>
      </c>
      <c r="B604">
        <v>41</v>
      </c>
      <c r="C604">
        <v>956.8</v>
      </c>
      <c r="E604" s="13">
        <f t="shared" si="187"/>
        <v>956.8</v>
      </c>
      <c r="F604" s="13">
        <v>956.8</v>
      </c>
      <c r="G604" s="13">
        <f t="shared" si="188"/>
        <v>0</v>
      </c>
      <c r="H604" s="14">
        <v>1660</v>
      </c>
      <c r="I604" s="15">
        <v>662</v>
      </c>
      <c r="J604" s="13">
        <v>662</v>
      </c>
      <c r="K604" s="13">
        <v>0</v>
      </c>
      <c r="L604" s="13">
        <v>1445</v>
      </c>
      <c r="Q604" s="5">
        <f>SUMIFS(Coin!E:E,Coin!C:C,B604,Coin!D:D,A604)</f>
        <v>0</v>
      </c>
    </row>
    <row r="605" spans="1:22" x14ac:dyDescent="0.25">
      <c r="A605" s="1">
        <f t="shared" si="186"/>
        <v>42913</v>
      </c>
      <c r="B605">
        <v>43</v>
      </c>
      <c r="C605">
        <v>999.65</v>
      </c>
      <c r="E605" s="13">
        <f t="shared" si="187"/>
        <v>999.65</v>
      </c>
      <c r="F605" s="13">
        <v>999.65</v>
      </c>
      <c r="G605" s="13">
        <f t="shared" si="188"/>
        <v>0</v>
      </c>
      <c r="H605" s="14">
        <v>1661</v>
      </c>
      <c r="I605" s="15">
        <v>289.45</v>
      </c>
      <c r="J605" s="13">
        <v>289.45</v>
      </c>
      <c r="K605" s="13">
        <v>0</v>
      </c>
      <c r="L605" s="13">
        <v>1448</v>
      </c>
      <c r="Q605" s="5">
        <f>SUMIFS(Coin!E:E,Coin!C:C,B605,Coin!D:D,A605)</f>
        <v>0</v>
      </c>
    </row>
    <row r="606" spans="1:22" x14ac:dyDescent="0.25">
      <c r="A606" s="1">
        <f t="shared" si="186"/>
        <v>42913</v>
      </c>
      <c r="B606">
        <v>44</v>
      </c>
      <c r="C606">
        <v>285.45</v>
      </c>
      <c r="E606" s="13">
        <f t="shared" si="187"/>
        <v>285.45</v>
      </c>
      <c r="F606" s="13">
        <v>285.45</v>
      </c>
      <c r="G606" s="13">
        <f t="shared" si="188"/>
        <v>0</v>
      </c>
      <c r="H606" s="14">
        <v>1662</v>
      </c>
      <c r="I606" s="15">
        <v>781.3</v>
      </c>
      <c r="J606" s="13">
        <v>781.3</v>
      </c>
      <c r="K606" s="13">
        <v>0</v>
      </c>
      <c r="L606" s="13">
        <v>1453</v>
      </c>
      <c r="M606" s="15">
        <v>34.950000000000003</v>
      </c>
      <c r="N606" s="13">
        <v>34.950000000000003</v>
      </c>
      <c r="O606" s="13">
        <v>0</v>
      </c>
      <c r="P606" s="13">
        <v>75</v>
      </c>
      <c r="Q606" s="5">
        <f>SUMIFS(Coin!E:E,Coin!C:C,B606,Coin!D:D,A606)</f>
        <v>0</v>
      </c>
    </row>
    <row r="607" spans="1:22" x14ac:dyDescent="0.25">
      <c r="A607" s="1">
        <f t="shared" si="186"/>
        <v>42913</v>
      </c>
      <c r="B607">
        <v>103</v>
      </c>
      <c r="C607">
        <v>862.75</v>
      </c>
      <c r="E607" s="13">
        <f t="shared" si="187"/>
        <v>860.75</v>
      </c>
      <c r="F607" s="13">
        <v>860.75</v>
      </c>
      <c r="G607" s="13">
        <f t="shared" si="188"/>
        <v>0</v>
      </c>
      <c r="H607" s="14">
        <v>1663</v>
      </c>
      <c r="I607" s="15">
        <v>488.4</v>
      </c>
      <c r="J607" s="13">
        <v>488.4</v>
      </c>
      <c r="K607" s="13">
        <v>0</v>
      </c>
      <c r="L607" s="13">
        <v>1446</v>
      </c>
      <c r="Q607" s="5">
        <v>2</v>
      </c>
    </row>
    <row r="608" spans="1:22" x14ac:dyDescent="0.25">
      <c r="A608" s="1">
        <f t="shared" si="186"/>
        <v>42913</v>
      </c>
      <c r="B608">
        <v>201</v>
      </c>
      <c r="C608">
        <v>517.6</v>
      </c>
      <c r="E608" s="13">
        <f t="shared" si="187"/>
        <v>517.6</v>
      </c>
      <c r="F608" s="13">
        <v>517.6</v>
      </c>
      <c r="G608" s="13">
        <f t="shared" si="188"/>
        <v>0</v>
      </c>
      <c r="H608" s="14">
        <v>1664</v>
      </c>
      <c r="I608" s="15">
        <v>184.8</v>
      </c>
      <c r="J608" s="13">
        <v>184.8</v>
      </c>
      <c r="K608" s="13">
        <v>0</v>
      </c>
      <c r="L608" s="13">
        <v>1449</v>
      </c>
      <c r="Q608" s="5">
        <f>SUMIFS(Coin!E:E,Coin!C:C,B608,Coin!D:D,A608)</f>
        <v>0</v>
      </c>
    </row>
    <row r="609" spans="1:22" x14ac:dyDescent="0.25">
      <c r="A609" s="1">
        <f t="shared" ref="A609:A615" si="189">DATE(2017,6,28)</f>
        <v>42914</v>
      </c>
      <c r="B609">
        <v>35</v>
      </c>
      <c r="C609">
        <v>540.1</v>
      </c>
      <c r="E609" s="13">
        <f t="shared" ref="E609:E615" si="190">C609+D609-Q609+U609</f>
        <v>540</v>
      </c>
      <c r="F609" s="13">
        <v>540</v>
      </c>
      <c r="G609" s="13">
        <f t="shared" si="188"/>
        <v>0</v>
      </c>
      <c r="H609" s="14">
        <v>1657</v>
      </c>
      <c r="I609" s="15">
        <v>761.75</v>
      </c>
      <c r="J609" s="13">
        <v>761.75</v>
      </c>
      <c r="K609" s="13">
        <v>0</v>
      </c>
      <c r="L609" s="13">
        <v>1455</v>
      </c>
      <c r="Q609" s="15">
        <v>0.1</v>
      </c>
      <c r="R609" s="13">
        <v>0.1</v>
      </c>
      <c r="S609" s="13">
        <v>0</v>
      </c>
      <c r="T609" s="19">
        <v>1666</v>
      </c>
    </row>
    <row r="610" spans="1:22" x14ac:dyDescent="0.25">
      <c r="A610" s="1">
        <f t="shared" si="189"/>
        <v>42914</v>
      </c>
      <c r="B610">
        <v>37</v>
      </c>
      <c r="C610">
        <v>406.8</v>
      </c>
      <c r="E610" s="13">
        <f t="shared" si="190"/>
        <v>396.8</v>
      </c>
      <c r="F610" s="13">
        <v>396.8</v>
      </c>
      <c r="G610" s="13">
        <f t="shared" ref="G610:G615" si="191">E610-F610</f>
        <v>0</v>
      </c>
      <c r="H610" s="14">
        <v>1667</v>
      </c>
      <c r="I610" s="15">
        <v>587.04</v>
      </c>
      <c r="J610" s="13">
        <v>587.04</v>
      </c>
      <c r="K610" s="13">
        <v>0</v>
      </c>
      <c r="L610" s="13">
        <v>1456</v>
      </c>
      <c r="Q610" s="15">
        <v>10</v>
      </c>
      <c r="R610" s="13">
        <v>10</v>
      </c>
      <c r="S610" s="13">
        <v>0</v>
      </c>
      <c r="T610" s="19">
        <v>1668</v>
      </c>
    </row>
    <row r="611" spans="1:22" x14ac:dyDescent="0.25">
      <c r="A611" s="1">
        <f t="shared" si="189"/>
        <v>42914</v>
      </c>
      <c r="B611">
        <v>41</v>
      </c>
      <c r="C611">
        <v>772.75</v>
      </c>
      <c r="E611" s="13">
        <f t="shared" si="190"/>
        <v>722.75</v>
      </c>
      <c r="F611" s="13">
        <v>722.75</v>
      </c>
      <c r="G611" s="13">
        <f t="shared" si="191"/>
        <v>0</v>
      </c>
      <c r="H611" s="14">
        <v>1669</v>
      </c>
      <c r="I611" s="15">
        <v>646.95000000000005</v>
      </c>
      <c r="J611" s="13">
        <v>646.95000000000005</v>
      </c>
      <c r="K611" s="13">
        <v>0</v>
      </c>
      <c r="L611" s="13">
        <v>1451</v>
      </c>
      <c r="Q611" s="5">
        <f>SUMIFS(Coin!E:E,Coin!C:C,B611,Coin!D:D,A611)</f>
        <v>0</v>
      </c>
      <c r="U611" s="21">
        <v>-50</v>
      </c>
    </row>
    <row r="612" spans="1:22" x14ac:dyDescent="0.25">
      <c r="A612" s="1">
        <f t="shared" si="189"/>
        <v>42914</v>
      </c>
      <c r="B612">
        <v>43</v>
      </c>
      <c r="C612">
        <v>793.85</v>
      </c>
      <c r="E612" s="13">
        <f t="shared" si="190"/>
        <v>793.85</v>
      </c>
      <c r="F612" s="13">
        <v>793.85</v>
      </c>
      <c r="G612" s="13">
        <f t="shared" si="191"/>
        <v>0</v>
      </c>
      <c r="H612" s="14">
        <v>1670</v>
      </c>
      <c r="I612" s="15">
        <v>317.45</v>
      </c>
      <c r="J612" s="13">
        <v>317.45</v>
      </c>
      <c r="K612" s="13">
        <v>0</v>
      </c>
      <c r="L612" s="13">
        <v>1452</v>
      </c>
      <c r="Q612" s="5">
        <f>SUMIFS(Coin!E:E,Coin!C:C,B612,Coin!D:D,A612)</f>
        <v>0</v>
      </c>
    </row>
    <row r="613" spans="1:22" x14ac:dyDescent="0.25">
      <c r="A613" s="1">
        <f t="shared" si="189"/>
        <v>42914</v>
      </c>
      <c r="B613">
        <v>44</v>
      </c>
      <c r="C613">
        <v>524</v>
      </c>
      <c r="E613" s="13">
        <f t="shared" si="190"/>
        <v>524</v>
      </c>
      <c r="F613" s="13">
        <v>524</v>
      </c>
      <c r="G613" s="13">
        <f t="shared" si="191"/>
        <v>0</v>
      </c>
      <c r="H613" s="14">
        <v>1671</v>
      </c>
      <c r="I613" s="15">
        <v>345.1</v>
      </c>
      <c r="J613" s="13">
        <v>345.1</v>
      </c>
      <c r="K613" s="13">
        <v>0</v>
      </c>
      <c r="L613" s="13">
        <v>1462</v>
      </c>
      <c r="Q613" s="5">
        <f>SUMIFS(Coin!E:E,Coin!C:C,B613,Coin!D:D,A613)</f>
        <v>0</v>
      </c>
    </row>
    <row r="614" spans="1:22" x14ac:dyDescent="0.25">
      <c r="A614" s="1">
        <f t="shared" si="189"/>
        <v>42914</v>
      </c>
      <c r="B614">
        <v>103</v>
      </c>
      <c r="C614">
        <v>1227.6500000000001</v>
      </c>
      <c r="E614" s="13">
        <f t="shared" si="190"/>
        <v>1207.6500000000001</v>
      </c>
      <c r="F614" s="13">
        <v>1207.6500000000001</v>
      </c>
      <c r="G614" s="13">
        <f t="shared" si="191"/>
        <v>0</v>
      </c>
      <c r="H614" s="14">
        <v>1665</v>
      </c>
      <c r="I614" s="15">
        <v>819.7</v>
      </c>
      <c r="J614" s="13">
        <v>819.7</v>
      </c>
      <c r="K614" s="13">
        <v>0</v>
      </c>
      <c r="L614" s="13">
        <v>1454</v>
      </c>
      <c r="Q614" s="5">
        <v>20</v>
      </c>
    </row>
    <row r="615" spans="1:22" x14ac:dyDescent="0.25">
      <c r="A615" s="1">
        <f t="shared" si="189"/>
        <v>42914</v>
      </c>
      <c r="B615">
        <v>201</v>
      </c>
      <c r="C615">
        <v>783.6</v>
      </c>
      <c r="E615" s="13">
        <f t="shared" si="190"/>
        <v>783.6</v>
      </c>
      <c r="F615" s="13">
        <v>783.6</v>
      </c>
      <c r="G615" s="13">
        <f t="shared" si="191"/>
        <v>0</v>
      </c>
      <c r="H615" s="14">
        <v>1672</v>
      </c>
      <c r="I615" s="15">
        <v>488.85</v>
      </c>
      <c r="J615" s="13">
        <v>488.85</v>
      </c>
      <c r="K615" s="13">
        <v>0</v>
      </c>
      <c r="L615" s="13">
        <v>1457</v>
      </c>
      <c r="Q615" s="5">
        <f>SUMIFS(Coin!E:E,Coin!C:C,B615,Coin!D:D,A615)</f>
        <v>0</v>
      </c>
    </row>
    <row r="616" spans="1:22" x14ac:dyDescent="0.25">
      <c r="A616" s="1">
        <f t="shared" ref="A616:A622" si="192">DATE(2017,6,29)</f>
        <v>42915</v>
      </c>
      <c r="B616">
        <v>35</v>
      </c>
      <c r="C616">
        <v>1478.65</v>
      </c>
      <c r="E616" s="13">
        <f t="shared" ref="E616:E622" si="193">C616+D616-Q616+U616</f>
        <v>1478.65</v>
      </c>
      <c r="F616" s="13">
        <v>1478.65</v>
      </c>
      <c r="G616" s="13">
        <f t="shared" ref="G616:G623" si="194">E616-F616</f>
        <v>0</v>
      </c>
      <c r="H616" s="14">
        <v>1675</v>
      </c>
      <c r="I616" s="15">
        <v>1148.8</v>
      </c>
      <c r="J616" s="13">
        <v>1148.8</v>
      </c>
      <c r="K616" s="13">
        <v>0</v>
      </c>
      <c r="L616" s="13">
        <v>1461</v>
      </c>
      <c r="Q616" s="5">
        <f>SUMIFS(Coin!E:E,Coin!C:C,B616,Coin!D:D,A616)</f>
        <v>0</v>
      </c>
    </row>
    <row r="617" spans="1:22" x14ac:dyDescent="0.25">
      <c r="A617" s="1">
        <f t="shared" si="192"/>
        <v>42915</v>
      </c>
      <c r="B617">
        <v>37</v>
      </c>
      <c r="C617">
        <v>929.15</v>
      </c>
      <c r="E617" s="13">
        <f t="shared" si="193"/>
        <v>929.15</v>
      </c>
      <c r="F617" s="13">
        <v>929.15</v>
      </c>
      <c r="G617" s="13">
        <f t="shared" si="194"/>
        <v>0</v>
      </c>
      <c r="H617" s="14">
        <v>1676</v>
      </c>
      <c r="I617" s="15">
        <v>1094.8</v>
      </c>
      <c r="J617" s="13">
        <v>1094.8</v>
      </c>
      <c r="K617" s="13">
        <v>0</v>
      </c>
      <c r="L617" s="13">
        <v>1463</v>
      </c>
      <c r="Q617" s="5">
        <f>SUMIFS(Coin!E:E,Coin!C:C,B617,Coin!D:D,A617)</f>
        <v>0</v>
      </c>
    </row>
    <row r="618" spans="1:22" x14ac:dyDescent="0.25">
      <c r="A618" s="1">
        <f t="shared" si="192"/>
        <v>42915</v>
      </c>
      <c r="B618">
        <v>41</v>
      </c>
      <c r="C618">
        <v>1247.3</v>
      </c>
      <c r="E618" s="13">
        <f t="shared" si="193"/>
        <v>1247.3</v>
      </c>
      <c r="F618" s="13">
        <v>1247.3</v>
      </c>
      <c r="G618" s="13">
        <f t="shared" si="194"/>
        <v>0</v>
      </c>
      <c r="H618" s="14">
        <v>1677</v>
      </c>
      <c r="I618" s="15">
        <v>871.65</v>
      </c>
      <c r="J618" s="13">
        <v>871.65</v>
      </c>
      <c r="K618" s="13">
        <v>0</v>
      </c>
      <c r="L618" s="13">
        <v>1458</v>
      </c>
      <c r="Q618" s="5">
        <f>SUMIFS(Coin!E:E,Coin!C:C,B618,Coin!D:D,A618)</f>
        <v>0</v>
      </c>
    </row>
    <row r="619" spans="1:22" x14ac:dyDescent="0.25">
      <c r="A619" s="1">
        <f t="shared" si="192"/>
        <v>42915</v>
      </c>
      <c r="B619">
        <v>43</v>
      </c>
      <c r="C619">
        <v>1476.45</v>
      </c>
      <c r="E619" s="13">
        <f t="shared" si="193"/>
        <v>1476.45</v>
      </c>
      <c r="F619" s="13">
        <v>1476.45</v>
      </c>
      <c r="G619" s="13">
        <f t="shared" si="194"/>
        <v>0</v>
      </c>
      <c r="H619" s="14">
        <v>1678</v>
      </c>
      <c r="I619" s="15">
        <v>693</v>
      </c>
      <c r="J619" s="13">
        <v>693</v>
      </c>
      <c r="K619" s="13">
        <v>0</v>
      </c>
      <c r="L619" s="13">
        <v>1459</v>
      </c>
      <c r="Q619" s="5">
        <f>SUMIFS(Coin!E:E,Coin!C:C,B619,Coin!D:D,A619)</f>
        <v>0</v>
      </c>
    </row>
    <row r="620" spans="1:22" x14ac:dyDescent="0.25">
      <c r="A620" s="1">
        <f t="shared" si="192"/>
        <v>42915</v>
      </c>
      <c r="B620">
        <v>44</v>
      </c>
      <c r="C620">
        <v>380.25</v>
      </c>
      <c r="E620" s="13">
        <f t="shared" si="193"/>
        <v>380.25</v>
      </c>
      <c r="F620" s="13">
        <v>380.25</v>
      </c>
      <c r="G620" s="13">
        <f t="shared" si="194"/>
        <v>0</v>
      </c>
      <c r="H620" s="14">
        <v>1679</v>
      </c>
      <c r="I620" s="15">
        <v>337.35</v>
      </c>
      <c r="J620" s="13">
        <v>337.35</v>
      </c>
      <c r="K620" s="13">
        <v>0</v>
      </c>
      <c r="L620" s="13">
        <v>1477</v>
      </c>
      <c r="M620" s="15">
        <v>29.9</v>
      </c>
      <c r="N620" s="13">
        <v>29.9</v>
      </c>
      <c r="O620" s="13">
        <v>0</v>
      </c>
      <c r="P620" s="13">
        <v>77</v>
      </c>
      <c r="Q620" s="5">
        <f>SUMIFS(Coin!E:E,Coin!C:C,B620,Coin!D:D,A620)</f>
        <v>0</v>
      </c>
    </row>
    <row r="621" spans="1:22" x14ac:dyDescent="0.25">
      <c r="A621" s="1">
        <f t="shared" si="192"/>
        <v>42915</v>
      </c>
      <c r="B621">
        <v>103</v>
      </c>
      <c r="C621">
        <v>1445.85</v>
      </c>
      <c r="E621" s="13">
        <f t="shared" si="193"/>
        <v>1465.85</v>
      </c>
      <c r="F621" s="13">
        <v>1465.85</v>
      </c>
      <c r="G621" s="13">
        <f t="shared" si="194"/>
        <v>0</v>
      </c>
      <c r="H621" s="14">
        <v>1680</v>
      </c>
      <c r="I621" s="15">
        <f>1074+V621</f>
        <v>1059.05</v>
      </c>
      <c r="J621" s="13">
        <v>1059.05</v>
      </c>
      <c r="K621" s="13">
        <v>0</v>
      </c>
      <c r="L621" s="13">
        <v>1460</v>
      </c>
      <c r="Q621" s="5">
        <f>SUMIFS(Coin!E:E,Coin!C:C,B621,Coin!D:D,A621)</f>
        <v>0</v>
      </c>
      <c r="U621" s="21">
        <v>20</v>
      </c>
      <c r="V621" s="21">
        <v>-14.95</v>
      </c>
    </row>
    <row r="622" spans="1:22" x14ac:dyDescent="0.25">
      <c r="A622" s="1">
        <f t="shared" si="192"/>
        <v>42915</v>
      </c>
      <c r="B622">
        <v>201</v>
      </c>
      <c r="C622">
        <v>678.8</v>
      </c>
      <c r="E622" s="13">
        <f t="shared" si="193"/>
        <v>678.8</v>
      </c>
      <c r="F622" s="13">
        <v>678.8</v>
      </c>
      <c r="G622" s="13">
        <f t="shared" si="194"/>
        <v>0</v>
      </c>
      <c r="H622" s="14">
        <v>1681</v>
      </c>
      <c r="I622" s="15">
        <f>813.45+V622</f>
        <v>803.45</v>
      </c>
      <c r="J622" s="13">
        <v>803.45</v>
      </c>
      <c r="K622" s="13">
        <v>0</v>
      </c>
      <c r="L622" s="13">
        <v>1464</v>
      </c>
      <c r="Q622" s="5">
        <f>SUMIFS(Coin!E:E,Coin!C:C,B622,Coin!D:D,A622)</f>
        <v>0</v>
      </c>
      <c r="V622" s="21">
        <v>-10</v>
      </c>
    </row>
    <row r="623" spans="1:22" x14ac:dyDescent="0.25">
      <c r="A623" s="1">
        <f t="shared" ref="A623:A629" si="195">DATE(2017,6,30)</f>
        <v>42916</v>
      </c>
      <c r="B623">
        <v>35</v>
      </c>
      <c r="C623">
        <v>1447.6</v>
      </c>
      <c r="E623" s="13">
        <f t="shared" ref="E623:E643" si="196">C623+D623-Q623+U623</f>
        <v>1445</v>
      </c>
      <c r="F623" s="13">
        <v>1445</v>
      </c>
      <c r="G623" s="13">
        <f t="shared" si="194"/>
        <v>0</v>
      </c>
      <c r="H623" s="14">
        <v>1674</v>
      </c>
      <c r="I623" s="15">
        <v>1182.08</v>
      </c>
      <c r="J623" s="13">
        <v>1182.08</v>
      </c>
      <c r="K623" s="13">
        <v>0</v>
      </c>
      <c r="L623" s="13">
        <v>1479</v>
      </c>
      <c r="Q623" s="15">
        <v>2.6</v>
      </c>
      <c r="R623" s="13">
        <v>2.6</v>
      </c>
      <c r="S623" s="13">
        <v>0</v>
      </c>
      <c r="T623" s="19">
        <v>1685</v>
      </c>
    </row>
    <row r="624" spans="1:22" x14ac:dyDescent="0.25">
      <c r="A624" s="1">
        <f t="shared" si="195"/>
        <v>42916</v>
      </c>
      <c r="B624">
        <v>37</v>
      </c>
      <c r="C624">
        <v>944.5</v>
      </c>
      <c r="E624" s="13">
        <f t="shared" si="196"/>
        <v>940</v>
      </c>
      <c r="F624" s="13">
        <v>940</v>
      </c>
      <c r="G624" s="13">
        <f>E624-F624</f>
        <v>0</v>
      </c>
      <c r="H624" s="14">
        <v>1706</v>
      </c>
      <c r="I624" s="15">
        <v>904.45</v>
      </c>
      <c r="J624" s="13">
        <v>904.45</v>
      </c>
      <c r="K624" s="13">
        <v>0</v>
      </c>
      <c r="L624" s="13">
        <v>1485</v>
      </c>
      <c r="Q624" s="5">
        <v>4.5</v>
      </c>
    </row>
    <row r="625" spans="1:22" x14ac:dyDescent="0.25">
      <c r="A625" s="1">
        <f t="shared" si="195"/>
        <v>42916</v>
      </c>
      <c r="B625">
        <v>41</v>
      </c>
      <c r="C625">
        <v>527.15</v>
      </c>
      <c r="E625" s="13">
        <f t="shared" si="196"/>
        <v>527.15</v>
      </c>
      <c r="F625" s="13">
        <v>527.15</v>
      </c>
      <c r="G625" s="13">
        <f>E625-F625</f>
        <v>0</v>
      </c>
      <c r="H625" s="14">
        <v>1689</v>
      </c>
      <c r="I625" s="15">
        <v>373.25</v>
      </c>
      <c r="J625" s="13">
        <v>373.25</v>
      </c>
      <c r="K625" s="13">
        <v>0</v>
      </c>
      <c r="L625" s="13">
        <v>1476</v>
      </c>
      <c r="Q625" s="5">
        <f>SUMIFS(Coin!E:E,Coin!C:C,B625,Coin!D:D,A625)</f>
        <v>0</v>
      </c>
    </row>
    <row r="626" spans="1:22" x14ac:dyDescent="0.25">
      <c r="A626" s="1">
        <f t="shared" si="195"/>
        <v>42916</v>
      </c>
      <c r="B626">
        <v>43</v>
      </c>
      <c r="C626">
        <v>1079.4000000000001</v>
      </c>
      <c r="E626" s="13">
        <f t="shared" si="196"/>
        <v>1079.4000000000001</v>
      </c>
      <c r="F626" s="13">
        <v>1079.4000000000001</v>
      </c>
      <c r="G626" s="13">
        <f>E626-F626</f>
        <v>0</v>
      </c>
      <c r="H626" s="14">
        <v>1694</v>
      </c>
      <c r="I626" s="15">
        <v>599.28</v>
      </c>
      <c r="J626" s="13">
        <v>599.28</v>
      </c>
      <c r="K626" s="13">
        <v>0</v>
      </c>
      <c r="L626" s="13">
        <v>1475</v>
      </c>
      <c r="Q626" s="5">
        <f>SUMIFS(Coin!E:E,Coin!C:C,B626,Coin!D:D,A626)</f>
        <v>0</v>
      </c>
    </row>
    <row r="627" spans="1:22" x14ac:dyDescent="0.25">
      <c r="A627" s="1">
        <f t="shared" si="195"/>
        <v>42916</v>
      </c>
      <c r="B627">
        <v>44</v>
      </c>
      <c r="C627">
        <v>531.04999999999995</v>
      </c>
      <c r="E627" s="13">
        <f t="shared" si="196"/>
        <v>531.04999999999995</v>
      </c>
      <c r="F627" s="13">
        <v>531.04999999999995</v>
      </c>
      <c r="G627" s="13">
        <f>E627-F627</f>
        <v>0</v>
      </c>
      <c r="H627" s="14"/>
      <c r="I627" s="15">
        <v>431.43</v>
      </c>
      <c r="J627" s="13">
        <v>431.43</v>
      </c>
      <c r="K627" s="13">
        <v>0</v>
      </c>
      <c r="L627" s="13">
        <v>1486</v>
      </c>
      <c r="Q627" s="5">
        <f>SUMIFS(Coin!E:E,Coin!C:C,B627,Coin!D:D,A627)</f>
        <v>0</v>
      </c>
    </row>
    <row r="628" spans="1:22" x14ac:dyDescent="0.25">
      <c r="A628" s="1">
        <f t="shared" si="195"/>
        <v>42916</v>
      </c>
      <c r="B628">
        <v>103</v>
      </c>
      <c r="C628">
        <v>1626.2</v>
      </c>
      <c r="E628" s="13">
        <f t="shared" si="196"/>
        <v>1626.2</v>
      </c>
      <c r="F628" s="13">
        <v>1626.2</v>
      </c>
      <c r="G628" s="13">
        <f t="shared" ref="G628:G634" si="197">E628-F628</f>
        <v>0</v>
      </c>
      <c r="H628" s="14">
        <v>1683</v>
      </c>
      <c r="I628" s="15">
        <v>819.1</v>
      </c>
      <c r="J628" s="13">
        <v>819.1</v>
      </c>
      <c r="K628" s="13">
        <v>0</v>
      </c>
      <c r="L628" s="13">
        <v>1478</v>
      </c>
      <c r="Q628" s="5">
        <f>SUMIFS(Coin!E:E,Coin!C:C,B628,Coin!D:D,A628)</f>
        <v>0</v>
      </c>
    </row>
    <row r="629" spans="1:22" x14ac:dyDescent="0.25">
      <c r="A629" s="1">
        <f t="shared" si="195"/>
        <v>42916</v>
      </c>
      <c r="B629">
        <v>201</v>
      </c>
      <c r="C629">
        <v>604</v>
      </c>
      <c r="E629" s="13">
        <f t="shared" si="196"/>
        <v>604</v>
      </c>
      <c r="F629" s="13">
        <v>604</v>
      </c>
      <c r="G629" s="13">
        <f t="shared" si="197"/>
        <v>0</v>
      </c>
      <c r="H629" s="14">
        <v>1697</v>
      </c>
      <c r="I629" s="15">
        <v>709.09</v>
      </c>
      <c r="J629" s="13">
        <v>709.09</v>
      </c>
      <c r="K629" s="13">
        <v>0</v>
      </c>
      <c r="L629" s="13">
        <v>1484</v>
      </c>
      <c r="Q629" s="5">
        <f>SUMIFS(Coin!E:E,Coin!C:C,B629,Coin!D:D,A629)</f>
        <v>0</v>
      </c>
    </row>
    <row r="630" spans="1:22" x14ac:dyDescent="0.25">
      <c r="A630" s="1">
        <f t="shared" ref="A630:A636" si="198">DATE(2017,7,1)</f>
        <v>42917</v>
      </c>
      <c r="B630">
        <v>35</v>
      </c>
      <c r="C630">
        <v>1025.05</v>
      </c>
      <c r="E630" s="13">
        <f t="shared" si="196"/>
        <v>999.99999999999989</v>
      </c>
      <c r="F630" s="13">
        <v>1000</v>
      </c>
      <c r="G630" s="13">
        <f t="shared" si="197"/>
        <v>0</v>
      </c>
      <c r="H630" s="14">
        <v>1682</v>
      </c>
      <c r="I630" s="15">
        <v>1190.68</v>
      </c>
      <c r="J630" s="13">
        <v>1190.68</v>
      </c>
      <c r="K630" s="13">
        <v>0</v>
      </c>
      <c r="L630" s="13">
        <v>1472</v>
      </c>
      <c r="Q630" s="15">
        <v>25.1</v>
      </c>
      <c r="R630" s="13">
        <v>25.1</v>
      </c>
      <c r="S630" s="13">
        <v>0</v>
      </c>
      <c r="T630" s="19">
        <v>1686</v>
      </c>
      <c r="U630" s="21">
        <v>0.05</v>
      </c>
    </row>
    <row r="631" spans="1:22" x14ac:dyDescent="0.25">
      <c r="A631" s="1">
        <f t="shared" si="198"/>
        <v>42917</v>
      </c>
      <c r="B631">
        <v>37</v>
      </c>
      <c r="C631">
        <v>682.55</v>
      </c>
      <c r="E631" s="13">
        <f t="shared" si="196"/>
        <v>672.55</v>
      </c>
      <c r="F631" s="13">
        <v>672.55</v>
      </c>
      <c r="G631" s="13">
        <f t="shared" si="197"/>
        <v>0</v>
      </c>
      <c r="H631" s="14">
        <v>1704</v>
      </c>
      <c r="I631" s="15">
        <v>858.11</v>
      </c>
      <c r="J631" s="13">
        <v>858.11</v>
      </c>
      <c r="K631" s="13">
        <v>0</v>
      </c>
      <c r="L631" s="13">
        <v>1483</v>
      </c>
      <c r="Q631" s="5">
        <v>10</v>
      </c>
    </row>
    <row r="632" spans="1:22" x14ac:dyDescent="0.25">
      <c r="A632" s="1">
        <f t="shared" si="198"/>
        <v>42917</v>
      </c>
      <c r="B632">
        <v>41</v>
      </c>
      <c r="C632">
        <v>629.70000000000005</v>
      </c>
      <c r="E632" s="13">
        <f t="shared" si="196"/>
        <v>629.70000000000005</v>
      </c>
      <c r="F632" s="13">
        <v>629.70000000000005</v>
      </c>
      <c r="G632" s="13">
        <f t="shared" si="197"/>
        <v>0</v>
      </c>
      <c r="H632" s="14">
        <v>1691</v>
      </c>
      <c r="I632" s="15">
        <v>509.1</v>
      </c>
      <c r="J632" s="13">
        <v>509.1</v>
      </c>
      <c r="K632" s="13">
        <v>0</v>
      </c>
      <c r="L632" s="13">
        <v>1470</v>
      </c>
      <c r="Q632" s="5">
        <f>SUMIFS(Coin!E:E,Coin!C:C,B632,Coin!D:D,A632)</f>
        <v>0</v>
      </c>
    </row>
    <row r="633" spans="1:22" x14ac:dyDescent="0.25">
      <c r="A633" s="1">
        <f t="shared" si="198"/>
        <v>42917</v>
      </c>
      <c r="B633">
        <v>43</v>
      </c>
      <c r="C633">
        <v>960.45</v>
      </c>
      <c r="E633" s="13">
        <f t="shared" si="196"/>
        <v>960.45</v>
      </c>
      <c r="F633" s="13">
        <v>960.45</v>
      </c>
      <c r="G633" s="13">
        <f t="shared" si="197"/>
        <v>0</v>
      </c>
      <c r="H633" s="14">
        <v>1693</v>
      </c>
      <c r="I633" s="15">
        <v>516.38</v>
      </c>
      <c r="J633" s="13">
        <v>516.38</v>
      </c>
      <c r="K633" s="13">
        <v>0</v>
      </c>
      <c r="L633" s="13">
        <v>1474</v>
      </c>
      <c r="Q633" s="5">
        <f>SUMIFS(Coin!E:E,Coin!C:C,B633,Coin!D:D,A633)</f>
        <v>0</v>
      </c>
    </row>
    <row r="634" spans="1:22" x14ac:dyDescent="0.25">
      <c r="A634" s="1">
        <f t="shared" si="198"/>
        <v>42917</v>
      </c>
      <c r="B634">
        <v>44</v>
      </c>
      <c r="C634">
        <v>554.79999999999995</v>
      </c>
      <c r="E634" s="13">
        <f t="shared" si="196"/>
        <v>554.79999999999995</v>
      </c>
      <c r="F634" s="13">
        <v>554.79999999999995</v>
      </c>
      <c r="G634" s="13">
        <f t="shared" si="197"/>
        <v>0</v>
      </c>
      <c r="H634" s="14"/>
      <c r="I634" s="15">
        <v>617.04999999999995</v>
      </c>
      <c r="J634" s="13">
        <v>617.04999999999995</v>
      </c>
      <c r="K634" s="13">
        <v>0</v>
      </c>
      <c r="L634" s="13">
        <v>1487</v>
      </c>
      <c r="M634" s="15">
        <v>209.55</v>
      </c>
      <c r="N634" s="13">
        <v>209.55</v>
      </c>
      <c r="O634" s="13">
        <v>0</v>
      </c>
      <c r="P634" s="13">
        <v>76</v>
      </c>
      <c r="Q634" s="5">
        <f>SUMIFS(Coin!E:E,Coin!C:C,B634,Coin!D:D,A634)</f>
        <v>0</v>
      </c>
    </row>
    <row r="635" spans="1:22" x14ac:dyDescent="0.25">
      <c r="A635" s="1">
        <f t="shared" si="198"/>
        <v>42917</v>
      </c>
      <c r="B635">
        <v>103</v>
      </c>
      <c r="C635">
        <v>1261.7</v>
      </c>
      <c r="E635" s="13">
        <f t="shared" si="196"/>
        <v>1333.7</v>
      </c>
      <c r="F635" s="13">
        <v>1333.7</v>
      </c>
      <c r="G635" s="13">
        <f t="shared" ref="G635:G656" si="199">E635-F635</f>
        <v>0</v>
      </c>
      <c r="H635" s="14">
        <v>1673</v>
      </c>
      <c r="I635" s="15">
        <f>744.83+V635</f>
        <v>964.51</v>
      </c>
      <c r="J635" s="13">
        <v>964.51</v>
      </c>
      <c r="K635" s="13">
        <v>0</v>
      </c>
      <c r="L635" s="13">
        <v>1471</v>
      </c>
      <c r="Q635" s="5">
        <f>SUMIFS(Coin!E:E,Coin!C:C,B635,Coin!D:D,A635)</f>
        <v>0</v>
      </c>
      <c r="U635" s="21">
        <v>72</v>
      </c>
      <c r="V635" s="21">
        <v>219.68</v>
      </c>
    </row>
    <row r="636" spans="1:22" x14ac:dyDescent="0.25">
      <c r="A636" s="1">
        <f t="shared" si="198"/>
        <v>42917</v>
      </c>
      <c r="B636">
        <v>201</v>
      </c>
      <c r="C636">
        <v>614.04999999999995</v>
      </c>
      <c r="E636" s="13">
        <f t="shared" si="196"/>
        <v>614.04999999999995</v>
      </c>
      <c r="F636" s="13">
        <v>614.04999999999995</v>
      </c>
      <c r="G636" s="13">
        <f t="shared" si="199"/>
        <v>0</v>
      </c>
      <c r="H636" s="14">
        <v>1696</v>
      </c>
      <c r="I636" s="15">
        <v>644.4</v>
      </c>
      <c r="J636" s="13">
        <v>644.4</v>
      </c>
      <c r="K636" s="13">
        <v>0</v>
      </c>
      <c r="L636" s="13">
        <v>1482</v>
      </c>
      <c r="Q636" s="5">
        <f>SUMIFS(Coin!E:E,Coin!C:C,B636,Coin!D:D,A636)</f>
        <v>0</v>
      </c>
    </row>
    <row r="637" spans="1:22" x14ac:dyDescent="0.25">
      <c r="A637" s="1">
        <f t="shared" ref="A637:A643" si="200">DATE(2017,7,2)</f>
        <v>42918</v>
      </c>
      <c r="B637">
        <v>35</v>
      </c>
      <c r="C637">
        <v>633.95000000000005</v>
      </c>
      <c r="E637" s="13">
        <f t="shared" si="196"/>
        <v>630</v>
      </c>
      <c r="F637" s="13">
        <v>630</v>
      </c>
      <c r="G637" s="13">
        <f t="shared" si="199"/>
        <v>0</v>
      </c>
      <c r="H637" s="14">
        <v>1688</v>
      </c>
      <c r="I637" s="15">
        <v>679.93</v>
      </c>
      <c r="J637" s="13">
        <v>679.93</v>
      </c>
      <c r="K637" s="13">
        <v>0</v>
      </c>
      <c r="L637" s="13">
        <v>1465</v>
      </c>
      <c r="Q637" s="15">
        <v>3.95</v>
      </c>
      <c r="R637" s="13">
        <v>3.95</v>
      </c>
      <c r="S637" s="13">
        <v>0</v>
      </c>
      <c r="T637" s="19">
        <v>1687</v>
      </c>
    </row>
    <row r="638" spans="1:22" x14ac:dyDescent="0.25">
      <c r="A638" s="1">
        <f t="shared" si="200"/>
        <v>42918</v>
      </c>
      <c r="B638">
        <v>37</v>
      </c>
      <c r="C638">
        <v>404.65</v>
      </c>
      <c r="E638" s="13">
        <f t="shared" si="196"/>
        <v>404.65</v>
      </c>
      <c r="F638" s="13">
        <v>404.65</v>
      </c>
      <c r="G638" s="13">
        <f t="shared" si="199"/>
        <v>0</v>
      </c>
      <c r="H638" s="14">
        <v>1703</v>
      </c>
      <c r="I638" s="15">
        <v>810.6</v>
      </c>
      <c r="J638" s="13">
        <v>810.6</v>
      </c>
      <c r="K638" s="13">
        <v>0</v>
      </c>
      <c r="L638" s="13">
        <v>1480</v>
      </c>
      <c r="Q638" s="5">
        <f>SUMIFS(Coin!E:E,Coin!C:C,B638,Coin!D:D,A638)</f>
        <v>0</v>
      </c>
    </row>
    <row r="639" spans="1:22" x14ac:dyDescent="0.25">
      <c r="A639" s="1">
        <f t="shared" si="200"/>
        <v>42918</v>
      </c>
      <c r="B639">
        <v>41</v>
      </c>
      <c r="C639">
        <v>550.35</v>
      </c>
      <c r="E639" s="13">
        <f t="shared" si="196"/>
        <v>550.35</v>
      </c>
      <c r="F639" s="13">
        <v>550.35</v>
      </c>
      <c r="G639" s="13">
        <f t="shared" si="199"/>
        <v>0</v>
      </c>
      <c r="H639" s="14">
        <v>1690</v>
      </c>
      <c r="I639" s="15">
        <v>545.29</v>
      </c>
      <c r="J639" s="13">
        <v>545.29</v>
      </c>
      <c r="K639" s="13">
        <v>0</v>
      </c>
      <c r="L639" s="13">
        <v>1468</v>
      </c>
      <c r="Q639" s="5">
        <f>SUMIFS(Coin!E:E,Coin!C:C,B639,Coin!D:D,A639)</f>
        <v>0</v>
      </c>
    </row>
    <row r="640" spans="1:22" x14ac:dyDescent="0.25">
      <c r="A640" s="1">
        <f t="shared" si="200"/>
        <v>42918</v>
      </c>
      <c r="B640">
        <v>43</v>
      </c>
      <c r="C640">
        <v>738.1</v>
      </c>
      <c r="E640" s="13">
        <f t="shared" si="196"/>
        <v>738.1</v>
      </c>
      <c r="F640" s="13">
        <v>738.1</v>
      </c>
      <c r="G640" s="13">
        <f t="shared" si="199"/>
        <v>0</v>
      </c>
      <c r="H640" s="14">
        <v>1692</v>
      </c>
      <c r="I640" s="15">
        <v>119.85</v>
      </c>
      <c r="J640" s="13">
        <v>119.85</v>
      </c>
      <c r="K640" s="13">
        <v>0</v>
      </c>
      <c r="L640" s="13">
        <v>1467</v>
      </c>
      <c r="Q640" s="5">
        <f>SUMIFS(Coin!E:E,Coin!C:C,B640,Coin!D:D,A640)</f>
        <v>0</v>
      </c>
    </row>
    <row r="641" spans="1:21" x14ac:dyDescent="0.25">
      <c r="A641" s="1">
        <f t="shared" si="200"/>
        <v>42918</v>
      </c>
      <c r="B641">
        <v>44</v>
      </c>
      <c r="C641">
        <v>385.1</v>
      </c>
      <c r="E641" s="13">
        <f t="shared" si="196"/>
        <v>388.15000000000003</v>
      </c>
      <c r="F641" s="13">
        <v>388.15</v>
      </c>
      <c r="G641" s="13">
        <f t="shared" si="199"/>
        <v>0</v>
      </c>
      <c r="H641" s="14">
        <v>1710</v>
      </c>
      <c r="I641" s="15">
        <v>284.51</v>
      </c>
      <c r="J641" s="13">
        <v>284.51</v>
      </c>
      <c r="K641" s="13">
        <v>0</v>
      </c>
      <c r="L641" s="13">
        <v>1466</v>
      </c>
      <c r="Q641" s="5">
        <f>SUMIFS(Coin!E:E,Coin!C:C,B641,Coin!D:D,A641)</f>
        <v>0</v>
      </c>
      <c r="U641" s="21">
        <v>3.05</v>
      </c>
    </row>
    <row r="642" spans="1:21" x14ac:dyDescent="0.25">
      <c r="A642" s="1">
        <f t="shared" si="200"/>
        <v>42918</v>
      </c>
      <c r="B642">
        <v>103</v>
      </c>
      <c r="C642">
        <v>637.20000000000005</v>
      </c>
      <c r="E642" s="13">
        <f t="shared" si="196"/>
        <v>637.20000000000005</v>
      </c>
      <c r="F642" s="13">
        <v>637.20000000000005</v>
      </c>
      <c r="G642" s="13">
        <f t="shared" si="199"/>
        <v>0</v>
      </c>
      <c r="H642" s="14">
        <v>1695</v>
      </c>
      <c r="I642" s="15">
        <v>434.4</v>
      </c>
      <c r="J642" s="13">
        <v>434.4</v>
      </c>
      <c r="K642" s="13">
        <v>0</v>
      </c>
      <c r="L642" s="13">
        <v>1469</v>
      </c>
      <c r="Q642" s="5">
        <f>SUMIFS(Coin!E:E,Coin!C:C,B642,Coin!D:D,A642)</f>
        <v>0</v>
      </c>
    </row>
    <row r="643" spans="1:21" x14ac:dyDescent="0.25">
      <c r="A643" s="1">
        <f t="shared" si="200"/>
        <v>42918</v>
      </c>
      <c r="B643">
        <v>201</v>
      </c>
      <c r="C643">
        <v>534.04999999999995</v>
      </c>
      <c r="E643" s="13">
        <f t="shared" si="196"/>
        <v>534.04999999999995</v>
      </c>
      <c r="F643" s="13">
        <v>534.04999999999995</v>
      </c>
      <c r="G643" s="13">
        <f t="shared" si="199"/>
        <v>0</v>
      </c>
      <c r="H643" s="14">
        <v>1698</v>
      </c>
      <c r="I643" s="15">
        <v>149.65</v>
      </c>
      <c r="J643" s="13">
        <v>149.65</v>
      </c>
      <c r="K643" s="13">
        <v>0</v>
      </c>
      <c r="L643" s="13">
        <v>1481</v>
      </c>
      <c r="Q643" s="5">
        <f>SUMIFS(Coin!E:E,Coin!C:C,B643,Coin!D:D,A643)</f>
        <v>0</v>
      </c>
    </row>
    <row r="644" spans="1:21" x14ac:dyDescent="0.25">
      <c r="A644" s="1">
        <f t="shared" ref="A644:A650" si="201">DATE(2017,7,3)</f>
        <v>42919</v>
      </c>
      <c r="B644">
        <v>35</v>
      </c>
      <c r="C644">
        <v>1037.05</v>
      </c>
      <c r="E644" s="13">
        <f t="shared" ref="E644:E650" si="202">C644+D644-Q644+U644</f>
        <v>1035</v>
      </c>
      <c r="F644" s="13">
        <v>1035</v>
      </c>
      <c r="G644" s="13">
        <f t="shared" si="199"/>
        <v>0</v>
      </c>
      <c r="H644" s="14">
        <v>1684</v>
      </c>
      <c r="I644" s="15">
        <v>666.54</v>
      </c>
      <c r="J644" s="13">
        <v>666.54</v>
      </c>
      <c r="K644" s="13">
        <v>0</v>
      </c>
      <c r="L644" s="13">
        <v>1492</v>
      </c>
      <c r="Q644" s="15">
        <v>2.0499999999999998</v>
      </c>
      <c r="R644" s="13">
        <v>2.0499999999999998</v>
      </c>
      <c r="S644" s="13">
        <v>0</v>
      </c>
      <c r="T644" s="19">
        <v>1701</v>
      </c>
    </row>
    <row r="645" spans="1:21" x14ac:dyDescent="0.25">
      <c r="A645" s="1">
        <f t="shared" si="201"/>
        <v>42919</v>
      </c>
      <c r="B645">
        <v>37</v>
      </c>
      <c r="C645">
        <v>399.7</v>
      </c>
      <c r="E645" s="13">
        <f t="shared" si="202"/>
        <v>397.8</v>
      </c>
      <c r="F645" s="13">
        <v>397.8</v>
      </c>
      <c r="G645" s="13">
        <f t="shared" si="199"/>
        <v>0</v>
      </c>
      <c r="H645" s="14">
        <v>1714</v>
      </c>
      <c r="I645" s="15">
        <v>617.45000000000005</v>
      </c>
      <c r="J645" s="13">
        <v>617.45000000000005</v>
      </c>
      <c r="K645" s="13">
        <v>0</v>
      </c>
      <c r="L645" s="13">
        <v>1493</v>
      </c>
      <c r="Q645" s="5">
        <v>1.9</v>
      </c>
    </row>
    <row r="646" spans="1:21" x14ac:dyDescent="0.25">
      <c r="A646" s="1">
        <f t="shared" si="201"/>
        <v>42919</v>
      </c>
      <c r="B646">
        <v>41</v>
      </c>
      <c r="C646">
        <v>628.15</v>
      </c>
      <c r="E646" s="13">
        <f t="shared" si="202"/>
        <v>628.15</v>
      </c>
      <c r="F646" s="13">
        <v>628.15</v>
      </c>
      <c r="G646" s="13">
        <f t="shared" si="199"/>
        <v>0</v>
      </c>
      <c r="H646" s="14">
        <v>1707</v>
      </c>
      <c r="I646" s="15">
        <v>516.04999999999995</v>
      </c>
      <c r="J646" s="13">
        <v>516.04999999999995</v>
      </c>
      <c r="K646" s="13">
        <v>0</v>
      </c>
      <c r="L646" s="13">
        <v>1488</v>
      </c>
      <c r="Q646" s="5">
        <f>SUMIFS(Coin!E:E,Coin!C:C,B646,Coin!D:D,A646)</f>
        <v>0</v>
      </c>
    </row>
    <row r="647" spans="1:21" x14ac:dyDescent="0.25">
      <c r="A647" s="1">
        <f t="shared" si="201"/>
        <v>42919</v>
      </c>
      <c r="B647">
        <v>43</v>
      </c>
      <c r="C647">
        <v>712.85</v>
      </c>
      <c r="E647" s="13">
        <f t="shared" si="202"/>
        <v>712.85</v>
      </c>
      <c r="F647" s="13">
        <v>712.85</v>
      </c>
      <c r="G647" s="13">
        <f t="shared" si="199"/>
        <v>0</v>
      </c>
      <c r="H647" s="14">
        <v>1708</v>
      </c>
      <c r="I647" s="15">
        <v>474.58</v>
      </c>
      <c r="J647" s="13">
        <v>474.58</v>
      </c>
      <c r="K647" s="13">
        <v>0</v>
      </c>
      <c r="L647" s="13">
        <v>1489</v>
      </c>
      <c r="Q647" s="5">
        <f>SUMIFS(Coin!E:E,Coin!C:C,B647,Coin!D:D,A647)</f>
        <v>0</v>
      </c>
    </row>
    <row r="648" spans="1:21" x14ac:dyDescent="0.25">
      <c r="A648" s="1">
        <f t="shared" si="201"/>
        <v>42919</v>
      </c>
      <c r="B648">
        <v>44</v>
      </c>
      <c r="C648">
        <v>396.25</v>
      </c>
      <c r="E648" s="13">
        <f t="shared" si="202"/>
        <v>396.25</v>
      </c>
      <c r="F648" s="13">
        <v>396.25</v>
      </c>
      <c r="G648" s="13">
        <f t="shared" si="199"/>
        <v>0</v>
      </c>
      <c r="H648" s="14">
        <v>1709</v>
      </c>
      <c r="I648" s="15">
        <v>593.17999999999995</v>
      </c>
      <c r="J648" s="13">
        <v>593.17999999999995</v>
      </c>
      <c r="K648" s="13">
        <v>0</v>
      </c>
      <c r="L648" s="13">
        <v>1490</v>
      </c>
      <c r="Q648" s="5">
        <f>SUMIFS(Coin!E:E,Coin!C:C,B648,Coin!D:D,A648)</f>
        <v>0</v>
      </c>
    </row>
    <row r="649" spans="1:21" x14ac:dyDescent="0.25">
      <c r="A649" s="1">
        <f t="shared" si="201"/>
        <v>42919</v>
      </c>
      <c r="B649">
        <v>103</v>
      </c>
      <c r="C649">
        <v>1169.5</v>
      </c>
      <c r="E649" s="13">
        <f t="shared" si="202"/>
        <v>1180.5</v>
      </c>
      <c r="F649" s="13">
        <v>1180.5</v>
      </c>
      <c r="G649" s="13">
        <f t="shared" si="199"/>
        <v>0</v>
      </c>
      <c r="H649" s="14">
        <v>1711</v>
      </c>
      <c r="I649" s="15">
        <v>612.08000000000004</v>
      </c>
      <c r="J649" s="13">
        <v>612.08000000000004</v>
      </c>
      <c r="K649" s="13">
        <v>0</v>
      </c>
      <c r="L649" s="13">
        <v>1491</v>
      </c>
      <c r="Q649" s="5">
        <f>SUMIFS(Coin!E:E,Coin!C:C,B649,Coin!D:D,A649)</f>
        <v>0</v>
      </c>
      <c r="U649" s="21">
        <v>11</v>
      </c>
    </row>
    <row r="650" spans="1:21" x14ac:dyDescent="0.25">
      <c r="A650" s="1">
        <f t="shared" si="201"/>
        <v>42919</v>
      </c>
      <c r="B650">
        <v>201</v>
      </c>
      <c r="C650">
        <v>519.9</v>
      </c>
      <c r="E650" s="13">
        <f t="shared" si="202"/>
        <v>519.9</v>
      </c>
      <c r="F650" s="13">
        <v>519.9</v>
      </c>
      <c r="G650" s="13">
        <f t="shared" si="199"/>
        <v>0</v>
      </c>
      <c r="H650" s="14">
        <v>1712</v>
      </c>
      <c r="I650" s="15">
        <v>229.95</v>
      </c>
      <c r="J650" s="13">
        <v>229.95</v>
      </c>
      <c r="K650" s="13">
        <v>0</v>
      </c>
      <c r="L650" s="13">
        <v>1494</v>
      </c>
      <c r="Q650" s="5">
        <f>SUMIFS(Coin!E:E,Coin!C:C,B650,Coin!D:D,A650)</f>
        <v>0</v>
      </c>
    </row>
    <row r="651" spans="1:21" x14ac:dyDescent="0.25">
      <c r="A651" s="1">
        <f t="shared" ref="A651:A657" si="203">DATE(2017,7,4)</f>
        <v>42920</v>
      </c>
      <c r="B651">
        <v>35</v>
      </c>
      <c r="C651">
        <v>578.15</v>
      </c>
      <c r="E651" s="13">
        <f t="shared" ref="E651:E664" si="204">C651+D651-Q651+U651</f>
        <v>575</v>
      </c>
      <c r="F651" s="13">
        <v>575</v>
      </c>
      <c r="G651" s="13">
        <f t="shared" si="199"/>
        <v>0</v>
      </c>
      <c r="H651" s="14">
        <v>1700</v>
      </c>
      <c r="I651" s="15">
        <v>815.85</v>
      </c>
      <c r="J651" s="13">
        <v>815.85</v>
      </c>
      <c r="K651" s="13">
        <v>0</v>
      </c>
      <c r="L651" s="13">
        <v>1504</v>
      </c>
      <c r="Q651" s="15">
        <v>3.15</v>
      </c>
      <c r="R651" s="13">
        <v>3.15</v>
      </c>
      <c r="S651" s="13">
        <v>0</v>
      </c>
      <c r="T651" s="19">
        <v>1713</v>
      </c>
    </row>
    <row r="652" spans="1:21" x14ac:dyDescent="0.25">
      <c r="A652" s="1">
        <f t="shared" si="203"/>
        <v>42920</v>
      </c>
      <c r="B652">
        <v>37</v>
      </c>
      <c r="C652">
        <v>394.8</v>
      </c>
      <c r="E652" s="13">
        <f t="shared" si="204"/>
        <v>394.15000000000003</v>
      </c>
      <c r="F652" s="13">
        <v>394.15</v>
      </c>
      <c r="G652" s="13">
        <f t="shared" si="199"/>
        <v>0</v>
      </c>
      <c r="H652" s="14">
        <v>1705</v>
      </c>
      <c r="I652" s="15">
        <v>532.04999999999995</v>
      </c>
      <c r="J652" s="13">
        <v>532.04999999999995</v>
      </c>
      <c r="K652" s="13">
        <v>0</v>
      </c>
      <c r="L652" s="13">
        <v>1508</v>
      </c>
      <c r="Q652" s="5">
        <v>0.65</v>
      </c>
    </row>
    <row r="653" spans="1:21" x14ac:dyDescent="0.25">
      <c r="A653" s="1">
        <f t="shared" si="203"/>
        <v>42920</v>
      </c>
      <c r="B653">
        <v>41</v>
      </c>
      <c r="C653">
        <v>621.79999999999995</v>
      </c>
      <c r="E653" s="13">
        <f t="shared" si="204"/>
        <v>621.79999999999995</v>
      </c>
      <c r="F653" s="13">
        <v>621.79999999999995</v>
      </c>
      <c r="G653" s="13">
        <f t="shared" si="199"/>
        <v>0</v>
      </c>
      <c r="H653" s="14">
        <v>1717</v>
      </c>
      <c r="I653" s="15">
        <v>635.04999999999995</v>
      </c>
      <c r="J653" s="13">
        <v>635.04999999999995</v>
      </c>
      <c r="K653" s="13">
        <v>0</v>
      </c>
      <c r="L653" s="13">
        <v>1500</v>
      </c>
      <c r="Q653" s="5">
        <f>SUMIFS(Coin!E:E,Coin!C:C,B653,Coin!D:D,A653)</f>
        <v>0</v>
      </c>
    </row>
    <row r="654" spans="1:21" x14ac:dyDescent="0.25">
      <c r="A654" s="1">
        <f t="shared" si="203"/>
        <v>42920</v>
      </c>
      <c r="B654">
        <v>43</v>
      </c>
      <c r="C654">
        <v>843</v>
      </c>
      <c r="E654" s="13">
        <f t="shared" si="204"/>
        <v>843</v>
      </c>
      <c r="F654" s="13">
        <v>843</v>
      </c>
      <c r="G654" s="13">
        <f t="shared" si="199"/>
        <v>0</v>
      </c>
      <c r="H654" s="14">
        <v>1715</v>
      </c>
      <c r="I654" s="15">
        <v>89.9</v>
      </c>
      <c r="J654" s="13">
        <v>89.9</v>
      </c>
      <c r="K654" s="13">
        <v>0</v>
      </c>
      <c r="L654" s="13">
        <v>1503</v>
      </c>
      <c r="Q654" s="5">
        <f>SUMIFS(Coin!E:E,Coin!C:C,B654,Coin!D:D,A654)</f>
        <v>0</v>
      </c>
    </row>
    <row r="655" spans="1:21" x14ac:dyDescent="0.25">
      <c r="A655" s="1">
        <f t="shared" si="203"/>
        <v>42920</v>
      </c>
      <c r="B655">
        <v>44</v>
      </c>
      <c r="C655">
        <v>452.45</v>
      </c>
      <c r="E655" s="13">
        <f t="shared" si="204"/>
        <v>452.45</v>
      </c>
      <c r="F655" s="13">
        <v>452.45</v>
      </c>
      <c r="G655" s="13">
        <f t="shared" si="199"/>
        <v>0</v>
      </c>
      <c r="H655" s="14"/>
      <c r="I655" s="15">
        <v>355.65</v>
      </c>
      <c r="J655" s="13">
        <v>355.65</v>
      </c>
      <c r="K655" s="13">
        <v>0</v>
      </c>
      <c r="L655" s="13">
        <v>1501</v>
      </c>
      <c r="M655" s="15">
        <v>14.95</v>
      </c>
      <c r="N655" s="13">
        <v>14.95</v>
      </c>
      <c r="O655" s="13">
        <v>0</v>
      </c>
      <c r="P655" s="13">
        <v>78</v>
      </c>
      <c r="Q655" s="5">
        <f>SUMIFS(Coin!E:E,Coin!C:C,B655,Coin!D:D,A655)</f>
        <v>0</v>
      </c>
    </row>
    <row r="656" spans="1:21" x14ac:dyDescent="0.25">
      <c r="A656" s="1">
        <f t="shared" si="203"/>
        <v>42920</v>
      </c>
      <c r="B656">
        <v>103</v>
      </c>
      <c r="C656">
        <v>1641.25</v>
      </c>
      <c r="E656" s="13">
        <f t="shared" si="204"/>
        <v>1641.25</v>
      </c>
      <c r="F656" s="13">
        <v>1641.25</v>
      </c>
      <c r="G656" s="13">
        <f t="shared" si="199"/>
        <v>0</v>
      </c>
      <c r="H656" s="14"/>
      <c r="I656" s="15">
        <v>500.2</v>
      </c>
      <c r="J656" s="13">
        <v>500.2</v>
      </c>
      <c r="K656" s="13">
        <v>0</v>
      </c>
      <c r="L656" s="13">
        <v>1502</v>
      </c>
      <c r="Q656" s="5">
        <f>SUMIFS(Coin!E:E,Coin!C:C,B656,Coin!D:D,A656)</f>
        <v>0</v>
      </c>
    </row>
    <row r="657" spans="1:21" x14ac:dyDescent="0.25">
      <c r="A657" s="1">
        <f t="shared" si="203"/>
        <v>42920</v>
      </c>
      <c r="B657">
        <v>201</v>
      </c>
      <c r="C657">
        <v>414.55</v>
      </c>
      <c r="E657" s="13">
        <f t="shared" si="204"/>
        <v>414.55</v>
      </c>
      <c r="F657" s="13">
        <v>414.55</v>
      </c>
      <c r="G657" s="13">
        <f t="shared" ref="G657:G665" si="205">E657-F657</f>
        <v>0</v>
      </c>
      <c r="H657" s="14">
        <v>1716</v>
      </c>
      <c r="I657" s="15">
        <v>349.8</v>
      </c>
      <c r="J657" s="13">
        <v>349.8</v>
      </c>
      <c r="K657" s="13">
        <v>0</v>
      </c>
      <c r="L657" s="13">
        <v>1507</v>
      </c>
      <c r="Q657" s="5">
        <f>SUMIFS(Coin!E:E,Coin!C:C,B657,Coin!D:D,A657)</f>
        <v>0</v>
      </c>
    </row>
    <row r="658" spans="1:21" x14ac:dyDescent="0.25">
      <c r="A658" s="1">
        <f t="shared" ref="A658:A664" si="206">DATE(2017,7,5)</f>
        <v>42921</v>
      </c>
      <c r="B658">
        <v>35</v>
      </c>
      <c r="C658">
        <v>838.75</v>
      </c>
      <c r="E658" s="13">
        <f t="shared" si="204"/>
        <v>825</v>
      </c>
      <c r="F658" s="13">
        <v>825</v>
      </c>
      <c r="G658" s="13">
        <f t="shared" si="205"/>
        <v>0</v>
      </c>
      <c r="H658" s="14">
        <v>1699</v>
      </c>
      <c r="I658" s="15">
        <v>989.09</v>
      </c>
      <c r="J658" s="13">
        <v>989.09</v>
      </c>
      <c r="K658" s="13">
        <v>0</v>
      </c>
      <c r="L658" s="13">
        <v>1495</v>
      </c>
      <c r="Q658" s="15">
        <v>13.75</v>
      </c>
      <c r="R658" s="13">
        <v>13.75</v>
      </c>
      <c r="S658" s="13">
        <v>0</v>
      </c>
      <c r="T658" s="19">
        <v>1719</v>
      </c>
    </row>
    <row r="659" spans="1:21" x14ac:dyDescent="0.25">
      <c r="A659" s="1">
        <f t="shared" si="206"/>
        <v>42921</v>
      </c>
      <c r="B659">
        <v>37</v>
      </c>
      <c r="C659">
        <v>470.8</v>
      </c>
      <c r="E659" s="13">
        <f t="shared" si="204"/>
        <v>470.8</v>
      </c>
      <c r="F659" s="13">
        <v>470.8</v>
      </c>
      <c r="G659" s="13">
        <f t="shared" si="205"/>
        <v>0</v>
      </c>
      <c r="H659" s="14">
        <v>1720</v>
      </c>
      <c r="I659" s="15">
        <v>469.45</v>
      </c>
      <c r="J659" s="13">
        <v>469.45</v>
      </c>
      <c r="K659" s="13">
        <v>0</v>
      </c>
      <c r="L659" s="13">
        <v>1505</v>
      </c>
      <c r="Q659" s="5">
        <f>SUMIFS(Coin!E:E,Coin!C:C,B659,Coin!D:D,A659)</f>
        <v>0</v>
      </c>
    </row>
    <row r="660" spans="1:21" x14ac:dyDescent="0.25">
      <c r="A660" s="1">
        <f t="shared" si="206"/>
        <v>42921</v>
      </c>
      <c r="B660">
        <v>41</v>
      </c>
      <c r="C660">
        <v>857.6</v>
      </c>
      <c r="E660" s="13">
        <f t="shared" si="204"/>
        <v>857.6</v>
      </c>
      <c r="F660" s="13">
        <v>857.6</v>
      </c>
      <c r="G660" s="13">
        <f t="shared" si="205"/>
        <v>0</v>
      </c>
      <c r="H660" s="14">
        <v>1721</v>
      </c>
      <c r="I660" s="15">
        <v>724.25</v>
      </c>
      <c r="J660" s="13">
        <v>724.25</v>
      </c>
      <c r="K660" s="13">
        <v>0</v>
      </c>
      <c r="L660" s="13">
        <v>1496</v>
      </c>
      <c r="Q660" s="5">
        <f>SUMIFS(Coin!E:E,Coin!C:C,B660,Coin!D:D,A660)</f>
        <v>0</v>
      </c>
    </row>
    <row r="661" spans="1:21" x14ac:dyDescent="0.25">
      <c r="A661" s="1">
        <f t="shared" si="206"/>
        <v>42921</v>
      </c>
      <c r="B661">
        <v>43</v>
      </c>
      <c r="C661">
        <v>722.1</v>
      </c>
      <c r="E661" s="13">
        <f t="shared" si="204"/>
        <v>722.1</v>
      </c>
      <c r="F661" s="13">
        <v>722.1</v>
      </c>
      <c r="G661" s="13">
        <f t="shared" si="205"/>
        <v>0</v>
      </c>
      <c r="H661" s="14"/>
      <c r="I661" s="15">
        <v>204.85</v>
      </c>
      <c r="J661" s="13">
        <v>204.85</v>
      </c>
      <c r="K661" s="13">
        <v>0</v>
      </c>
      <c r="L661" s="13">
        <v>1497</v>
      </c>
      <c r="Q661" s="5">
        <f>SUMIFS(Coin!E:E,Coin!C:C,B661,Coin!D:D,A661)</f>
        <v>0</v>
      </c>
    </row>
    <row r="662" spans="1:21" x14ac:dyDescent="0.25">
      <c r="A662" s="1">
        <f t="shared" si="206"/>
        <v>42921</v>
      </c>
      <c r="B662">
        <v>44</v>
      </c>
      <c r="C662">
        <v>377.4</v>
      </c>
      <c r="E662" s="13">
        <f t="shared" si="204"/>
        <v>377.4</v>
      </c>
      <c r="F662" s="13">
        <v>377.4</v>
      </c>
      <c r="G662" s="13">
        <f t="shared" si="205"/>
        <v>0</v>
      </c>
      <c r="H662" s="14"/>
      <c r="I662" s="15">
        <v>433.13</v>
      </c>
      <c r="J662" s="13">
        <v>433.13</v>
      </c>
      <c r="K662" s="13">
        <v>0</v>
      </c>
      <c r="L662" s="13">
        <v>1499</v>
      </c>
      <c r="M662" s="15">
        <v>24.95</v>
      </c>
      <c r="N662" s="13">
        <v>24.95</v>
      </c>
      <c r="O662" s="13">
        <v>0</v>
      </c>
      <c r="P662" s="13">
        <v>79</v>
      </c>
      <c r="Q662" s="5">
        <f>SUMIFS(Coin!E:E,Coin!C:C,B662,Coin!D:D,A662)</f>
        <v>0</v>
      </c>
    </row>
    <row r="663" spans="1:21" x14ac:dyDescent="0.25">
      <c r="A663" s="1">
        <f t="shared" si="206"/>
        <v>42921</v>
      </c>
      <c r="B663">
        <v>103</v>
      </c>
      <c r="C663">
        <v>1248.8</v>
      </c>
      <c r="D663">
        <v>-27.5</v>
      </c>
      <c r="E663" s="13">
        <f t="shared" si="204"/>
        <v>1210.2</v>
      </c>
      <c r="F663" s="13">
        <v>1210.2</v>
      </c>
      <c r="G663" s="13">
        <f t="shared" si="205"/>
        <v>0</v>
      </c>
      <c r="H663" s="14">
        <v>1722</v>
      </c>
      <c r="I663" s="15">
        <v>404.75</v>
      </c>
      <c r="J663" s="13">
        <v>404.75</v>
      </c>
      <c r="K663" s="13">
        <v>0</v>
      </c>
      <c r="L663" s="13">
        <v>1498</v>
      </c>
      <c r="U663" s="21">
        <v>-11.1</v>
      </c>
    </row>
    <row r="664" spans="1:21" x14ac:dyDescent="0.25">
      <c r="A664" s="1">
        <f t="shared" si="206"/>
        <v>42921</v>
      </c>
      <c r="B664">
        <v>201</v>
      </c>
      <c r="C664">
        <v>629.29999999999995</v>
      </c>
      <c r="E664" s="13">
        <f t="shared" si="204"/>
        <v>629.29999999999995</v>
      </c>
      <c r="F664" s="13">
        <v>629.29999999999995</v>
      </c>
      <c r="G664" s="13">
        <f t="shared" si="205"/>
        <v>0</v>
      </c>
      <c r="H664" s="14">
        <v>1723</v>
      </c>
      <c r="I664" s="15">
        <v>219.65</v>
      </c>
      <c r="J664" s="13">
        <v>219.65</v>
      </c>
      <c r="K664" s="13">
        <v>0</v>
      </c>
      <c r="L664" s="13">
        <v>1506</v>
      </c>
      <c r="Q664" s="5">
        <f>SUMIFS(Coin!E:E,Coin!C:C,B664,Coin!D:D,A664)</f>
        <v>0</v>
      </c>
    </row>
    <row r="665" spans="1:21" x14ac:dyDescent="0.25">
      <c r="A665" s="1">
        <f t="shared" ref="A665:A671" si="207">DATE(2017,7,6)</f>
        <v>42922</v>
      </c>
      <c r="B665">
        <v>35</v>
      </c>
      <c r="C665">
        <v>811.35</v>
      </c>
      <c r="E665" s="13">
        <f t="shared" ref="E665:E671" si="208">C665+D665-Q665+U665</f>
        <v>810</v>
      </c>
      <c r="F665" s="13">
        <v>810</v>
      </c>
      <c r="G665" s="13">
        <f t="shared" si="205"/>
        <v>0</v>
      </c>
      <c r="H665" s="14">
        <v>1718</v>
      </c>
      <c r="I665" s="15">
        <v>1006.9</v>
      </c>
      <c r="J665" s="13">
        <v>1006.9</v>
      </c>
      <c r="K665" s="13">
        <v>0</v>
      </c>
      <c r="L665" s="13">
        <v>1510</v>
      </c>
      <c r="Q665" s="15">
        <v>1.35</v>
      </c>
      <c r="R665" s="13">
        <v>1.35</v>
      </c>
      <c r="S665" s="13">
        <v>0</v>
      </c>
      <c r="T665" s="19">
        <v>1726</v>
      </c>
    </row>
    <row r="666" spans="1:21" x14ac:dyDescent="0.25">
      <c r="A666" s="1">
        <f t="shared" si="207"/>
        <v>42922</v>
      </c>
      <c r="B666">
        <v>37</v>
      </c>
      <c r="C666">
        <v>669.65</v>
      </c>
      <c r="E666" s="13">
        <f t="shared" si="208"/>
        <v>619.65</v>
      </c>
      <c r="F666" s="13">
        <v>619.65</v>
      </c>
      <c r="G666" s="13">
        <f t="shared" ref="G666:G673" si="209">E666-F666</f>
        <v>0</v>
      </c>
      <c r="H666" s="14">
        <v>1727</v>
      </c>
      <c r="I666" s="15">
        <v>879.38</v>
      </c>
      <c r="J666" s="13">
        <v>879.38</v>
      </c>
      <c r="K666" s="13">
        <v>0</v>
      </c>
      <c r="L666" s="13">
        <v>1515</v>
      </c>
      <c r="Q666" s="15">
        <v>50</v>
      </c>
      <c r="R666" s="13">
        <v>50</v>
      </c>
      <c r="S666" s="13">
        <v>0</v>
      </c>
      <c r="T666" s="19">
        <v>1728</v>
      </c>
    </row>
    <row r="667" spans="1:21" x14ac:dyDescent="0.25">
      <c r="A667" s="1">
        <f t="shared" si="207"/>
        <v>42922</v>
      </c>
      <c r="B667">
        <v>41</v>
      </c>
      <c r="C667">
        <v>748.05</v>
      </c>
      <c r="E667" s="13">
        <f t="shared" si="208"/>
        <v>748.05</v>
      </c>
      <c r="F667" s="13">
        <v>748.05</v>
      </c>
      <c r="G667" s="13">
        <f t="shared" si="209"/>
        <v>0</v>
      </c>
      <c r="H667" s="14">
        <v>1729</v>
      </c>
      <c r="I667" s="15">
        <v>414.2</v>
      </c>
      <c r="J667" s="13">
        <v>414.2</v>
      </c>
      <c r="K667" s="13">
        <v>0</v>
      </c>
      <c r="L667" s="13">
        <v>1509</v>
      </c>
      <c r="Q667" s="5">
        <f>SUMIFS(Coin!E:E,Coin!C:C,B667,Coin!D:D,A667)</f>
        <v>0</v>
      </c>
    </row>
    <row r="668" spans="1:21" x14ac:dyDescent="0.25">
      <c r="A668" s="1">
        <f t="shared" si="207"/>
        <v>42922</v>
      </c>
      <c r="B668">
        <v>43</v>
      </c>
      <c r="C668">
        <v>1049.5999999999999</v>
      </c>
      <c r="E668" s="13">
        <f t="shared" si="208"/>
        <v>1049.5999999999999</v>
      </c>
      <c r="F668" s="13">
        <v>1049.5999999999999</v>
      </c>
      <c r="G668" s="13">
        <f t="shared" si="209"/>
        <v>0</v>
      </c>
      <c r="H668" s="14">
        <v>1730</v>
      </c>
      <c r="I668" s="15">
        <v>669.68</v>
      </c>
      <c r="J668" s="13">
        <v>669.68</v>
      </c>
      <c r="K668" s="13">
        <v>0</v>
      </c>
      <c r="L668" s="13">
        <v>1512</v>
      </c>
      <c r="Q668" s="5">
        <f>SUMIFS(Coin!E:E,Coin!C:C,B668,Coin!D:D,A668)</f>
        <v>0</v>
      </c>
    </row>
    <row r="669" spans="1:21" x14ac:dyDescent="0.25">
      <c r="A669" s="1">
        <f t="shared" si="207"/>
        <v>42922</v>
      </c>
      <c r="B669">
        <v>44</v>
      </c>
      <c r="C669">
        <v>433.4</v>
      </c>
      <c r="E669" s="13">
        <f t="shared" si="208"/>
        <v>433.4</v>
      </c>
      <c r="F669" s="13">
        <v>433.4</v>
      </c>
      <c r="G669" s="13">
        <f t="shared" si="209"/>
        <v>0</v>
      </c>
      <c r="H669" s="14"/>
      <c r="I669" s="15">
        <v>404.7</v>
      </c>
      <c r="J669" s="13">
        <v>404.7</v>
      </c>
      <c r="K669" s="13">
        <v>0</v>
      </c>
      <c r="L669" s="13">
        <v>1511</v>
      </c>
      <c r="Q669" s="5">
        <f>SUMIFS(Coin!E:E,Coin!C:C,B669,Coin!D:D,A669)</f>
        <v>0</v>
      </c>
    </row>
    <row r="670" spans="1:21" x14ac:dyDescent="0.25">
      <c r="A670" s="1">
        <f t="shared" si="207"/>
        <v>42922</v>
      </c>
      <c r="B670">
        <v>103</v>
      </c>
      <c r="C670">
        <v>1621.65</v>
      </c>
      <c r="D670">
        <v>-167.2</v>
      </c>
      <c r="E670" s="13">
        <f t="shared" si="208"/>
        <v>1454.45</v>
      </c>
      <c r="F670" s="13">
        <v>1454.45</v>
      </c>
      <c r="G670" s="13">
        <f t="shared" si="209"/>
        <v>0</v>
      </c>
      <c r="H670" s="14">
        <v>1731</v>
      </c>
      <c r="I670" s="15">
        <v>1022.65</v>
      </c>
      <c r="J670" s="13">
        <v>1022.65</v>
      </c>
      <c r="K670" s="13">
        <v>0</v>
      </c>
      <c r="L670" s="13">
        <v>1513</v>
      </c>
      <c r="Q670" s="5">
        <f>SUMIFS(Coin!E:E,Coin!C:C,B670,Coin!D:D,A670)</f>
        <v>0</v>
      </c>
    </row>
    <row r="671" spans="1:21" x14ac:dyDescent="0.25">
      <c r="A671" s="1">
        <f t="shared" si="207"/>
        <v>42922</v>
      </c>
      <c r="B671">
        <v>201</v>
      </c>
      <c r="C671">
        <v>794.4</v>
      </c>
      <c r="E671" s="13">
        <f t="shared" si="208"/>
        <v>794.4</v>
      </c>
      <c r="F671" s="13">
        <v>794.4</v>
      </c>
      <c r="G671" s="13">
        <f t="shared" si="209"/>
        <v>0</v>
      </c>
      <c r="H671" s="14">
        <v>1732</v>
      </c>
      <c r="I671" s="15">
        <v>507.65</v>
      </c>
      <c r="J671" s="13">
        <v>507.65</v>
      </c>
      <c r="K671" s="13">
        <v>0</v>
      </c>
      <c r="L671" s="13">
        <v>1514</v>
      </c>
      <c r="Q671" s="5">
        <f>SUMIFS(Coin!E:E,Coin!C:C,B671,Coin!D:D,A671)</f>
        <v>0</v>
      </c>
    </row>
    <row r="672" spans="1:21" x14ac:dyDescent="0.25">
      <c r="A672" s="1">
        <f t="shared" ref="A672:A678" si="210">DATE(2017,7,7)</f>
        <v>42923</v>
      </c>
      <c r="B672">
        <v>35</v>
      </c>
      <c r="C672">
        <v>618.65</v>
      </c>
      <c r="E672" s="13">
        <f t="shared" ref="E672:E692" si="211">C672+D672-Q672+U672</f>
        <v>610</v>
      </c>
      <c r="F672" s="13">
        <v>610</v>
      </c>
      <c r="G672" s="13">
        <f t="shared" si="209"/>
        <v>0</v>
      </c>
      <c r="H672" s="14">
        <v>1725</v>
      </c>
      <c r="I672" s="15">
        <v>856.03</v>
      </c>
      <c r="J672" s="13">
        <v>856.03</v>
      </c>
      <c r="K672" s="13">
        <v>0</v>
      </c>
      <c r="L672" s="13">
        <v>1529</v>
      </c>
      <c r="Q672" s="15">
        <v>8.65</v>
      </c>
      <c r="R672" s="13">
        <v>8.65</v>
      </c>
      <c r="S672" s="13">
        <v>0</v>
      </c>
      <c r="T672" s="19">
        <v>1739</v>
      </c>
    </row>
    <row r="673" spans="1:21" x14ac:dyDescent="0.25">
      <c r="A673" s="1">
        <f t="shared" si="210"/>
        <v>42923</v>
      </c>
      <c r="B673">
        <v>37</v>
      </c>
      <c r="C673">
        <v>464.7</v>
      </c>
      <c r="E673" s="13">
        <f t="shared" si="211"/>
        <v>464.7</v>
      </c>
      <c r="F673" s="13">
        <v>464.7</v>
      </c>
      <c r="G673" s="13">
        <f t="shared" si="209"/>
        <v>0</v>
      </c>
      <c r="H673" s="14">
        <v>1734</v>
      </c>
      <c r="I673" s="15">
        <v>949.29</v>
      </c>
      <c r="J673" s="13">
        <v>949.29</v>
      </c>
      <c r="K673" s="13">
        <v>0</v>
      </c>
      <c r="L673" s="13">
        <v>1536</v>
      </c>
      <c r="Q673" s="5">
        <f>SUMIFS(Coin!E:E,Coin!C:C,B673,Coin!D:D,A673)</f>
        <v>0</v>
      </c>
    </row>
    <row r="674" spans="1:21" x14ac:dyDescent="0.25">
      <c r="A674" s="1">
        <f t="shared" si="210"/>
        <v>42923</v>
      </c>
      <c r="B674">
        <v>41</v>
      </c>
      <c r="C674">
        <v>417.7</v>
      </c>
      <c r="E674" s="13">
        <f t="shared" si="211"/>
        <v>417.7</v>
      </c>
      <c r="F674" s="13">
        <v>417.7</v>
      </c>
      <c r="G674" s="13">
        <f t="shared" ref="G674:G689" si="212">E674-F674</f>
        <v>0</v>
      </c>
      <c r="H674" s="14">
        <v>1743</v>
      </c>
      <c r="I674" s="15">
        <v>420.6</v>
      </c>
      <c r="J674" s="13">
        <v>420.6</v>
      </c>
      <c r="K674" s="13">
        <v>0</v>
      </c>
      <c r="L674" s="13">
        <v>1530</v>
      </c>
      <c r="Q674" s="5">
        <f>SUMIFS(Coin!E:E,Coin!C:C,B674,Coin!D:D,A674)</f>
        <v>0</v>
      </c>
    </row>
    <row r="675" spans="1:21" x14ac:dyDescent="0.25">
      <c r="A675" s="1">
        <f t="shared" si="210"/>
        <v>42923</v>
      </c>
      <c r="B675">
        <v>43</v>
      </c>
      <c r="C675">
        <v>811.4</v>
      </c>
      <c r="E675" s="13">
        <f t="shared" si="211"/>
        <v>811.4</v>
      </c>
      <c r="F675" s="13">
        <v>811.4</v>
      </c>
      <c r="G675" s="13">
        <f t="shared" si="212"/>
        <v>0</v>
      </c>
      <c r="H675" s="14">
        <v>1747</v>
      </c>
      <c r="I675" s="15">
        <v>519.73</v>
      </c>
      <c r="J675" s="13">
        <v>519.73</v>
      </c>
      <c r="K675" s="13">
        <v>0</v>
      </c>
      <c r="L675" s="13">
        <v>1526</v>
      </c>
      <c r="Q675" s="5">
        <f>SUMIFS(Coin!E:E,Coin!C:C,B675,Coin!D:D,A675)</f>
        <v>0</v>
      </c>
    </row>
    <row r="676" spans="1:21" x14ac:dyDescent="0.25">
      <c r="A676" s="1">
        <f t="shared" si="210"/>
        <v>42923</v>
      </c>
      <c r="B676">
        <v>44</v>
      </c>
      <c r="C676">
        <v>538.70000000000005</v>
      </c>
      <c r="E676" s="13">
        <f t="shared" si="211"/>
        <v>508.70000000000005</v>
      </c>
      <c r="F676" s="13">
        <v>508.7</v>
      </c>
      <c r="G676" s="13">
        <f t="shared" si="212"/>
        <v>0</v>
      </c>
      <c r="H676" s="14"/>
      <c r="I676" s="15">
        <v>561.1</v>
      </c>
      <c r="J676" s="13">
        <v>561.1</v>
      </c>
      <c r="K676" s="13">
        <v>0</v>
      </c>
      <c r="L676" s="13">
        <v>1517</v>
      </c>
      <c r="Q676" s="5">
        <f>SUMIFS(Coin!E:E,Coin!C:C,B676,Coin!D:D,A676)</f>
        <v>0</v>
      </c>
      <c r="U676" s="21">
        <v>-30</v>
      </c>
    </row>
    <row r="677" spans="1:21" x14ac:dyDescent="0.25">
      <c r="A677" s="1">
        <f t="shared" si="210"/>
        <v>42923</v>
      </c>
      <c r="B677">
        <v>103</v>
      </c>
      <c r="C677">
        <v>1550.3</v>
      </c>
      <c r="D677">
        <v>-60</v>
      </c>
      <c r="E677" s="13">
        <f t="shared" si="211"/>
        <v>1490.45</v>
      </c>
      <c r="F677" s="13">
        <v>1490.45</v>
      </c>
      <c r="G677" s="13">
        <f t="shared" si="212"/>
        <v>0</v>
      </c>
      <c r="H677" s="14">
        <v>1735</v>
      </c>
      <c r="I677" s="15">
        <v>922</v>
      </c>
      <c r="J677" s="13">
        <v>922</v>
      </c>
      <c r="K677" s="13">
        <v>0</v>
      </c>
      <c r="L677" s="13">
        <v>1528</v>
      </c>
      <c r="Q677" s="5">
        <f>SUMIFS(Coin!E:E,Coin!C:C,B677,Coin!D:D,A677)</f>
        <v>0</v>
      </c>
      <c r="U677" s="21">
        <v>0.15</v>
      </c>
    </row>
    <row r="678" spans="1:21" x14ac:dyDescent="0.25">
      <c r="A678" s="1">
        <f t="shared" si="210"/>
        <v>42923</v>
      </c>
      <c r="B678">
        <v>201</v>
      </c>
      <c r="C678">
        <v>659.35</v>
      </c>
      <c r="E678" s="13">
        <f t="shared" si="211"/>
        <v>659.35</v>
      </c>
      <c r="F678" s="13">
        <v>659.35</v>
      </c>
      <c r="G678" s="13">
        <f t="shared" si="212"/>
        <v>0</v>
      </c>
      <c r="H678" s="14">
        <v>1750</v>
      </c>
      <c r="I678" s="15">
        <v>969.05</v>
      </c>
      <c r="J678" s="13">
        <v>969.05</v>
      </c>
      <c r="K678" s="13">
        <v>0</v>
      </c>
      <c r="L678" s="13">
        <v>1535</v>
      </c>
      <c r="Q678" s="5">
        <f>SUMIFS(Coin!E:E,Coin!C:C,B678,Coin!D:D,A678)</f>
        <v>0</v>
      </c>
    </row>
    <row r="679" spans="1:21" x14ac:dyDescent="0.25">
      <c r="A679" s="1">
        <f t="shared" ref="A679:A685" si="213">DATE(2017,7,8)</f>
        <v>42924</v>
      </c>
      <c r="B679">
        <v>35</v>
      </c>
      <c r="C679">
        <v>564.54999999999995</v>
      </c>
      <c r="E679" s="13">
        <f t="shared" si="211"/>
        <v>550</v>
      </c>
      <c r="F679" s="13">
        <v>550</v>
      </c>
      <c r="G679" s="13">
        <f t="shared" si="212"/>
        <v>0</v>
      </c>
      <c r="H679" s="14">
        <v>1733</v>
      </c>
      <c r="I679" s="15">
        <v>935.19</v>
      </c>
      <c r="J679" s="13">
        <v>935.19</v>
      </c>
      <c r="K679" s="13">
        <v>0</v>
      </c>
      <c r="L679" s="13">
        <v>1525</v>
      </c>
      <c r="Q679" s="15">
        <v>14.55</v>
      </c>
      <c r="R679" s="13">
        <v>14.55</v>
      </c>
      <c r="S679" s="13">
        <v>0</v>
      </c>
      <c r="T679" s="19">
        <v>1741</v>
      </c>
    </row>
    <row r="680" spans="1:21" x14ac:dyDescent="0.25">
      <c r="A680" s="1">
        <f t="shared" si="213"/>
        <v>42924</v>
      </c>
      <c r="B680">
        <v>37</v>
      </c>
      <c r="C680">
        <v>599.70000000000005</v>
      </c>
      <c r="E680" s="13">
        <f t="shared" si="211"/>
        <v>599.70000000000005</v>
      </c>
      <c r="F680" s="13">
        <v>599.70000000000005</v>
      </c>
      <c r="G680" s="13">
        <f t="shared" si="212"/>
        <v>0</v>
      </c>
      <c r="H680" s="14">
        <v>1752</v>
      </c>
      <c r="I680" s="15">
        <v>1056.8499999999999</v>
      </c>
      <c r="J680" s="13">
        <v>1056.8499999999999</v>
      </c>
      <c r="K680" s="13">
        <v>0</v>
      </c>
      <c r="L680" s="13">
        <v>1533</v>
      </c>
      <c r="Q680" s="5">
        <f>SUMIFS(Coin!E:E,Coin!C:C,B680,Coin!D:D,A680)</f>
        <v>0</v>
      </c>
    </row>
    <row r="681" spans="1:21" x14ac:dyDescent="0.25">
      <c r="A681" s="1">
        <f t="shared" si="213"/>
        <v>42924</v>
      </c>
      <c r="B681">
        <v>41</v>
      </c>
      <c r="C681">
        <v>535.70000000000005</v>
      </c>
      <c r="E681" s="13">
        <f t="shared" si="211"/>
        <v>535.70000000000005</v>
      </c>
      <c r="F681" s="13">
        <v>535.70000000000005</v>
      </c>
      <c r="G681" s="13">
        <f t="shared" si="212"/>
        <v>0</v>
      </c>
      <c r="H681" s="14">
        <v>1745</v>
      </c>
      <c r="I681" s="15">
        <v>307.77999999999997</v>
      </c>
      <c r="J681" s="13">
        <v>307.77999999999997</v>
      </c>
      <c r="K681" s="13">
        <v>0</v>
      </c>
      <c r="L681" s="13">
        <v>1521</v>
      </c>
      <c r="Q681" s="5">
        <f>SUMIFS(Coin!E:E,Coin!C:C,B681,Coin!D:D,A681)</f>
        <v>0</v>
      </c>
    </row>
    <row r="682" spans="1:21" x14ac:dyDescent="0.25">
      <c r="A682" s="1">
        <f t="shared" si="213"/>
        <v>42924</v>
      </c>
      <c r="B682">
        <v>43</v>
      </c>
      <c r="C682">
        <v>857.3</v>
      </c>
      <c r="E682" s="13">
        <f t="shared" si="211"/>
        <v>857.3</v>
      </c>
      <c r="F682" s="13">
        <v>857.3</v>
      </c>
      <c r="G682" s="13">
        <f t="shared" si="212"/>
        <v>0</v>
      </c>
      <c r="H682" s="14">
        <v>1746</v>
      </c>
      <c r="I682" s="15">
        <v>534.54999999999995</v>
      </c>
      <c r="J682" s="13">
        <v>534.54999999999995</v>
      </c>
      <c r="K682" s="13">
        <v>0</v>
      </c>
      <c r="L682" s="13">
        <v>1523</v>
      </c>
      <c r="Q682" s="5">
        <f>SUMIFS(Coin!E:E,Coin!C:C,B682,Coin!D:D,A682)</f>
        <v>0</v>
      </c>
    </row>
    <row r="683" spans="1:21" x14ac:dyDescent="0.25">
      <c r="A683" s="1">
        <f t="shared" si="213"/>
        <v>42924</v>
      </c>
      <c r="B683">
        <v>44</v>
      </c>
      <c r="C683">
        <v>357.45</v>
      </c>
      <c r="E683" s="13">
        <f t="shared" si="211"/>
        <v>357.45</v>
      </c>
      <c r="F683" s="13">
        <v>357.45</v>
      </c>
      <c r="G683" s="13">
        <f t="shared" si="212"/>
        <v>0</v>
      </c>
      <c r="H683" s="14"/>
      <c r="I683" s="15">
        <v>716.2</v>
      </c>
      <c r="J683" s="13">
        <v>716.2</v>
      </c>
      <c r="K683" s="13">
        <v>0</v>
      </c>
      <c r="L683" s="13">
        <v>1522</v>
      </c>
      <c r="M683" s="15">
        <v>25.9</v>
      </c>
      <c r="N683" s="13">
        <v>25.9</v>
      </c>
      <c r="O683" s="13">
        <v>0</v>
      </c>
      <c r="P683" s="13">
        <v>80</v>
      </c>
      <c r="Q683" s="5">
        <f>SUMIFS(Coin!E:E,Coin!C:C,B683,Coin!D:D,A683)</f>
        <v>0</v>
      </c>
    </row>
    <row r="684" spans="1:21" x14ac:dyDescent="0.25">
      <c r="A684" s="1">
        <f t="shared" si="213"/>
        <v>42924</v>
      </c>
      <c r="B684">
        <v>103</v>
      </c>
      <c r="C684">
        <v>903.6</v>
      </c>
      <c r="E684" s="13">
        <f t="shared" si="211"/>
        <v>851.6</v>
      </c>
      <c r="F684" s="13">
        <v>851.6</v>
      </c>
      <c r="G684" s="13">
        <f t="shared" si="212"/>
        <v>0</v>
      </c>
      <c r="H684" s="14">
        <v>1737</v>
      </c>
      <c r="I684" s="15">
        <v>1072.45</v>
      </c>
      <c r="J684" s="13">
        <v>1072.45</v>
      </c>
      <c r="K684" s="13">
        <v>0</v>
      </c>
      <c r="L684" s="13">
        <v>1524</v>
      </c>
      <c r="Q684" s="15">
        <v>50</v>
      </c>
      <c r="R684" s="13">
        <v>50</v>
      </c>
      <c r="S684" s="13">
        <v>0</v>
      </c>
      <c r="T684" s="19">
        <v>1736</v>
      </c>
      <c r="U684" s="21">
        <v>-2</v>
      </c>
    </row>
    <row r="685" spans="1:21" x14ac:dyDescent="0.25">
      <c r="A685" s="1">
        <f t="shared" si="213"/>
        <v>42924</v>
      </c>
      <c r="B685">
        <v>201</v>
      </c>
      <c r="C685">
        <v>999.2</v>
      </c>
      <c r="E685" s="13">
        <f t="shared" si="211"/>
        <v>999.2</v>
      </c>
      <c r="F685" s="13">
        <v>999.2</v>
      </c>
      <c r="G685" s="13">
        <f t="shared" si="212"/>
        <v>0</v>
      </c>
      <c r="H685" s="14">
        <v>1749</v>
      </c>
      <c r="I685" s="15">
        <v>534.6</v>
      </c>
      <c r="J685" s="13">
        <v>534.6</v>
      </c>
      <c r="K685" s="13">
        <v>0</v>
      </c>
      <c r="L685" s="13">
        <v>1534</v>
      </c>
      <c r="Q685" s="5">
        <f>SUMIFS(Coin!E:E,Coin!C:C,B685,Coin!D:D,A685)</f>
        <v>0</v>
      </c>
    </row>
    <row r="686" spans="1:21" x14ac:dyDescent="0.25">
      <c r="A686" s="1">
        <f t="shared" ref="A686:A692" si="214">DATE(2017,7,9)</f>
        <v>42925</v>
      </c>
      <c r="B686">
        <v>35</v>
      </c>
      <c r="C686">
        <v>580.54999999999995</v>
      </c>
      <c r="E686" s="13">
        <f t="shared" si="211"/>
        <v>580</v>
      </c>
      <c r="F686" s="13">
        <v>580</v>
      </c>
      <c r="G686" s="13">
        <f t="shared" si="212"/>
        <v>0</v>
      </c>
      <c r="H686" s="14">
        <v>1724</v>
      </c>
      <c r="I686" s="15">
        <v>405.65</v>
      </c>
      <c r="J686" s="13">
        <v>405.65</v>
      </c>
      <c r="K686" s="13">
        <v>0</v>
      </c>
      <c r="L686" s="13">
        <v>1520</v>
      </c>
      <c r="Q686" s="15">
        <v>0.55000000000000004</v>
      </c>
      <c r="R686" s="13">
        <v>0.55000000000000004</v>
      </c>
      <c r="S686" s="13">
        <v>0</v>
      </c>
      <c r="T686" s="19">
        <v>1740</v>
      </c>
    </row>
    <row r="687" spans="1:21" x14ac:dyDescent="0.25">
      <c r="A687" s="1">
        <f t="shared" si="214"/>
        <v>42925</v>
      </c>
      <c r="B687">
        <v>37</v>
      </c>
      <c r="C687">
        <v>599.95000000000005</v>
      </c>
      <c r="E687" s="13">
        <f t="shared" si="211"/>
        <v>599.95000000000005</v>
      </c>
      <c r="F687" s="13">
        <v>599.95000000000005</v>
      </c>
      <c r="G687" s="13">
        <f t="shared" si="212"/>
        <v>0</v>
      </c>
      <c r="H687" s="14">
        <v>1753</v>
      </c>
      <c r="I687" s="15">
        <v>379.84</v>
      </c>
      <c r="J687" s="13">
        <v>379.84</v>
      </c>
      <c r="K687" s="13">
        <v>0</v>
      </c>
      <c r="L687" s="13">
        <v>1531</v>
      </c>
      <c r="Q687" s="5">
        <f>SUMIFS(Coin!E:E,Coin!C:C,B687,Coin!D:D,A687)</f>
        <v>0</v>
      </c>
    </row>
    <row r="688" spans="1:21" x14ac:dyDescent="0.25">
      <c r="A688" s="1">
        <f t="shared" si="214"/>
        <v>42925</v>
      </c>
      <c r="B688">
        <v>41</v>
      </c>
      <c r="C688">
        <v>504.55</v>
      </c>
      <c r="E688" s="13">
        <f t="shared" si="211"/>
        <v>504.55</v>
      </c>
      <c r="F688" s="13">
        <v>504.55</v>
      </c>
      <c r="G688" s="13">
        <f t="shared" si="212"/>
        <v>0</v>
      </c>
      <c r="H688" s="14">
        <v>1744</v>
      </c>
      <c r="I688" s="15">
        <v>204.84</v>
      </c>
      <c r="J688" s="13">
        <v>204.84</v>
      </c>
      <c r="K688" s="13">
        <v>0</v>
      </c>
      <c r="L688" s="13">
        <v>1518</v>
      </c>
      <c r="Q688" s="5">
        <f>SUMIFS(Coin!E:E,Coin!C:C,B688,Coin!D:D,A688)</f>
        <v>0</v>
      </c>
    </row>
    <row r="689" spans="1:21" x14ac:dyDescent="0.25">
      <c r="A689" s="1">
        <f t="shared" si="214"/>
        <v>42925</v>
      </c>
      <c r="B689">
        <v>43</v>
      </c>
      <c r="C689">
        <v>735.55</v>
      </c>
      <c r="E689" s="13">
        <f t="shared" si="211"/>
        <v>735.55</v>
      </c>
      <c r="F689" s="13">
        <v>735.55</v>
      </c>
      <c r="G689" s="13">
        <f t="shared" si="212"/>
        <v>0</v>
      </c>
      <c r="H689" s="14">
        <v>1748</v>
      </c>
      <c r="I689" s="15">
        <v>184.85</v>
      </c>
      <c r="J689" s="13">
        <v>184.85</v>
      </c>
      <c r="K689" s="13">
        <v>0</v>
      </c>
      <c r="L689" s="13">
        <v>1516</v>
      </c>
      <c r="Q689" s="5">
        <f>SUMIFS(Coin!E:E,Coin!C:C,B689,Coin!D:D,A689)</f>
        <v>0</v>
      </c>
    </row>
    <row r="690" spans="1:21" x14ac:dyDescent="0.25">
      <c r="A690" s="1">
        <f t="shared" si="214"/>
        <v>42925</v>
      </c>
      <c r="B690">
        <v>44</v>
      </c>
      <c r="C690">
        <v>193.75</v>
      </c>
      <c r="D690">
        <v>-193.75</v>
      </c>
      <c r="E690">
        <f t="shared" si="211"/>
        <v>0</v>
      </c>
      <c r="I690" s="15">
        <v>292.7</v>
      </c>
      <c r="J690" s="13">
        <v>292.7</v>
      </c>
      <c r="K690" s="13">
        <v>0</v>
      </c>
      <c r="L690" s="13">
        <v>1527</v>
      </c>
      <c r="Q690" s="5">
        <f>SUMIFS(Coin!E:E,Coin!C:C,B690,Coin!D:D,A690)</f>
        <v>0</v>
      </c>
    </row>
    <row r="691" spans="1:21" x14ac:dyDescent="0.25">
      <c r="A691" s="1">
        <f t="shared" si="214"/>
        <v>42925</v>
      </c>
      <c r="B691">
        <v>103</v>
      </c>
      <c r="C691">
        <v>527.95000000000005</v>
      </c>
      <c r="E691" s="13">
        <f t="shared" si="211"/>
        <v>527.95000000000005</v>
      </c>
      <c r="F691" s="13">
        <v>527.95000000000005</v>
      </c>
      <c r="G691" s="13">
        <v>0</v>
      </c>
      <c r="H691" s="14"/>
      <c r="I691" s="15">
        <v>525.45000000000005</v>
      </c>
      <c r="J691" s="13">
        <v>525.45000000000005</v>
      </c>
      <c r="K691" s="13">
        <v>0</v>
      </c>
      <c r="L691" s="13">
        <v>1519</v>
      </c>
      <c r="Q691" s="5">
        <f>SUMIFS(Coin!E:E,Coin!C:C,B691,Coin!D:D,A691)</f>
        <v>0</v>
      </c>
    </row>
    <row r="692" spans="1:21" x14ac:dyDescent="0.25">
      <c r="A692" s="1">
        <f t="shared" si="214"/>
        <v>42925</v>
      </c>
      <c r="B692">
        <v>201</v>
      </c>
      <c r="C692">
        <v>264.8</v>
      </c>
      <c r="E692" s="13">
        <f t="shared" si="211"/>
        <v>262.7</v>
      </c>
      <c r="F692" s="13">
        <v>262.7</v>
      </c>
      <c r="G692" s="13">
        <f>E692-F692</f>
        <v>0</v>
      </c>
      <c r="H692" s="14">
        <v>1751</v>
      </c>
      <c r="I692" s="15">
        <v>174.8</v>
      </c>
      <c r="J692" s="13">
        <v>174.8</v>
      </c>
      <c r="K692" s="13">
        <v>0</v>
      </c>
      <c r="L692" s="13">
        <v>1532</v>
      </c>
      <c r="Q692" s="5">
        <v>2.1</v>
      </c>
    </row>
    <row r="693" spans="1:21" x14ac:dyDescent="0.25">
      <c r="A693" s="1">
        <f t="shared" ref="A693:A699" si="215">DATE(2017,7,10)</f>
        <v>42926</v>
      </c>
      <c r="B693">
        <v>35</v>
      </c>
      <c r="C693">
        <v>559.65</v>
      </c>
      <c r="E693" s="13">
        <f t="shared" ref="E693:E699" si="216">C693+D693-Q693+U693</f>
        <v>545</v>
      </c>
      <c r="F693" s="13">
        <v>545</v>
      </c>
      <c r="G693" s="13">
        <f>E693-F693</f>
        <v>0</v>
      </c>
      <c r="H693" s="14">
        <v>1738</v>
      </c>
      <c r="I693" s="15">
        <v>714.51</v>
      </c>
      <c r="J693" s="13">
        <v>714.51</v>
      </c>
      <c r="K693" s="13">
        <v>0</v>
      </c>
      <c r="L693" s="13">
        <v>1538</v>
      </c>
      <c r="Q693" s="15">
        <v>14.65</v>
      </c>
      <c r="R693" s="13">
        <v>14.65</v>
      </c>
      <c r="S693" s="13">
        <v>0</v>
      </c>
      <c r="T693" s="19">
        <v>1756</v>
      </c>
    </row>
    <row r="694" spans="1:21" x14ac:dyDescent="0.25">
      <c r="A694" s="1">
        <f t="shared" si="215"/>
        <v>42926</v>
      </c>
      <c r="B694">
        <v>37</v>
      </c>
      <c r="C694">
        <v>254.9</v>
      </c>
      <c r="E694" s="13">
        <f t="shared" si="216"/>
        <v>254.9</v>
      </c>
      <c r="F694" s="13">
        <v>254.9</v>
      </c>
      <c r="G694" s="13">
        <f>E694-F694</f>
        <v>0</v>
      </c>
      <c r="H694" s="14">
        <v>1757</v>
      </c>
      <c r="I694" s="15">
        <v>454.8</v>
      </c>
      <c r="J694" s="13">
        <v>454.8</v>
      </c>
      <c r="K694" s="13">
        <v>0</v>
      </c>
      <c r="L694" s="13">
        <v>1543</v>
      </c>
      <c r="Q694" s="5">
        <f>SUMIFS(Coin!E:E,Coin!C:C,B694,Coin!D:D,A694)</f>
        <v>0</v>
      </c>
    </row>
    <row r="695" spans="1:21" x14ac:dyDescent="0.25">
      <c r="A695" s="1">
        <f t="shared" si="215"/>
        <v>42926</v>
      </c>
      <c r="B695">
        <v>41</v>
      </c>
      <c r="C695">
        <v>362.7</v>
      </c>
      <c r="E695" s="13">
        <f t="shared" si="216"/>
        <v>362.7</v>
      </c>
      <c r="F695" s="13">
        <v>362.7</v>
      </c>
      <c r="G695" s="13">
        <f>E695-F695</f>
        <v>0</v>
      </c>
      <c r="H695" s="14">
        <v>1758</v>
      </c>
      <c r="I695" s="15">
        <v>189.89</v>
      </c>
      <c r="J695" s="13">
        <v>189.89</v>
      </c>
      <c r="K695" s="13">
        <v>0</v>
      </c>
      <c r="L695" s="13">
        <v>1541</v>
      </c>
      <c r="Q695" s="5">
        <f>SUMIFS(Coin!E:E,Coin!C:C,B695,Coin!D:D,A695)</f>
        <v>0</v>
      </c>
    </row>
    <row r="696" spans="1:21" x14ac:dyDescent="0.25">
      <c r="A696" s="1">
        <f t="shared" si="215"/>
        <v>42926</v>
      </c>
      <c r="B696">
        <v>43</v>
      </c>
      <c r="C696">
        <v>494.75</v>
      </c>
      <c r="E696" s="13">
        <f t="shared" si="216"/>
        <v>494.75</v>
      </c>
      <c r="F696" s="13">
        <v>494.75</v>
      </c>
      <c r="G696" s="13">
        <v>0</v>
      </c>
      <c r="H696" s="14"/>
      <c r="I696" s="15">
        <v>294.85000000000002</v>
      </c>
      <c r="J696" s="13">
        <v>294.85000000000002</v>
      </c>
      <c r="K696" s="13">
        <v>0</v>
      </c>
      <c r="L696" s="13">
        <v>1537</v>
      </c>
      <c r="Q696" s="5">
        <f>SUMIFS(Coin!E:E,Coin!C:C,B696,Coin!D:D,A696)</f>
        <v>0</v>
      </c>
    </row>
    <row r="697" spans="1:21" x14ac:dyDescent="0.25">
      <c r="A697" s="1">
        <f t="shared" si="215"/>
        <v>42926</v>
      </c>
      <c r="B697">
        <v>44</v>
      </c>
      <c r="C697">
        <v>238.8</v>
      </c>
      <c r="E697" s="13">
        <f t="shared" si="216"/>
        <v>238.8</v>
      </c>
      <c r="F697" s="13">
        <v>238.8</v>
      </c>
      <c r="G697" s="13">
        <f>E697-F697</f>
        <v>0</v>
      </c>
      <c r="H697" s="14">
        <v>1774</v>
      </c>
      <c r="I697" s="15">
        <v>335.46</v>
      </c>
      <c r="J697" s="13">
        <v>335.46</v>
      </c>
      <c r="K697" s="13">
        <v>0</v>
      </c>
      <c r="L697" s="13">
        <v>1540</v>
      </c>
      <c r="M697" s="15">
        <v>39.979999999999997</v>
      </c>
      <c r="N697" s="13">
        <v>39.979999999999997</v>
      </c>
      <c r="O697" s="13">
        <v>0</v>
      </c>
      <c r="P697" s="13">
        <v>81</v>
      </c>
      <c r="Q697" s="5">
        <f>SUMIFS(Coin!E:E,Coin!C:C,B697,Coin!D:D,A697)</f>
        <v>0</v>
      </c>
    </row>
    <row r="698" spans="1:21" x14ac:dyDescent="0.25">
      <c r="A698" s="1">
        <f t="shared" si="215"/>
        <v>42926</v>
      </c>
      <c r="B698">
        <v>103</v>
      </c>
      <c r="C698">
        <v>823.9</v>
      </c>
      <c r="E698" s="13">
        <f t="shared" si="216"/>
        <v>823.9</v>
      </c>
      <c r="F698" s="13">
        <v>823.9</v>
      </c>
      <c r="G698" s="13"/>
      <c r="H698" s="14"/>
      <c r="I698" s="15">
        <v>725.25</v>
      </c>
      <c r="J698" s="13">
        <v>725.25</v>
      </c>
      <c r="K698" s="13">
        <v>0</v>
      </c>
      <c r="L698" s="13">
        <v>1539</v>
      </c>
      <c r="Q698" s="5">
        <f>SUMIFS(Coin!E:E,Coin!C:C,B698,Coin!D:D,A698)</f>
        <v>0</v>
      </c>
    </row>
    <row r="699" spans="1:21" x14ac:dyDescent="0.25">
      <c r="A699" s="1">
        <f t="shared" si="215"/>
        <v>42926</v>
      </c>
      <c r="B699">
        <v>201</v>
      </c>
      <c r="C699">
        <v>529.35</v>
      </c>
      <c r="E699" s="13">
        <f t="shared" si="216"/>
        <v>529.35</v>
      </c>
      <c r="F699" s="13">
        <v>529.35</v>
      </c>
      <c r="G699" s="13">
        <f t="shared" ref="G699:G704" si="217">E699-F699</f>
        <v>0</v>
      </c>
      <c r="H699" s="14">
        <v>1760</v>
      </c>
      <c r="I699" s="15">
        <v>232.9</v>
      </c>
      <c r="J699" s="13">
        <v>232.9</v>
      </c>
      <c r="K699" s="13">
        <v>0</v>
      </c>
      <c r="L699" s="13">
        <v>1542</v>
      </c>
      <c r="Q699" s="5">
        <f>SUMIFS(Coin!E:E,Coin!C:C,B699,Coin!D:D,A699)</f>
        <v>0</v>
      </c>
    </row>
    <row r="700" spans="1:21" x14ac:dyDescent="0.25">
      <c r="A700" s="1">
        <f t="shared" ref="A700:A706" si="218">DATE(2017,7,11)</f>
        <v>42927</v>
      </c>
      <c r="B700">
        <v>35</v>
      </c>
      <c r="C700">
        <v>830.55</v>
      </c>
      <c r="E700" s="13">
        <f t="shared" ref="E700:E706" si="219">C700+D700-Q700+U700</f>
        <v>820</v>
      </c>
      <c r="F700" s="13">
        <v>820</v>
      </c>
      <c r="G700" s="13">
        <f t="shared" si="217"/>
        <v>0</v>
      </c>
      <c r="H700" s="14">
        <v>1755</v>
      </c>
      <c r="I700" s="15">
        <v>604.97</v>
      </c>
      <c r="J700" s="13">
        <v>604.97</v>
      </c>
      <c r="K700" s="13">
        <v>0</v>
      </c>
      <c r="L700" s="13">
        <v>1544</v>
      </c>
      <c r="Q700" s="15">
        <v>10.55</v>
      </c>
      <c r="R700" s="13">
        <v>10.55</v>
      </c>
      <c r="S700" s="13">
        <v>0</v>
      </c>
      <c r="T700" s="19">
        <v>1762</v>
      </c>
    </row>
    <row r="701" spans="1:21" x14ac:dyDescent="0.25">
      <c r="A701" s="1">
        <f t="shared" si="218"/>
        <v>42927</v>
      </c>
      <c r="B701">
        <v>37</v>
      </c>
      <c r="C701">
        <v>469.95</v>
      </c>
      <c r="E701" s="13">
        <f t="shared" si="219"/>
        <v>471.95</v>
      </c>
      <c r="F701" s="13">
        <v>471.95</v>
      </c>
      <c r="G701" s="13">
        <f t="shared" si="217"/>
        <v>0</v>
      </c>
      <c r="H701" s="14">
        <v>1763</v>
      </c>
      <c r="I701" s="15">
        <v>704.65</v>
      </c>
      <c r="J701" s="13">
        <v>704.65</v>
      </c>
      <c r="K701" s="13">
        <v>0</v>
      </c>
      <c r="L701" s="13">
        <v>1550</v>
      </c>
      <c r="Q701" s="5">
        <f>SUMIFS(Coin!E:E,Coin!C:C,B701,Coin!D:D,A701)</f>
        <v>0</v>
      </c>
      <c r="U701" s="21">
        <v>2</v>
      </c>
    </row>
    <row r="702" spans="1:21" x14ac:dyDescent="0.25">
      <c r="A702" s="1">
        <f t="shared" si="218"/>
        <v>42927</v>
      </c>
      <c r="B702">
        <v>41</v>
      </c>
      <c r="C702">
        <v>473</v>
      </c>
      <c r="E702" s="13">
        <f t="shared" si="219"/>
        <v>473</v>
      </c>
      <c r="F702" s="13">
        <v>473</v>
      </c>
      <c r="G702" s="13">
        <f t="shared" si="217"/>
        <v>0</v>
      </c>
      <c r="H702" s="14">
        <v>1767</v>
      </c>
      <c r="I702" s="15">
        <v>414.75</v>
      </c>
      <c r="J702" s="13">
        <v>414.75</v>
      </c>
      <c r="K702" s="13">
        <v>0</v>
      </c>
      <c r="L702" s="13">
        <v>1548</v>
      </c>
      <c r="Q702" s="5">
        <f>SUMIFS(Coin!E:E,Coin!C:C,B702,Coin!D:D,A702)</f>
        <v>0</v>
      </c>
    </row>
    <row r="703" spans="1:21" x14ac:dyDescent="0.25">
      <c r="A703" s="1">
        <f t="shared" si="218"/>
        <v>42927</v>
      </c>
      <c r="B703">
        <v>43</v>
      </c>
      <c r="C703">
        <v>1324</v>
      </c>
      <c r="E703" s="13">
        <f t="shared" si="219"/>
        <v>1324</v>
      </c>
      <c r="F703" s="13">
        <v>1324</v>
      </c>
      <c r="G703" s="13">
        <f t="shared" si="217"/>
        <v>0</v>
      </c>
      <c r="H703" s="14">
        <v>1764</v>
      </c>
      <c r="I703" s="15">
        <v>304.75</v>
      </c>
      <c r="J703" s="13">
        <v>304.75</v>
      </c>
      <c r="K703" s="13">
        <v>0</v>
      </c>
      <c r="L703" s="13">
        <v>1547</v>
      </c>
      <c r="Q703" s="5">
        <f>SUMIFS(Coin!E:E,Coin!C:C,B703,Coin!D:D,A703)</f>
        <v>0</v>
      </c>
    </row>
    <row r="704" spans="1:21" x14ac:dyDescent="0.25">
      <c r="A704" s="1">
        <f t="shared" si="218"/>
        <v>42927</v>
      </c>
      <c r="B704">
        <v>44</v>
      </c>
      <c r="C704">
        <v>315.8</v>
      </c>
      <c r="E704" s="13">
        <f t="shared" si="219"/>
        <v>310.8</v>
      </c>
      <c r="F704" s="13">
        <v>310.8</v>
      </c>
      <c r="G704" s="13">
        <f t="shared" si="217"/>
        <v>0</v>
      </c>
      <c r="H704" s="14">
        <v>1775</v>
      </c>
      <c r="I704" s="15">
        <v>292.58</v>
      </c>
      <c r="J704" s="13">
        <v>292.58</v>
      </c>
      <c r="K704" s="13">
        <v>0</v>
      </c>
      <c r="L704" s="13">
        <v>1545</v>
      </c>
      <c r="M704" s="15">
        <v>14.95</v>
      </c>
      <c r="N704" s="13">
        <v>14.95</v>
      </c>
      <c r="O704" s="13">
        <v>0</v>
      </c>
      <c r="P704" s="13">
        <v>82</v>
      </c>
      <c r="Q704" s="5">
        <f>SUMIFS(Coin!E:E,Coin!C:C,B704,Coin!D:D,A704)</f>
        <v>0</v>
      </c>
      <c r="U704" s="21">
        <v>-5</v>
      </c>
    </row>
    <row r="705" spans="1:21" x14ac:dyDescent="0.25">
      <c r="A705" s="1">
        <f t="shared" si="218"/>
        <v>42927</v>
      </c>
      <c r="B705">
        <v>103</v>
      </c>
      <c r="C705">
        <v>1660.75</v>
      </c>
      <c r="E705" s="13">
        <f t="shared" si="219"/>
        <v>1418.15</v>
      </c>
      <c r="F705" s="13">
        <v>1418.15</v>
      </c>
      <c r="G705" s="13">
        <v>0</v>
      </c>
      <c r="H705" s="14"/>
      <c r="I705" s="15">
        <v>1074.3900000000001</v>
      </c>
      <c r="J705" s="13">
        <v>1074.3900000000001</v>
      </c>
      <c r="K705" s="13">
        <v>0</v>
      </c>
      <c r="L705" s="13">
        <v>1546</v>
      </c>
      <c r="Q705" s="15">
        <v>242.6</v>
      </c>
      <c r="R705" s="13">
        <v>242.6</v>
      </c>
      <c r="S705" s="13">
        <v>0</v>
      </c>
      <c r="T705" s="19">
        <v>1759</v>
      </c>
    </row>
    <row r="706" spans="1:21" x14ac:dyDescent="0.25">
      <c r="A706" s="1">
        <f t="shared" si="218"/>
        <v>42927</v>
      </c>
      <c r="B706">
        <v>201</v>
      </c>
      <c r="C706">
        <v>904.95</v>
      </c>
      <c r="E706" s="13">
        <f t="shared" si="219"/>
        <v>904.95</v>
      </c>
      <c r="F706" s="13">
        <v>904.95</v>
      </c>
      <c r="G706" s="13">
        <f t="shared" ref="G706:G712" si="220">E706-F706</f>
        <v>0</v>
      </c>
      <c r="H706" s="14">
        <v>1766</v>
      </c>
      <c r="I706" s="15">
        <v>619.9</v>
      </c>
      <c r="J706" s="13">
        <v>619.9</v>
      </c>
      <c r="K706" s="13">
        <v>0</v>
      </c>
      <c r="L706" s="13">
        <v>1549</v>
      </c>
      <c r="Q706" s="5">
        <f>SUMIFS(Coin!E:E,Coin!C:C,B706,Coin!D:D,A706)</f>
        <v>0</v>
      </c>
    </row>
    <row r="707" spans="1:21" x14ac:dyDescent="0.25">
      <c r="A707" s="1">
        <f t="shared" ref="A707:A713" si="221">DATE(2017,7,12)</f>
        <v>42928</v>
      </c>
      <c r="B707">
        <v>35</v>
      </c>
      <c r="C707">
        <v>1017.15</v>
      </c>
      <c r="E707" s="13">
        <f t="shared" ref="E707:E713" si="222">C707+D707-Q707+U707</f>
        <v>1015</v>
      </c>
      <c r="F707" s="13">
        <v>1015</v>
      </c>
      <c r="G707" s="13">
        <f t="shared" si="220"/>
        <v>0</v>
      </c>
      <c r="H707" s="14">
        <v>1761</v>
      </c>
      <c r="I707" s="15">
        <v>805.44</v>
      </c>
      <c r="J707" s="13">
        <v>805.44</v>
      </c>
      <c r="K707" s="13">
        <v>0</v>
      </c>
      <c r="L707" s="13">
        <v>1553</v>
      </c>
      <c r="Q707" s="15">
        <v>2.15</v>
      </c>
      <c r="R707" s="13">
        <v>2.15</v>
      </c>
      <c r="S707" s="13">
        <v>0</v>
      </c>
      <c r="T707" s="19">
        <v>1768</v>
      </c>
    </row>
    <row r="708" spans="1:21" x14ac:dyDescent="0.25">
      <c r="A708" s="1">
        <f t="shared" si="221"/>
        <v>42928</v>
      </c>
      <c r="B708">
        <v>37</v>
      </c>
      <c r="C708">
        <v>489.8</v>
      </c>
      <c r="E708" s="13">
        <f t="shared" si="222"/>
        <v>487.8</v>
      </c>
      <c r="F708" s="13">
        <v>487.8</v>
      </c>
      <c r="G708" s="13">
        <f t="shared" si="220"/>
        <v>0</v>
      </c>
      <c r="H708" s="14">
        <v>1769</v>
      </c>
      <c r="I708" s="15">
        <v>859.5</v>
      </c>
      <c r="J708" s="13">
        <v>859.5</v>
      </c>
      <c r="K708" s="13">
        <v>0</v>
      </c>
      <c r="L708" s="13">
        <v>1556</v>
      </c>
      <c r="Q708" s="5">
        <v>2</v>
      </c>
    </row>
    <row r="709" spans="1:21" x14ac:dyDescent="0.25">
      <c r="A709" s="1">
        <f t="shared" si="221"/>
        <v>42928</v>
      </c>
      <c r="B709">
        <v>41</v>
      </c>
      <c r="C709">
        <v>812.6</v>
      </c>
      <c r="E709" s="13">
        <f t="shared" si="222"/>
        <v>812.6</v>
      </c>
      <c r="F709" s="13">
        <v>812.6</v>
      </c>
      <c r="G709" s="13">
        <f t="shared" si="220"/>
        <v>0</v>
      </c>
      <c r="H709" s="14">
        <v>1773</v>
      </c>
      <c r="I709" s="15">
        <v>694.44</v>
      </c>
      <c r="J709" s="13">
        <v>694.44</v>
      </c>
      <c r="K709" s="13">
        <v>0</v>
      </c>
      <c r="L709" s="13">
        <v>1554</v>
      </c>
      <c r="Q709" s="5">
        <f>SUMIFS(Coin!E:E,Coin!C:C,B709,Coin!D:D,A709)</f>
        <v>0</v>
      </c>
    </row>
    <row r="710" spans="1:21" x14ac:dyDescent="0.25">
      <c r="A710" s="1">
        <f t="shared" si="221"/>
        <v>42928</v>
      </c>
      <c r="B710">
        <v>43</v>
      </c>
      <c r="C710">
        <v>1317.25</v>
      </c>
      <c r="E710" s="13">
        <f t="shared" si="222"/>
        <v>1317.25</v>
      </c>
      <c r="F710" s="13">
        <v>1317.25</v>
      </c>
      <c r="G710" s="13">
        <f t="shared" si="220"/>
        <v>0</v>
      </c>
      <c r="H710" s="14">
        <v>1770</v>
      </c>
      <c r="I710" s="15">
        <v>702.25</v>
      </c>
      <c r="J710" s="13">
        <v>702.25</v>
      </c>
      <c r="K710" s="13">
        <v>0</v>
      </c>
      <c r="L710" s="13">
        <v>1552</v>
      </c>
      <c r="Q710" s="5">
        <f>SUMIFS(Coin!E:E,Coin!C:C,B710,Coin!D:D,A710)</f>
        <v>0</v>
      </c>
    </row>
    <row r="711" spans="1:21" x14ac:dyDescent="0.25">
      <c r="A711" s="1">
        <f t="shared" si="221"/>
        <v>42928</v>
      </c>
      <c r="B711">
        <v>44</v>
      </c>
      <c r="C711">
        <v>292.95</v>
      </c>
      <c r="E711" s="13">
        <f t="shared" si="222"/>
        <v>292.95</v>
      </c>
      <c r="F711" s="13">
        <v>292.95</v>
      </c>
      <c r="G711" s="13">
        <f t="shared" si="220"/>
        <v>0</v>
      </c>
      <c r="H711" s="14">
        <v>1771</v>
      </c>
      <c r="I711" s="15">
        <v>406.3</v>
      </c>
      <c r="J711" s="13">
        <v>406.3</v>
      </c>
      <c r="K711" s="13">
        <v>0</v>
      </c>
      <c r="L711" s="13">
        <v>1555</v>
      </c>
      <c r="Q711" s="5">
        <f>SUMIFS(Coin!E:E,Coin!C:C,B711,Coin!D:D,A711)</f>
        <v>0</v>
      </c>
    </row>
    <row r="712" spans="1:21" x14ac:dyDescent="0.25">
      <c r="A712" s="1">
        <f t="shared" si="221"/>
        <v>42928</v>
      </c>
      <c r="B712">
        <v>103</v>
      </c>
      <c r="C712">
        <v>1258.1500000000001</v>
      </c>
      <c r="E712" s="13">
        <f t="shared" si="222"/>
        <v>1258.1500000000001</v>
      </c>
      <c r="F712" s="13">
        <v>1258.1500000000001</v>
      </c>
      <c r="G712" s="13">
        <f t="shared" si="220"/>
        <v>0</v>
      </c>
      <c r="H712" s="14"/>
      <c r="I712" s="15">
        <v>1025.23</v>
      </c>
      <c r="J712" s="13">
        <v>1025.23</v>
      </c>
      <c r="K712" s="13">
        <v>0</v>
      </c>
      <c r="L712" s="13">
        <v>1551</v>
      </c>
      <c r="Q712" s="5">
        <f>SUMIFS(Coin!E:E,Coin!C:C,B712,Coin!D:D,A712)</f>
        <v>0</v>
      </c>
    </row>
    <row r="713" spans="1:21" x14ac:dyDescent="0.25">
      <c r="A713" s="1">
        <f t="shared" si="221"/>
        <v>42928</v>
      </c>
      <c r="B713">
        <v>201</v>
      </c>
      <c r="C713">
        <v>794.85</v>
      </c>
      <c r="E713" s="13">
        <f t="shared" si="222"/>
        <v>794.85</v>
      </c>
      <c r="F713" s="13">
        <v>794.85</v>
      </c>
      <c r="G713" s="13">
        <f t="shared" ref="G713:G722" si="223">E713-F713</f>
        <v>0</v>
      </c>
      <c r="H713" s="14">
        <v>1772</v>
      </c>
      <c r="I713" s="15">
        <v>379.88</v>
      </c>
      <c r="J713" s="13">
        <v>379.88</v>
      </c>
      <c r="K713" s="13">
        <v>0</v>
      </c>
      <c r="L713" s="13">
        <v>1557</v>
      </c>
      <c r="Q713" s="5">
        <f>SUMIFS(Coin!E:E,Coin!C:C,B713,Coin!D:D,A713)</f>
        <v>0</v>
      </c>
    </row>
    <row r="714" spans="1:21" x14ac:dyDescent="0.25">
      <c r="A714" s="1">
        <f t="shared" ref="A714:A720" si="224">DATE(2017,7,13)</f>
        <v>42929</v>
      </c>
      <c r="B714">
        <v>35</v>
      </c>
      <c r="C714">
        <v>1967.35</v>
      </c>
      <c r="E714" s="13">
        <f t="shared" ref="E714:E720" si="225">C714+D714-Q714+U714</f>
        <v>1967.35</v>
      </c>
      <c r="F714" s="13">
        <v>1967.35</v>
      </c>
      <c r="G714" s="13">
        <f t="shared" si="223"/>
        <v>0</v>
      </c>
      <c r="H714" s="14">
        <v>1777</v>
      </c>
      <c r="I714" s="15">
        <v>1384.08</v>
      </c>
      <c r="J714" s="13">
        <v>1384.08</v>
      </c>
      <c r="K714" s="13">
        <v>0</v>
      </c>
      <c r="L714" s="13">
        <v>1560</v>
      </c>
      <c r="M714" s="15">
        <v>20</v>
      </c>
      <c r="N714" s="13">
        <v>20</v>
      </c>
      <c r="O714" s="13">
        <v>0</v>
      </c>
      <c r="P714" s="13">
        <v>83</v>
      </c>
      <c r="Q714" s="5">
        <f>SUMIFS(Coin!E:E,Coin!C:C,B714,Coin!D:D,A714)</f>
        <v>0</v>
      </c>
    </row>
    <row r="715" spans="1:21" x14ac:dyDescent="0.25">
      <c r="A715" s="1">
        <f t="shared" si="224"/>
        <v>42929</v>
      </c>
      <c r="B715">
        <v>37</v>
      </c>
      <c r="C715">
        <v>814.35</v>
      </c>
      <c r="E715" s="13">
        <f t="shared" si="225"/>
        <v>814.35</v>
      </c>
      <c r="F715" s="13">
        <v>814.35</v>
      </c>
      <c r="G715" s="13">
        <f t="shared" si="223"/>
        <v>0</v>
      </c>
      <c r="H715" s="14">
        <v>1778</v>
      </c>
      <c r="I715" s="15">
        <v>1183.5999999999999</v>
      </c>
      <c r="J715" s="13">
        <v>1183.5999999999999</v>
      </c>
      <c r="K715" s="13">
        <v>0</v>
      </c>
      <c r="L715" s="13">
        <v>1564</v>
      </c>
      <c r="Q715" s="5">
        <f>SUMIFS(Coin!E:E,Coin!C:C,B715,Coin!D:D,A715)</f>
        <v>0</v>
      </c>
    </row>
    <row r="716" spans="1:21" x14ac:dyDescent="0.25">
      <c r="A716" s="1">
        <f t="shared" si="224"/>
        <v>42929</v>
      </c>
      <c r="B716">
        <v>41</v>
      </c>
      <c r="C716">
        <v>880.75</v>
      </c>
      <c r="E716" s="13">
        <f t="shared" si="225"/>
        <v>880.75</v>
      </c>
      <c r="F716" s="13">
        <v>880.75</v>
      </c>
      <c r="G716" s="13">
        <f t="shared" si="223"/>
        <v>0</v>
      </c>
      <c r="H716" s="14">
        <v>1782</v>
      </c>
      <c r="I716" s="15">
        <v>567.28</v>
      </c>
      <c r="J716" s="13">
        <v>567.28</v>
      </c>
      <c r="K716" s="13">
        <v>0</v>
      </c>
      <c r="L716" s="13">
        <v>1559</v>
      </c>
      <c r="Q716" s="5">
        <f>SUMIFS(Coin!E:E,Coin!C:C,B716,Coin!D:D,A716)</f>
        <v>0</v>
      </c>
    </row>
    <row r="717" spans="1:21" x14ac:dyDescent="0.25">
      <c r="A717" s="1">
        <f t="shared" si="224"/>
        <v>42929</v>
      </c>
      <c r="B717">
        <v>43</v>
      </c>
      <c r="C717">
        <v>1586.85</v>
      </c>
      <c r="E717" s="13">
        <f t="shared" si="225"/>
        <v>1586.85</v>
      </c>
      <c r="F717" s="13">
        <v>1586.85</v>
      </c>
      <c r="G717" s="13">
        <f t="shared" si="223"/>
        <v>0</v>
      </c>
      <c r="H717" s="14">
        <v>1779</v>
      </c>
      <c r="I717" s="15">
        <v>772.53</v>
      </c>
      <c r="J717" s="13">
        <v>772.53</v>
      </c>
      <c r="K717" s="13">
        <v>0</v>
      </c>
      <c r="L717" s="13">
        <v>1562</v>
      </c>
      <c r="Q717" s="5">
        <f>SUMIFS(Coin!E:E,Coin!C:C,B717,Coin!D:D,A717)</f>
        <v>0</v>
      </c>
    </row>
    <row r="718" spans="1:21" x14ac:dyDescent="0.25">
      <c r="A718" s="1">
        <f t="shared" si="224"/>
        <v>42929</v>
      </c>
      <c r="B718">
        <v>44</v>
      </c>
      <c r="C718">
        <v>671.05</v>
      </c>
      <c r="E718" s="13">
        <f t="shared" si="225"/>
        <v>671.65</v>
      </c>
      <c r="F718" s="13">
        <v>671.65</v>
      </c>
      <c r="G718" s="13">
        <f t="shared" si="223"/>
        <v>0</v>
      </c>
      <c r="H718" s="14">
        <v>1780</v>
      </c>
      <c r="I718" s="15">
        <v>509.15</v>
      </c>
      <c r="J718" s="13">
        <v>509.15</v>
      </c>
      <c r="K718" s="13">
        <v>0</v>
      </c>
      <c r="L718" s="13">
        <v>1561</v>
      </c>
      <c r="Q718" s="5">
        <f>SUMIFS(Coin!E:E,Coin!C:C,B718,Coin!D:D,A718)</f>
        <v>0</v>
      </c>
      <c r="U718" s="21">
        <v>0.6</v>
      </c>
    </row>
    <row r="719" spans="1:21" x14ac:dyDescent="0.25">
      <c r="A719" s="1">
        <f t="shared" si="224"/>
        <v>42929</v>
      </c>
      <c r="B719">
        <v>103</v>
      </c>
      <c r="C719">
        <v>1814</v>
      </c>
      <c r="E719" s="13">
        <f t="shared" si="225"/>
        <v>1814</v>
      </c>
      <c r="F719" s="13">
        <v>1814</v>
      </c>
      <c r="G719" s="13">
        <f t="shared" si="223"/>
        <v>0</v>
      </c>
      <c r="H719" s="14"/>
      <c r="I719" s="15">
        <v>1571.67</v>
      </c>
      <c r="J719" s="13">
        <v>1571.67</v>
      </c>
      <c r="K719" s="13">
        <v>0</v>
      </c>
      <c r="L719" s="13">
        <v>1558</v>
      </c>
      <c r="Q719" s="5">
        <f>SUMIFS(Coin!E:E,Coin!C:C,B719,Coin!D:D,A719)</f>
        <v>0</v>
      </c>
    </row>
    <row r="720" spans="1:21" x14ac:dyDescent="0.25">
      <c r="A720" s="1">
        <f t="shared" si="224"/>
        <v>42929</v>
      </c>
      <c r="B720">
        <v>201</v>
      </c>
      <c r="C720">
        <v>1092.8</v>
      </c>
      <c r="E720" s="13">
        <f t="shared" si="225"/>
        <v>1092.8</v>
      </c>
      <c r="F720" s="13">
        <v>1092.8</v>
      </c>
      <c r="G720" s="13">
        <f t="shared" si="223"/>
        <v>0</v>
      </c>
      <c r="H720" s="14">
        <v>1781</v>
      </c>
      <c r="I720" s="15">
        <v>1022.7</v>
      </c>
      <c r="J720" s="13">
        <v>1022.7</v>
      </c>
      <c r="K720" s="13">
        <v>0</v>
      </c>
      <c r="L720" s="13">
        <v>1563</v>
      </c>
      <c r="Q720" s="5">
        <f>SUMIFS(Coin!E:E,Coin!C:C,B720,Coin!D:D,A720)</f>
        <v>0</v>
      </c>
    </row>
    <row r="721" spans="1:21" x14ac:dyDescent="0.25">
      <c r="A721" s="1">
        <f t="shared" ref="A721:A727" si="226">DATE(2017,7,14)</f>
        <v>42930</v>
      </c>
      <c r="B721">
        <v>35</v>
      </c>
      <c r="C721">
        <v>892.25</v>
      </c>
      <c r="E721" s="13">
        <f t="shared" ref="E721:E741" si="227">C721+D721-Q721+U721</f>
        <v>890</v>
      </c>
      <c r="F721" s="13">
        <v>890</v>
      </c>
      <c r="G721" s="13">
        <f t="shared" si="223"/>
        <v>0</v>
      </c>
      <c r="H721" s="14">
        <v>1783</v>
      </c>
      <c r="I721" s="15">
        <v>920.43</v>
      </c>
      <c r="J721" s="13">
        <v>920.43</v>
      </c>
      <c r="K721" s="13">
        <v>0</v>
      </c>
      <c r="L721" s="13">
        <v>1575</v>
      </c>
      <c r="Q721" s="15">
        <v>2.25</v>
      </c>
      <c r="R721" s="13">
        <v>2.25</v>
      </c>
      <c r="S721" s="13">
        <v>0</v>
      </c>
      <c r="T721" s="19">
        <v>1790</v>
      </c>
    </row>
    <row r="722" spans="1:21" x14ac:dyDescent="0.25">
      <c r="A722" s="1">
        <f t="shared" si="226"/>
        <v>42930</v>
      </c>
      <c r="B722">
        <v>37</v>
      </c>
      <c r="C722">
        <v>704.55</v>
      </c>
      <c r="E722" s="13">
        <f t="shared" si="227"/>
        <v>704.55</v>
      </c>
      <c r="F722" s="13">
        <v>704.55</v>
      </c>
      <c r="G722" s="13">
        <f t="shared" si="223"/>
        <v>0</v>
      </c>
      <c r="H722" s="14">
        <v>1785</v>
      </c>
      <c r="I722" s="15">
        <v>968.95</v>
      </c>
      <c r="J722" s="13">
        <v>968.95</v>
      </c>
      <c r="K722" s="13">
        <v>0</v>
      </c>
      <c r="L722" s="13">
        <v>1585</v>
      </c>
      <c r="Q722" s="5">
        <f>SUMIFS(Coin!E:E,Coin!C:C,B722,Coin!D:D,A722)</f>
        <v>0</v>
      </c>
    </row>
    <row r="723" spans="1:21" x14ac:dyDescent="0.25">
      <c r="A723" s="1">
        <f t="shared" si="226"/>
        <v>42930</v>
      </c>
      <c r="B723">
        <v>41</v>
      </c>
      <c r="C723">
        <v>722.35</v>
      </c>
      <c r="E723" s="13">
        <f t="shared" si="227"/>
        <v>722.35</v>
      </c>
      <c r="F723" s="13">
        <v>722.35</v>
      </c>
      <c r="G723" s="13">
        <f t="shared" ref="G723:G741" si="228">E723-F723</f>
        <v>0</v>
      </c>
      <c r="H723" s="14">
        <v>1795</v>
      </c>
      <c r="I723" s="15">
        <v>737.27</v>
      </c>
      <c r="J723" s="13">
        <v>737.27</v>
      </c>
      <c r="K723" s="13">
        <v>0</v>
      </c>
      <c r="L723" s="13">
        <v>1577</v>
      </c>
      <c r="Q723" s="5">
        <f>SUMIFS(Coin!E:E,Coin!C:C,B723,Coin!D:D,A723)</f>
        <v>0</v>
      </c>
    </row>
    <row r="724" spans="1:21" x14ac:dyDescent="0.25">
      <c r="A724" s="1">
        <f t="shared" si="226"/>
        <v>42930</v>
      </c>
      <c r="B724">
        <v>43</v>
      </c>
      <c r="C724">
        <v>1036.05</v>
      </c>
      <c r="E724" s="13">
        <f t="shared" si="227"/>
        <v>1036.05</v>
      </c>
      <c r="F724" s="13">
        <v>1036.05</v>
      </c>
      <c r="G724" s="13">
        <f t="shared" si="228"/>
        <v>0</v>
      </c>
      <c r="H724" s="14">
        <v>1798</v>
      </c>
      <c r="I724" s="15">
        <v>712.54</v>
      </c>
      <c r="J724" s="13">
        <v>712.54</v>
      </c>
      <c r="K724" s="13">
        <v>0</v>
      </c>
      <c r="L724" s="13">
        <v>1578</v>
      </c>
      <c r="Q724" s="5">
        <f>SUMIFS(Coin!E:E,Coin!C:C,B724,Coin!D:D,A724)</f>
        <v>0</v>
      </c>
    </row>
    <row r="725" spans="1:21" x14ac:dyDescent="0.25">
      <c r="A725" s="1">
        <f t="shared" si="226"/>
        <v>42930</v>
      </c>
      <c r="B725">
        <v>44</v>
      </c>
      <c r="C725">
        <v>372.5</v>
      </c>
      <c r="E725" s="13">
        <f t="shared" si="227"/>
        <v>374.5</v>
      </c>
      <c r="F725" s="13">
        <v>374.5</v>
      </c>
      <c r="G725" s="13">
        <f t="shared" si="228"/>
        <v>0</v>
      </c>
      <c r="H725" s="14">
        <v>1802</v>
      </c>
      <c r="I725" s="15">
        <v>260.74</v>
      </c>
      <c r="J725" s="13">
        <v>260.74</v>
      </c>
      <c r="K725" s="13">
        <v>0</v>
      </c>
      <c r="L725" s="13">
        <v>1579</v>
      </c>
      <c r="Q725" s="5">
        <f>SUMIFS(Coin!E:E,Coin!C:C,B725,Coin!D:D,A725)</f>
        <v>0</v>
      </c>
      <c r="U725" s="21">
        <v>2</v>
      </c>
    </row>
    <row r="726" spans="1:21" x14ac:dyDescent="0.25">
      <c r="A726" s="1">
        <f t="shared" si="226"/>
        <v>42930</v>
      </c>
      <c r="B726">
        <v>103</v>
      </c>
      <c r="C726">
        <v>997.35</v>
      </c>
      <c r="E726" s="13">
        <f t="shared" si="227"/>
        <v>945.25</v>
      </c>
      <c r="F726" s="13">
        <v>945.25</v>
      </c>
      <c r="G726" s="13">
        <f t="shared" si="228"/>
        <v>0</v>
      </c>
      <c r="H726" s="14">
        <v>1787</v>
      </c>
      <c r="I726" s="15">
        <v>610.46</v>
      </c>
      <c r="J726" s="13">
        <v>610.46</v>
      </c>
      <c r="K726" s="13">
        <v>0</v>
      </c>
      <c r="L726" s="13">
        <v>1576</v>
      </c>
      <c r="Q726" s="15">
        <v>52</v>
      </c>
      <c r="R726" s="13">
        <v>52</v>
      </c>
      <c r="S726" s="13">
        <v>0</v>
      </c>
      <c r="T726" s="19">
        <v>1786</v>
      </c>
      <c r="U726" s="21">
        <v>-0.1</v>
      </c>
    </row>
    <row r="727" spans="1:21" x14ac:dyDescent="0.25">
      <c r="A727" s="1">
        <f t="shared" si="226"/>
        <v>42930</v>
      </c>
      <c r="B727">
        <v>201</v>
      </c>
      <c r="C727">
        <v>1054.3499999999999</v>
      </c>
      <c r="E727" s="13">
        <f t="shared" si="227"/>
        <v>1052.3499999999999</v>
      </c>
      <c r="F727" s="13">
        <v>1052.3499999999999</v>
      </c>
      <c r="G727" s="13">
        <f t="shared" si="228"/>
        <v>0</v>
      </c>
      <c r="H727" s="14">
        <v>1804</v>
      </c>
      <c r="I727" s="15">
        <v>1249.3800000000001</v>
      </c>
      <c r="J727" s="13">
        <v>1249.3800000000001</v>
      </c>
      <c r="K727" s="13">
        <v>0</v>
      </c>
      <c r="L727" s="13">
        <v>1584</v>
      </c>
      <c r="Q727" s="5">
        <v>2</v>
      </c>
    </row>
    <row r="728" spans="1:21" x14ac:dyDescent="0.25">
      <c r="A728" s="1">
        <f t="shared" ref="A728:A734" si="229">DATE(2017,7,15)</f>
        <v>42931</v>
      </c>
      <c r="B728">
        <v>35</v>
      </c>
      <c r="C728">
        <v>1101.8499999999999</v>
      </c>
      <c r="E728" s="13">
        <f t="shared" si="227"/>
        <v>1090</v>
      </c>
      <c r="F728" s="13">
        <v>1090</v>
      </c>
      <c r="G728" s="13">
        <f t="shared" si="228"/>
        <v>0</v>
      </c>
      <c r="H728" s="14">
        <v>1784</v>
      </c>
      <c r="I728" s="15">
        <v>1019.76</v>
      </c>
      <c r="J728" s="13">
        <v>1019.76</v>
      </c>
      <c r="K728" s="13">
        <v>0</v>
      </c>
      <c r="L728" s="13">
        <v>1570</v>
      </c>
      <c r="Q728" s="15">
        <v>11.85</v>
      </c>
      <c r="R728" s="13">
        <v>11.85</v>
      </c>
      <c r="S728" s="13">
        <v>0</v>
      </c>
      <c r="T728" s="19">
        <v>1789</v>
      </c>
    </row>
    <row r="729" spans="1:21" x14ac:dyDescent="0.25">
      <c r="A729" s="1">
        <f t="shared" si="229"/>
        <v>42931</v>
      </c>
      <c r="B729">
        <v>37</v>
      </c>
      <c r="C729">
        <v>754.55</v>
      </c>
      <c r="E729" s="13">
        <f t="shared" si="227"/>
        <v>703.55</v>
      </c>
      <c r="F729" s="13">
        <v>703.55</v>
      </c>
      <c r="G729" s="13">
        <f t="shared" si="228"/>
        <v>0</v>
      </c>
      <c r="H729" s="14">
        <v>1793</v>
      </c>
      <c r="I729" s="15">
        <v>899.41</v>
      </c>
      <c r="J729" s="13">
        <v>899.41</v>
      </c>
      <c r="K729" s="13">
        <v>0</v>
      </c>
      <c r="L729" s="13">
        <v>1582</v>
      </c>
      <c r="Q729" s="15">
        <v>50</v>
      </c>
      <c r="R729" s="13">
        <v>50</v>
      </c>
      <c r="S729" s="13">
        <v>0</v>
      </c>
      <c r="T729" s="19">
        <v>1792</v>
      </c>
      <c r="U729" s="21">
        <v>-1</v>
      </c>
    </row>
    <row r="730" spans="1:21" x14ac:dyDescent="0.25">
      <c r="A730" s="1">
        <f t="shared" si="229"/>
        <v>42931</v>
      </c>
      <c r="B730">
        <v>41</v>
      </c>
      <c r="C730">
        <v>727.4</v>
      </c>
      <c r="E730" s="13">
        <f t="shared" si="227"/>
        <v>727.4</v>
      </c>
      <c r="F730" s="13">
        <v>727.4</v>
      </c>
      <c r="G730" s="13">
        <f t="shared" si="228"/>
        <v>0</v>
      </c>
      <c r="H730" s="14">
        <v>1797</v>
      </c>
      <c r="I730" s="15">
        <v>682.21</v>
      </c>
      <c r="J730" s="13">
        <v>682.21</v>
      </c>
      <c r="K730" s="13">
        <v>0</v>
      </c>
      <c r="L730" s="13">
        <v>1572</v>
      </c>
      <c r="Q730" s="5">
        <f>SUMIFS(Coin!E:E,Coin!C:C,B730,Coin!D:D,A730)</f>
        <v>0</v>
      </c>
    </row>
    <row r="731" spans="1:21" x14ac:dyDescent="0.25">
      <c r="A731" s="1">
        <f t="shared" si="229"/>
        <v>42931</v>
      </c>
      <c r="B731">
        <v>43</v>
      </c>
      <c r="C731">
        <v>1132.0999999999999</v>
      </c>
      <c r="E731" s="13">
        <f t="shared" si="227"/>
        <v>1132.0999999999999</v>
      </c>
      <c r="F731" s="13">
        <v>1132.0999999999999</v>
      </c>
      <c r="G731" s="13">
        <f t="shared" si="228"/>
        <v>0</v>
      </c>
      <c r="H731" s="14">
        <v>1800</v>
      </c>
      <c r="I731" s="15">
        <v>733.42</v>
      </c>
      <c r="J731" s="13">
        <v>733.42</v>
      </c>
      <c r="K731" s="13">
        <v>0</v>
      </c>
      <c r="L731" s="13">
        <v>1573</v>
      </c>
      <c r="Q731" s="5">
        <f>SUMIFS(Coin!E:E,Coin!C:C,B731,Coin!D:D,A731)</f>
        <v>0</v>
      </c>
    </row>
    <row r="732" spans="1:21" x14ac:dyDescent="0.25">
      <c r="A732" s="1">
        <f t="shared" si="229"/>
        <v>42931</v>
      </c>
      <c r="B732">
        <v>44</v>
      </c>
      <c r="C732">
        <v>279.85000000000002</v>
      </c>
      <c r="E732" s="13">
        <f t="shared" si="227"/>
        <v>279.85000000000002</v>
      </c>
      <c r="F732" s="13">
        <v>279.85000000000002</v>
      </c>
      <c r="G732" s="13">
        <f t="shared" si="228"/>
        <v>0</v>
      </c>
      <c r="H732" s="14">
        <v>1801</v>
      </c>
      <c r="I732" s="15">
        <v>459.88</v>
      </c>
      <c r="J732" s="13">
        <v>459.88</v>
      </c>
      <c r="K732" s="13">
        <v>0</v>
      </c>
      <c r="L732" s="13">
        <v>1574</v>
      </c>
      <c r="Q732" s="5">
        <f>SUMIFS(Coin!E:E,Coin!C:C,B732,Coin!D:D,A732)</f>
        <v>0</v>
      </c>
    </row>
    <row r="733" spans="1:21" x14ac:dyDescent="0.25">
      <c r="A733" s="1">
        <f t="shared" si="229"/>
        <v>42931</v>
      </c>
      <c r="B733">
        <v>103</v>
      </c>
      <c r="C733">
        <v>1177.4000000000001</v>
      </c>
      <c r="E733" s="13">
        <f t="shared" si="227"/>
        <v>1177.3000000000002</v>
      </c>
      <c r="F733" s="13">
        <v>1177.3</v>
      </c>
      <c r="G733" s="13">
        <f t="shared" si="228"/>
        <v>0</v>
      </c>
      <c r="H733" s="14">
        <v>1776</v>
      </c>
      <c r="I733" s="15">
        <v>742.13</v>
      </c>
      <c r="J733" s="13">
        <v>742.13</v>
      </c>
      <c r="K733" s="13">
        <v>0</v>
      </c>
      <c r="L733" s="13">
        <v>1571</v>
      </c>
      <c r="Q733" s="5">
        <f>SUMIFS(Coin!E:E,Coin!C:C,B733,Coin!D:D,A733)</f>
        <v>0</v>
      </c>
      <c r="U733" s="21">
        <v>-0.1</v>
      </c>
    </row>
    <row r="734" spans="1:21" x14ac:dyDescent="0.25">
      <c r="A734" s="1">
        <f t="shared" si="229"/>
        <v>42931</v>
      </c>
      <c r="B734">
        <v>201</v>
      </c>
      <c r="C734">
        <v>907.75</v>
      </c>
      <c r="E734" s="13">
        <f t="shared" si="227"/>
        <v>900</v>
      </c>
      <c r="F734" s="13">
        <v>900</v>
      </c>
      <c r="G734" s="13">
        <f t="shared" si="228"/>
        <v>0</v>
      </c>
      <c r="H734" s="14">
        <v>1805</v>
      </c>
      <c r="I734" s="15">
        <v>714.66</v>
      </c>
      <c r="J734" s="13">
        <v>714.66</v>
      </c>
      <c r="K734" s="13">
        <v>0</v>
      </c>
      <c r="L734" s="13">
        <v>1583</v>
      </c>
      <c r="Q734" s="5">
        <v>7.75</v>
      </c>
    </row>
    <row r="735" spans="1:21" x14ac:dyDescent="0.25">
      <c r="A735" s="1">
        <f t="shared" ref="A735:A741" si="230">DATE(2017,7,16)</f>
        <v>42932</v>
      </c>
      <c r="B735">
        <v>35</v>
      </c>
      <c r="C735">
        <v>736.25</v>
      </c>
      <c r="E735" s="13">
        <f t="shared" si="227"/>
        <v>736.25</v>
      </c>
      <c r="F735" s="13">
        <v>736.25</v>
      </c>
      <c r="G735" s="13">
        <f t="shared" si="228"/>
        <v>0</v>
      </c>
      <c r="H735" s="14">
        <v>1791</v>
      </c>
      <c r="I735" s="15">
        <v>615.39</v>
      </c>
      <c r="J735" s="13">
        <v>615.39</v>
      </c>
      <c r="K735" s="13">
        <v>0</v>
      </c>
      <c r="L735" s="13">
        <v>1567</v>
      </c>
      <c r="Q735" s="5">
        <f>SUMIFS(Coin!E:E,Coin!C:C,B735,Coin!D:D,A735)</f>
        <v>0</v>
      </c>
    </row>
    <row r="736" spans="1:21" x14ac:dyDescent="0.25">
      <c r="A736" s="1">
        <f t="shared" si="230"/>
        <v>42932</v>
      </c>
      <c r="B736">
        <v>37</v>
      </c>
      <c r="C736">
        <v>309.75</v>
      </c>
      <c r="E736" s="13">
        <f t="shared" si="227"/>
        <v>309.75</v>
      </c>
      <c r="F736" s="13">
        <v>309.75</v>
      </c>
      <c r="G736" s="13">
        <f t="shared" si="228"/>
        <v>0</v>
      </c>
      <c r="H736" s="14">
        <v>1794</v>
      </c>
      <c r="I736" s="15">
        <v>809.34</v>
      </c>
      <c r="J736" s="13">
        <v>809.34</v>
      </c>
      <c r="K736" s="13">
        <v>0</v>
      </c>
      <c r="L736" s="13">
        <v>1581</v>
      </c>
      <c r="Q736" s="5">
        <f>SUMIFS(Coin!E:E,Coin!C:C,B736,Coin!D:D,A736)</f>
        <v>0</v>
      </c>
    </row>
    <row r="737" spans="1:22" x14ac:dyDescent="0.25">
      <c r="A737" s="1">
        <f t="shared" si="230"/>
        <v>42932</v>
      </c>
      <c r="B737">
        <v>41</v>
      </c>
      <c r="C737">
        <v>282.7</v>
      </c>
      <c r="E737" s="13">
        <f t="shared" si="227"/>
        <v>282.7</v>
      </c>
      <c r="F737" s="13">
        <v>282.7</v>
      </c>
      <c r="G737" s="13">
        <f t="shared" si="228"/>
        <v>0</v>
      </c>
      <c r="H737" s="14">
        <v>1796</v>
      </c>
      <c r="I737" s="15">
        <v>358.36</v>
      </c>
      <c r="J737" s="13">
        <v>358.36</v>
      </c>
      <c r="K737" s="13">
        <v>0</v>
      </c>
      <c r="L737" s="13">
        <v>1568</v>
      </c>
      <c r="Q737" s="5">
        <f>SUMIFS(Coin!E:E,Coin!C:C,B737,Coin!D:D,A737)</f>
        <v>0</v>
      </c>
    </row>
    <row r="738" spans="1:22" x14ac:dyDescent="0.25">
      <c r="A738" s="1">
        <f t="shared" si="230"/>
        <v>42932</v>
      </c>
      <c r="B738">
        <v>43</v>
      </c>
      <c r="C738">
        <v>414.45</v>
      </c>
      <c r="E738" s="13">
        <f t="shared" si="227"/>
        <v>414.45</v>
      </c>
      <c r="F738" s="13">
        <v>414.45</v>
      </c>
      <c r="G738" s="13">
        <f t="shared" si="228"/>
        <v>0</v>
      </c>
      <c r="H738" s="14">
        <v>1799</v>
      </c>
      <c r="I738" s="15">
        <v>274.68</v>
      </c>
      <c r="J738" s="13">
        <v>274.68</v>
      </c>
      <c r="K738" s="13">
        <v>0</v>
      </c>
      <c r="L738" s="13">
        <v>1565</v>
      </c>
      <c r="Q738" s="5">
        <f>SUMIFS(Coin!E:E,Coin!C:C,B738,Coin!D:D,A738)</f>
        <v>0</v>
      </c>
    </row>
    <row r="739" spans="1:22" x14ac:dyDescent="0.25">
      <c r="A739" s="1">
        <f t="shared" si="230"/>
        <v>42932</v>
      </c>
      <c r="B739">
        <v>44</v>
      </c>
      <c r="C739">
        <v>200.85</v>
      </c>
      <c r="E739" s="13">
        <f t="shared" si="227"/>
        <v>200.85</v>
      </c>
      <c r="F739" s="13">
        <v>200.85</v>
      </c>
      <c r="G739" s="13">
        <f t="shared" si="228"/>
        <v>0</v>
      </c>
      <c r="H739" s="14">
        <v>1803</v>
      </c>
      <c r="I739" s="15">
        <v>301.75</v>
      </c>
      <c r="J739" s="13">
        <v>301.75</v>
      </c>
      <c r="K739" s="13">
        <v>0</v>
      </c>
      <c r="L739" s="13">
        <v>1569</v>
      </c>
      <c r="Q739" s="5">
        <f>SUMIFS(Coin!E:E,Coin!C:C,B739,Coin!D:D,A739)</f>
        <v>0</v>
      </c>
    </row>
    <row r="740" spans="1:22" x14ac:dyDescent="0.25">
      <c r="A740" s="1">
        <f t="shared" si="230"/>
        <v>42932</v>
      </c>
      <c r="B740">
        <v>103</v>
      </c>
      <c r="C740">
        <v>289.75</v>
      </c>
      <c r="E740" s="13">
        <f t="shared" si="227"/>
        <v>289.95</v>
      </c>
      <c r="F740" s="13">
        <v>289.95</v>
      </c>
      <c r="G740" s="13">
        <f t="shared" si="228"/>
        <v>0</v>
      </c>
      <c r="H740" s="14">
        <v>1788</v>
      </c>
      <c r="I740" s="15">
        <v>254.75</v>
      </c>
      <c r="J740" s="13">
        <v>254.75</v>
      </c>
      <c r="K740" s="13">
        <v>0</v>
      </c>
      <c r="L740" s="13">
        <v>1566</v>
      </c>
      <c r="Q740" s="5">
        <f>SUMIFS(Coin!E:E,Coin!C:C,B740,Coin!D:D,A740)</f>
        <v>0</v>
      </c>
      <c r="U740" s="21">
        <v>0.2</v>
      </c>
    </row>
    <row r="741" spans="1:22" x14ac:dyDescent="0.25">
      <c r="A741" s="1">
        <f t="shared" si="230"/>
        <v>42932</v>
      </c>
      <c r="B741">
        <v>201</v>
      </c>
      <c r="C741">
        <v>479.95</v>
      </c>
      <c r="E741" s="13">
        <f t="shared" si="227"/>
        <v>479.95</v>
      </c>
      <c r="F741" s="13">
        <v>479.95</v>
      </c>
      <c r="G741" s="13">
        <f t="shared" si="228"/>
        <v>0</v>
      </c>
      <c r="H741" s="14">
        <v>1806</v>
      </c>
      <c r="I741" s="15">
        <v>474.66</v>
      </c>
      <c r="J741" s="13">
        <v>474.66</v>
      </c>
      <c r="K741" s="13">
        <v>0</v>
      </c>
      <c r="L741" s="13">
        <v>1580</v>
      </c>
      <c r="Q741" s="5">
        <f>SUMIFS(Coin!E:E,Coin!C:C,B741,Coin!D:D,A741)</f>
        <v>0</v>
      </c>
    </row>
    <row r="742" spans="1:22" x14ac:dyDescent="0.25">
      <c r="A742" s="1">
        <f t="shared" ref="A742:A748" si="231">DATE(2017,7,17)</f>
        <v>42933</v>
      </c>
      <c r="B742">
        <v>35</v>
      </c>
      <c r="C742">
        <v>352.55</v>
      </c>
      <c r="E742" s="13">
        <f t="shared" ref="E742:E748" si="232">C742+D742-Q742+U742</f>
        <v>352.55</v>
      </c>
      <c r="F742" s="13">
        <v>352.55</v>
      </c>
      <c r="G742" s="13">
        <f t="shared" ref="G742:G754" si="233">E742-F742</f>
        <v>0</v>
      </c>
      <c r="H742" s="14">
        <v>1808</v>
      </c>
      <c r="I742" s="15">
        <v>477.5</v>
      </c>
      <c r="J742" s="13">
        <v>477.5</v>
      </c>
      <c r="K742" s="13">
        <v>0</v>
      </c>
      <c r="L742" s="13">
        <v>1588</v>
      </c>
      <c r="Q742" s="5">
        <f>SUMIFS(Coin!E:E,Coin!C:C,B742,Coin!D:D,A742)</f>
        <v>0</v>
      </c>
    </row>
    <row r="743" spans="1:22" x14ac:dyDescent="0.25">
      <c r="A743" s="1">
        <f t="shared" si="231"/>
        <v>42933</v>
      </c>
      <c r="B743">
        <v>37</v>
      </c>
      <c r="C743">
        <v>569.75</v>
      </c>
      <c r="E743" s="13">
        <f t="shared" si="232"/>
        <v>569.75</v>
      </c>
      <c r="F743" s="13">
        <v>569.75</v>
      </c>
      <c r="G743" s="13">
        <f t="shared" si="233"/>
        <v>0</v>
      </c>
      <c r="H743" s="14">
        <v>1809</v>
      </c>
      <c r="I743" s="15">
        <v>364.69</v>
      </c>
      <c r="J743" s="13">
        <v>364.69</v>
      </c>
      <c r="K743" s="13">
        <v>0</v>
      </c>
      <c r="L743" s="13">
        <v>1591</v>
      </c>
      <c r="Q743" s="5">
        <f>SUMIFS(Coin!E:E,Coin!C:C,B743,Coin!D:D,A743)</f>
        <v>0</v>
      </c>
    </row>
    <row r="744" spans="1:22" x14ac:dyDescent="0.25">
      <c r="A744" s="1">
        <f t="shared" si="231"/>
        <v>42933</v>
      </c>
      <c r="B744">
        <v>41</v>
      </c>
      <c r="C744">
        <v>615.70000000000005</v>
      </c>
      <c r="E744" s="13">
        <f t="shared" si="232"/>
        <v>615.70000000000005</v>
      </c>
      <c r="F744" s="13">
        <v>615.70000000000005</v>
      </c>
      <c r="G744" s="13">
        <f t="shared" si="233"/>
        <v>0</v>
      </c>
      <c r="H744" s="14">
        <v>1810</v>
      </c>
      <c r="I744" s="15">
        <v>322.55</v>
      </c>
      <c r="J744" s="13">
        <v>322.55</v>
      </c>
      <c r="K744" s="13">
        <v>0</v>
      </c>
      <c r="L744" s="13">
        <v>1590</v>
      </c>
      <c r="Q744" s="5">
        <f>SUMIFS(Coin!E:E,Coin!C:C,B744,Coin!D:D,A744)</f>
        <v>0</v>
      </c>
    </row>
    <row r="745" spans="1:22" x14ac:dyDescent="0.25">
      <c r="A745" s="1">
        <f t="shared" si="231"/>
        <v>42933</v>
      </c>
      <c r="B745">
        <v>43</v>
      </c>
      <c r="C745">
        <v>1035</v>
      </c>
      <c r="E745" s="13">
        <f t="shared" si="232"/>
        <v>1035</v>
      </c>
      <c r="F745" s="13">
        <v>1035</v>
      </c>
      <c r="G745" s="13">
        <f t="shared" si="233"/>
        <v>0</v>
      </c>
      <c r="H745" s="14">
        <v>1811</v>
      </c>
      <c r="I745" s="15">
        <v>419.6</v>
      </c>
      <c r="J745" s="13">
        <v>419.6</v>
      </c>
      <c r="K745" s="13">
        <v>0</v>
      </c>
      <c r="L745" s="13">
        <v>1589</v>
      </c>
      <c r="Q745" s="5">
        <f>SUMIFS(Coin!E:E,Coin!C:C,B745,Coin!D:D,A745)</f>
        <v>0</v>
      </c>
    </row>
    <row r="746" spans="1:22" x14ac:dyDescent="0.25">
      <c r="A746" s="1">
        <f t="shared" si="231"/>
        <v>42933</v>
      </c>
      <c r="B746">
        <v>44</v>
      </c>
      <c r="C746">
        <v>155.9</v>
      </c>
      <c r="E746" s="13">
        <f t="shared" si="232"/>
        <v>163.35</v>
      </c>
      <c r="F746" s="13">
        <v>163.35</v>
      </c>
      <c r="G746" s="13">
        <f t="shared" si="233"/>
        <v>0</v>
      </c>
      <c r="H746" s="14">
        <v>1812</v>
      </c>
      <c r="I746" s="15">
        <v>110</v>
      </c>
      <c r="J746" s="13">
        <v>110</v>
      </c>
      <c r="K746" s="13">
        <v>0</v>
      </c>
      <c r="L746" s="13">
        <v>1586</v>
      </c>
      <c r="Q746" s="5">
        <f>SUMIFS(Coin!E:E,Coin!C:C,B746,Coin!D:D,A746)</f>
        <v>0</v>
      </c>
      <c r="U746" s="21">
        <v>7.45</v>
      </c>
    </row>
    <row r="747" spans="1:22" x14ac:dyDescent="0.25">
      <c r="A747" s="1">
        <f t="shared" si="231"/>
        <v>42933</v>
      </c>
      <c r="B747">
        <v>103</v>
      </c>
      <c r="C747">
        <v>935.25</v>
      </c>
      <c r="E747" s="13">
        <f t="shared" si="232"/>
        <v>930</v>
      </c>
      <c r="F747" s="13">
        <v>930</v>
      </c>
      <c r="G747" s="13">
        <f t="shared" si="233"/>
        <v>0</v>
      </c>
      <c r="H747" s="14">
        <v>1813</v>
      </c>
      <c r="I747" s="15">
        <v>567.53</v>
      </c>
      <c r="J747" s="13">
        <v>567.53</v>
      </c>
      <c r="K747" s="13">
        <v>0</v>
      </c>
      <c r="L747" s="13">
        <v>1587</v>
      </c>
      <c r="Q747" s="15">
        <v>5.25</v>
      </c>
      <c r="R747" s="13">
        <v>5.25</v>
      </c>
      <c r="S747" s="13">
        <v>0</v>
      </c>
      <c r="T747" s="19">
        <v>1815</v>
      </c>
    </row>
    <row r="748" spans="1:22" x14ac:dyDescent="0.25">
      <c r="A748" s="1">
        <f t="shared" si="231"/>
        <v>42933</v>
      </c>
      <c r="B748">
        <v>201</v>
      </c>
      <c r="C748">
        <v>754.85</v>
      </c>
      <c r="E748" s="13">
        <f t="shared" si="232"/>
        <v>724.85</v>
      </c>
      <c r="F748" s="13">
        <v>724.85</v>
      </c>
      <c r="G748" s="13">
        <f t="shared" si="233"/>
        <v>0</v>
      </c>
      <c r="H748" s="14">
        <v>1814</v>
      </c>
      <c r="I748" s="15">
        <v>644.65</v>
      </c>
      <c r="J748" s="13">
        <v>644.65</v>
      </c>
      <c r="K748" s="13">
        <v>0</v>
      </c>
      <c r="L748" s="13">
        <v>1592</v>
      </c>
      <c r="Q748" s="5">
        <v>30</v>
      </c>
    </row>
    <row r="749" spans="1:22" x14ac:dyDescent="0.25">
      <c r="A749" s="1">
        <f t="shared" ref="A749:A755" si="234">DATE(2017,7,18)</f>
        <v>42934</v>
      </c>
      <c r="B749">
        <v>35</v>
      </c>
      <c r="C749">
        <v>640.6</v>
      </c>
      <c r="E749" s="13">
        <f t="shared" ref="E749:E755" si="235">C749+D749-Q749+U749</f>
        <v>615</v>
      </c>
      <c r="F749" s="13">
        <v>615</v>
      </c>
      <c r="G749" s="13">
        <f t="shared" si="233"/>
        <v>0</v>
      </c>
      <c r="H749" s="14">
        <v>1807</v>
      </c>
      <c r="I749" s="15">
        <v>544.57000000000005</v>
      </c>
      <c r="J749" s="13">
        <v>544.57000000000005</v>
      </c>
      <c r="K749" s="13">
        <v>0</v>
      </c>
      <c r="L749" s="13">
        <v>1594</v>
      </c>
      <c r="Q749" s="15">
        <v>25.6</v>
      </c>
      <c r="R749" s="13">
        <v>25.6</v>
      </c>
      <c r="S749" s="13">
        <v>0</v>
      </c>
      <c r="T749" s="19">
        <v>1817</v>
      </c>
    </row>
    <row r="750" spans="1:22" x14ac:dyDescent="0.25">
      <c r="A750" s="1">
        <f t="shared" si="234"/>
        <v>42934</v>
      </c>
      <c r="B750">
        <v>37</v>
      </c>
      <c r="C750">
        <v>589.6</v>
      </c>
      <c r="E750" s="13">
        <f t="shared" si="235"/>
        <v>589.6</v>
      </c>
      <c r="F750" s="13">
        <v>589.6</v>
      </c>
      <c r="G750" s="13">
        <f t="shared" si="233"/>
        <v>0</v>
      </c>
      <c r="H750" s="14">
        <v>1818</v>
      </c>
      <c r="I750" s="15">
        <v>289.89999999999998</v>
      </c>
      <c r="J750" s="13">
        <v>289.89999999999998</v>
      </c>
      <c r="K750" s="13">
        <v>0</v>
      </c>
      <c r="L750" s="13">
        <v>1599</v>
      </c>
      <c r="Q750" s="5">
        <f>SUMIFS(Coin!E:E,Coin!C:C,B750,Coin!D:D,A750)</f>
        <v>0</v>
      </c>
    </row>
    <row r="751" spans="1:22" x14ac:dyDescent="0.25">
      <c r="A751" s="1">
        <f t="shared" si="234"/>
        <v>42934</v>
      </c>
      <c r="B751">
        <v>41</v>
      </c>
      <c r="C751">
        <v>535.54999999999995</v>
      </c>
      <c r="E751" s="13">
        <f t="shared" si="235"/>
        <v>540.54999999999995</v>
      </c>
      <c r="F751" s="13">
        <v>540.54999999999995</v>
      </c>
      <c r="G751" s="13">
        <f t="shared" si="233"/>
        <v>0</v>
      </c>
      <c r="H751" s="14">
        <v>1822</v>
      </c>
      <c r="I751" s="15">
        <f>554.57+V751</f>
        <v>549.59</v>
      </c>
      <c r="J751" s="13">
        <v>549.59</v>
      </c>
      <c r="K751" s="13">
        <v>0</v>
      </c>
      <c r="L751" s="13">
        <v>1593</v>
      </c>
      <c r="Q751" s="5">
        <f>SUMIFS(Coin!E:E,Coin!C:C,B751,Coin!D:D,A751)</f>
        <v>0</v>
      </c>
      <c r="U751" s="21">
        <v>5</v>
      </c>
      <c r="V751" s="21">
        <v>-4.9800000000000004</v>
      </c>
    </row>
    <row r="752" spans="1:22" x14ac:dyDescent="0.25">
      <c r="A752" s="1">
        <f t="shared" si="234"/>
        <v>42934</v>
      </c>
      <c r="B752">
        <v>43</v>
      </c>
      <c r="C752">
        <v>720.35</v>
      </c>
      <c r="E752" s="13">
        <f t="shared" si="235"/>
        <v>720.35</v>
      </c>
      <c r="F752" s="13">
        <v>720.35</v>
      </c>
      <c r="G752" s="13">
        <f t="shared" si="233"/>
        <v>0</v>
      </c>
      <c r="H752" s="14">
        <v>1819</v>
      </c>
      <c r="I752" s="15">
        <v>279.8</v>
      </c>
      <c r="J752" s="13">
        <v>279.8</v>
      </c>
      <c r="K752" s="13">
        <v>0</v>
      </c>
      <c r="L752" s="13">
        <v>1597</v>
      </c>
      <c r="Q752" s="5">
        <f>SUMIFS(Coin!E:E,Coin!C:C,B752,Coin!D:D,A752)</f>
        <v>0</v>
      </c>
    </row>
    <row r="753" spans="1:21" x14ac:dyDescent="0.25">
      <c r="A753" s="1">
        <f t="shared" si="234"/>
        <v>42934</v>
      </c>
      <c r="B753">
        <v>44</v>
      </c>
      <c r="C753">
        <v>405.65</v>
      </c>
      <c r="E753" s="13">
        <f t="shared" si="235"/>
        <v>405.65</v>
      </c>
      <c r="F753" s="13">
        <v>405.65</v>
      </c>
      <c r="G753" s="13">
        <f t="shared" si="233"/>
        <v>0</v>
      </c>
      <c r="H753" s="14"/>
      <c r="I753" s="15">
        <v>229.83</v>
      </c>
      <c r="J753" s="13">
        <v>229.83</v>
      </c>
      <c r="K753" s="13">
        <v>0</v>
      </c>
      <c r="L753" s="13">
        <v>1596</v>
      </c>
      <c r="Q753" s="5">
        <f>SUMIFS(Coin!E:E,Coin!C:C,B753,Coin!D:D,A753)</f>
        <v>0</v>
      </c>
    </row>
    <row r="754" spans="1:21" x14ac:dyDescent="0.25">
      <c r="A754" s="1">
        <f t="shared" si="234"/>
        <v>42934</v>
      </c>
      <c r="B754">
        <v>103</v>
      </c>
      <c r="C754">
        <v>1277.1500000000001</v>
      </c>
      <c r="E754" s="13">
        <f t="shared" si="235"/>
        <v>1277.1500000000001</v>
      </c>
      <c r="F754" s="13">
        <v>1277.1500000000001</v>
      </c>
      <c r="G754" s="13">
        <f t="shared" si="233"/>
        <v>0</v>
      </c>
      <c r="H754" s="14"/>
      <c r="I754" s="15">
        <v>848.75</v>
      </c>
      <c r="J754" s="13">
        <v>848.75</v>
      </c>
      <c r="K754" s="13">
        <v>0</v>
      </c>
      <c r="L754" s="13">
        <v>1595</v>
      </c>
      <c r="Q754" s="5">
        <f>SUMIFS(Coin!E:E,Coin!C:C,B754,Coin!D:D,A754)</f>
        <v>0</v>
      </c>
    </row>
    <row r="755" spans="1:21" x14ac:dyDescent="0.25">
      <c r="A755" s="1">
        <f t="shared" si="234"/>
        <v>42934</v>
      </c>
      <c r="B755">
        <v>201</v>
      </c>
      <c r="C755">
        <v>529.9</v>
      </c>
      <c r="E755" s="13">
        <f t="shared" si="235"/>
        <v>529.9</v>
      </c>
      <c r="F755" s="13">
        <v>529.9</v>
      </c>
      <c r="G755" s="13">
        <f t="shared" ref="G755:G762" si="236">E755-F755</f>
        <v>0</v>
      </c>
      <c r="H755" s="14">
        <v>1821</v>
      </c>
      <c r="I755" s="15">
        <v>254.95</v>
      </c>
      <c r="J755" s="13">
        <v>254.95</v>
      </c>
      <c r="K755" s="13">
        <v>0</v>
      </c>
      <c r="L755" s="13">
        <v>1598</v>
      </c>
      <c r="Q755" s="5">
        <f>SUMIFS(Coin!E:E,Coin!C:C,B755,Coin!D:D,A755)</f>
        <v>0</v>
      </c>
    </row>
    <row r="756" spans="1:21" x14ac:dyDescent="0.25">
      <c r="A756" s="1">
        <f t="shared" ref="A756:A762" si="237">DATE(2017,7,19)</f>
        <v>42935</v>
      </c>
      <c r="B756">
        <v>35</v>
      </c>
      <c r="C756">
        <v>637.5</v>
      </c>
      <c r="E756" s="13">
        <f t="shared" ref="E756:E762" si="238">C756+D756-Q756+U756</f>
        <v>635</v>
      </c>
      <c r="F756" s="13">
        <v>635</v>
      </c>
      <c r="G756" s="13">
        <f t="shared" si="236"/>
        <v>0</v>
      </c>
      <c r="H756" s="14">
        <v>1816</v>
      </c>
      <c r="I756" s="15">
        <v>359.71</v>
      </c>
      <c r="J756" s="13">
        <v>359.71</v>
      </c>
      <c r="K756" s="13">
        <v>0</v>
      </c>
      <c r="L756" s="13">
        <v>1603</v>
      </c>
      <c r="Q756" s="15">
        <v>2.5</v>
      </c>
      <c r="R756" s="13">
        <v>2.5</v>
      </c>
      <c r="S756" s="13">
        <v>0</v>
      </c>
      <c r="T756" s="19">
        <v>1824</v>
      </c>
    </row>
    <row r="757" spans="1:21" x14ac:dyDescent="0.25">
      <c r="A757" s="1">
        <f t="shared" si="237"/>
        <v>42935</v>
      </c>
      <c r="B757">
        <v>37</v>
      </c>
      <c r="C757">
        <v>534.6</v>
      </c>
      <c r="E757" s="13">
        <f t="shared" si="238"/>
        <v>534.6</v>
      </c>
      <c r="F757" s="13">
        <v>534.6</v>
      </c>
      <c r="G757" s="13">
        <f t="shared" si="236"/>
        <v>0</v>
      </c>
      <c r="H757" s="14">
        <v>1825</v>
      </c>
      <c r="I757" s="15">
        <v>614.33000000000004</v>
      </c>
      <c r="J757" s="13">
        <v>614.33000000000004</v>
      </c>
      <c r="K757" s="13">
        <v>0</v>
      </c>
      <c r="L757" s="13">
        <v>1605</v>
      </c>
      <c r="Q757" s="5">
        <f>SUMIFS(Coin!E:E,Coin!C:C,B757,Coin!D:D,A757)</f>
        <v>0</v>
      </c>
    </row>
    <row r="758" spans="1:21" x14ac:dyDescent="0.25">
      <c r="A758" s="1">
        <f t="shared" si="237"/>
        <v>42935</v>
      </c>
      <c r="B758">
        <v>41</v>
      </c>
      <c r="C758">
        <v>425.6</v>
      </c>
      <c r="E758" s="13">
        <f t="shared" si="238"/>
        <v>425.6</v>
      </c>
      <c r="F758" s="13">
        <v>425.6</v>
      </c>
      <c r="G758" s="13">
        <f t="shared" si="236"/>
        <v>0</v>
      </c>
      <c r="H758" s="14">
        <v>1823</v>
      </c>
      <c r="I758" s="15">
        <v>189.8</v>
      </c>
      <c r="J758" s="13">
        <v>189.8</v>
      </c>
      <c r="K758" s="13">
        <v>0</v>
      </c>
      <c r="L758" s="13">
        <v>1600</v>
      </c>
      <c r="Q758" s="5">
        <f>SUMIFS(Coin!E:E,Coin!C:C,B758,Coin!D:D,A758)</f>
        <v>0</v>
      </c>
    </row>
    <row r="759" spans="1:21" x14ac:dyDescent="0.25">
      <c r="A759" s="1">
        <f t="shared" si="237"/>
        <v>42935</v>
      </c>
      <c r="B759">
        <v>43</v>
      </c>
      <c r="C759">
        <v>725.3</v>
      </c>
      <c r="E759" s="13">
        <f t="shared" si="238"/>
        <v>725.3</v>
      </c>
      <c r="F759" s="13">
        <v>725.3</v>
      </c>
      <c r="G759" s="13">
        <f t="shared" si="236"/>
        <v>0</v>
      </c>
      <c r="H759" s="14">
        <v>1826</v>
      </c>
      <c r="I759" s="15">
        <v>432.6</v>
      </c>
      <c r="J759" s="13">
        <v>432.6</v>
      </c>
      <c r="K759" s="13">
        <v>0</v>
      </c>
      <c r="L759" s="13">
        <v>1604</v>
      </c>
      <c r="Q759" s="5">
        <f>SUMIFS(Coin!E:E,Coin!C:C,B759,Coin!D:D,A759)</f>
        <v>0</v>
      </c>
    </row>
    <row r="760" spans="1:21" x14ac:dyDescent="0.25">
      <c r="A760" s="1">
        <f t="shared" si="237"/>
        <v>42935</v>
      </c>
      <c r="B760">
        <v>44</v>
      </c>
      <c r="C760">
        <v>243.85</v>
      </c>
      <c r="E760" s="13">
        <f t="shared" si="238"/>
        <v>243.85</v>
      </c>
      <c r="F760" s="13">
        <v>243.85</v>
      </c>
      <c r="G760" s="13">
        <f t="shared" si="236"/>
        <v>0</v>
      </c>
      <c r="H760" s="14"/>
      <c r="I760" s="15">
        <v>308.63</v>
      </c>
      <c r="J760" s="13">
        <v>308.63</v>
      </c>
      <c r="K760" s="13">
        <v>0</v>
      </c>
      <c r="L760" s="13">
        <v>1601</v>
      </c>
      <c r="M760" s="15">
        <v>7.95</v>
      </c>
      <c r="N760" s="13">
        <v>7.95</v>
      </c>
      <c r="O760" s="13">
        <v>0</v>
      </c>
      <c r="P760" s="13">
        <v>84</v>
      </c>
      <c r="Q760" s="5">
        <f>SUMIFS(Coin!E:E,Coin!C:C,B760,Coin!D:D,A760)</f>
        <v>0</v>
      </c>
    </row>
    <row r="761" spans="1:21" x14ac:dyDescent="0.25">
      <c r="A761" s="1">
        <f t="shared" si="237"/>
        <v>42935</v>
      </c>
      <c r="B761">
        <v>103</v>
      </c>
      <c r="C761">
        <v>778.5</v>
      </c>
      <c r="E761" s="13">
        <f t="shared" si="238"/>
        <v>778.5</v>
      </c>
      <c r="F761" s="13">
        <v>778.5</v>
      </c>
      <c r="G761" s="13">
        <f t="shared" si="236"/>
        <v>0</v>
      </c>
      <c r="H761" s="14">
        <v>1820</v>
      </c>
      <c r="I761" s="15">
        <v>477.63</v>
      </c>
      <c r="J761" s="13">
        <v>477.63</v>
      </c>
      <c r="K761" s="13">
        <v>0</v>
      </c>
      <c r="L761" s="13">
        <v>1602</v>
      </c>
      <c r="Q761" s="5">
        <f>SUMIFS(Coin!E:E,Coin!C:C,B761,Coin!D:D,A761)</f>
        <v>0</v>
      </c>
    </row>
    <row r="762" spans="1:21" x14ac:dyDescent="0.25">
      <c r="A762" s="1">
        <f t="shared" si="237"/>
        <v>42935</v>
      </c>
      <c r="B762">
        <v>201</v>
      </c>
      <c r="C762">
        <v>610.6</v>
      </c>
      <c r="E762" s="13">
        <f t="shared" si="238"/>
        <v>610.6</v>
      </c>
      <c r="F762" s="13">
        <v>610.6</v>
      </c>
      <c r="G762" s="13">
        <f t="shared" si="236"/>
        <v>0</v>
      </c>
      <c r="H762" s="14">
        <v>1827</v>
      </c>
      <c r="I762" s="15">
        <v>99.85</v>
      </c>
      <c r="J762" s="13">
        <v>99.85</v>
      </c>
      <c r="K762" s="13">
        <v>0</v>
      </c>
      <c r="L762" s="13">
        <v>1606</v>
      </c>
      <c r="Q762" s="5">
        <f>SUMIFS(Coin!E:E,Coin!C:C,B762,Coin!D:D,A762)</f>
        <v>0</v>
      </c>
    </row>
    <row r="763" spans="1:21" x14ac:dyDescent="0.25">
      <c r="A763" s="1">
        <f t="shared" ref="A763:A769" si="239">DATE(2017,7,20)</f>
        <v>42936</v>
      </c>
      <c r="B763">
        <v>35</v>
      </c>
      <c r="C763">
        <v>1664.35</v>
      </c>
      <c r="E763" s="13">
        <f t="shared" ref="E763:E769" si="240">C763+D763-Q763+U763</f>
        <v>1660</v>
      </c>
      <c r="F763" s="13">
        <v>1660</v>
      </c>
      <c r="G763" s="13">
        <f>E763-F763</f>
        <v>0</v>
      </c>
      <c r="H763" s="14">
        <v>1831</v>
      </c>
      <c r="I763" s="15">
        <v>851.43</v>
      </c>
      <c r="J763" s="13">
        <v>851.43</v>
      </c>
      <c r="K763" s="13">
        <v>0</v>
      </c>
      <c r="L763" s="13">
        <v>1611</v>
      </c>
      <c r="Q763" s="15">
        <v>4.8</v>
      </c>
      <c r="R763" s="13">
        <v>4.8</v>
      </c>
      <c r="S763" s="13">
        <v>0</v>
      </c>
      <c r="T763" s="19">
        <v>1830</v>
      </c>
      <c r="U763" s="21">
        <v>0.45</v>
      </c>
    </row>
    <row r="764" spans="1:21" x14ac:dyDescent="0.25">
      <c r="A764" s="1">
        <f t="shared" si="239"/>
        <v>42936</v>
      </c>
      <c r="B764">
        <v>37</v>
      </c>
      <c r="C764">
        <v>674.8</v>
      </c>
      <c r="D764">
        <v>-14.95</v>
      </c>
      <c r="E764" s="13">
        <f t="shared" si="240"/>
        <v>559.84999999999991</v>
      </c>
      <c r="F764" s="13">
        <v>559.85</v>
      </c>
      <c r="G764" s="13">
        <f>E764-F764</f>
        <v>0</v>
      </c>
      <c r="H764" s="14">
        <v>1833</v>
      </c>
      <c r="I764" s="15">
        <v>749.83</v>
      </c>
      <c r="J764" s="13">
        <v>749.83</v>
      </c>
      <c r="K764" s="13">
        <v>0</v>
      </c>
      <c r="L764" s="13">
        <v>1612</v>
      </c>
      <c r="Q764" s="15">
        <v>100</v>
      </c>
      <c r="R764" s="13">
        <v>100</v>
      </c>
      <c r="S764" s="13">
        <v>0</v>
      </c>
      <c r="T764" s="19">
        <v>1832</v>
      </c>
    </row>
    <row r="765" spans="1:21" x14ac:dyDescent="0.25">
      <c r="A765" s="1">
        <f t="shared" si="239"/>
        <v>42936</v>
      </c>
      <c r="B765">
        <v>41</v>
      </c>
      <c r="C765">
        <v>910.45</v>
      </c>
      <c r="E765" s="13">
        <f t="shared" si="240"/>
        <v>910.45</v>
      </c>
      <c r="F765" s="13">
        <v>910.45</v>
      </c>
      <c r="G765" s="13">
        <f>E765-F765</f>
        <v>0</v>
      </c>
      <c r="H765" s="14">
        <v>1834</v>
      </c>
      <c r="I765" s="15">
        <v>1007.53</v>
      </c>
      <c r="J765" s="13">
        <v>1007.53</v>
      </c>
      <c r="K765" s="13">
        <v>0</v>
      </c>
      <c r="L765" s="13">
        <v>1607</v>
      </c>
      <c r="Q765" s="5">
        <f>SUMIFS(Coin!E:E,Coin!C:C,B765,Coin!D:D,A765)</f>
        <v>0</v>
      </c>
    </row>
    <row r="766" spans="1:21" x14ac:dyDescent="0.25">
      <c r="A766" s="1">
        <f t="shared" si="239"/>
        <v>42936</v>
      </c>
      <c r="B766">
        <v>43</v>
      </c>
      <c r="C766">
        <v>1565.05</v>
      </c>
      <c r="E766" s="13">
        <f t="shared" si="240"/>
        <v>1565.05</v>
      </c>
      <c r="F766" s="13">
        <v>1565.05</v>
      </c>
      <c r="G766" s="13">
        <f>E766-F766</f>
        <v>0</v>
      </c>
      <c r="H766" s="14">
        <v>1835</v>
      </c>
      <c r="I766" s="15">
        <v>492.8</v>
      </c>
      <c r="J766" s="13">
        <v>492.8</v>
      </c>
      <c r="K766" s="13">
        <v>0</v>
      </c>
      <c r="L766" s="13">
        <v>1610</v>
      </c>
      <c r="Q766" s="5">
        <f>SUMIFS(Coin!E:E,Coin!C:C,B766,Coin!D:D,A766)</f>
        <v>0</v>
      </c>
    </row>
    <row r="767" spans="1:21" x14ac:dyDescent="0.25">
      <c r="A767" s="1">
        <f t="shared" si="239"/>
        <v>42936</v>
      </c>
      <c r="B767">
        <v>44</v>
      </c>
      <c r="C767">
        <v>407.45</v>
      </c>
      <c r="E767" s="13">
        <f t="shared" si="240"/>
        <v>407.45</v>
      </c>
      <c r="F767" s="13">
        <v>407.45</v>
      </c>
      <c r="G767" s="13"/>
      <c r="H767" s="14"/>
      <c r="I767" s="15">
        <v>572.63</v>
      </c>
      <c r="J767" s="13">
        <v>572.63</v>
      </c>
      <c r="K767" s="13">
        <v>0</v>
      </c>
      <c r="L767" s="13">
        <v>1609</v>
      </c>
      <c r="M767" s="15">
        <v>87.95</v>
      </c>
      <c r="N767" s="13">
        <v>87.95</v>
      </c>
      <c r="O767" s="13">
        <v>0</v>
      </c>
      <c r="P767" s="13">
        <v>85</v>
      </c>
      <c r="Q767" s="5">
        <f>SUMIFS(Coin!E:E,Coin!C:C,B767,Coin!D:D,A767)</f>
        <v>0</v>
      </c>
    </row>
    <row r="768" spans="1:21" x14ac:dyDescent="0.25">
      <c r="A768" s="1">
        <f t="shared" si="239"/>
        <v>42936</v>
      </c>
      <c r="B768">
        <v>103</v>
      </c>
      <c r="C768">
        <v>1487.5</v>
      </c>
      <c r="E768" s="13">
        <f t="shared" si="240"/>
        <v>1487.5</v>
      </c>
      <c r="F768" s="13">
        <v>1487.55</v>
      </c>
      <c r="G768" s="13">
        <f t="shared" ref="G768:G774" si="241">E768-F768</f>
        <v>-4.9999999999954525E-2</v>
      </c>
      <c r="H768" s="14">
        <v>1836</v>
      </c>
      <c r="I768" s="15">
        <v>1101</v>
      </c>
      <c r="J768" s="13">
        <v>1101</v>
      </c>
      <c r="K768" s="13">
        <v>0</v>
      </c>
      <c r="L768" s="13">
        <v>1608</v>
      </c>
      <c r="Q768" s="5">
        <f>SUMIFS(Coin!E:E,Coin!C:C,B768,Coin!D:D,A768)</f>
        <v>0</v>
      </c>
    </row>
    <row r="769" spans="1:20" x14ac:dyDescent="0.25">
      <c r="A769" s="1">
        <f t="shared" si="239"/>
        <v>42936</v>
      </c>
      <c r="B769">
        <v>201</v>
      </c>
      <c r="C769">
        <v>854.95</v>
      </c>
      <c r="E769" s="13">
        <f t="shared" si="240"/>
        <v>854.95</v>
      </c>
      <c r="F769" s="13">
        <v>854.9</v>
      </c>
      <c r="G769" s="13">
        <f t="shared" si="241"/>
        <v>5.0000000000068212E-2</v>
      </c>
      <c r="H769" s="14">
        <v>1837</v>
      </c>
      <c r="I769" s="15">
        <v>592.54999999999995</v>
      </c>
      <c r="J769" s="13">
        <v>592.54999999999995</v>
      </c>
      <c r="K769" s="13">
        <v>0</v>
      </c>
      <c r="L769" s="13">
        <v>1613</v>
      </c>
      <c r="Q769" s="5">
        <f>SUMIFS(Coin!E:E,Coin!C:C,B769,Coin!D:D,A769)</f>
        <v>0</v>
      </c>
    </row>
    <row r="770" spans="1:20" x14ac:dyDescent="0.25">
      <c r="A770" s="1">
        <f t="shared" ref="A770:A776" si="242">DATE(2017,7,21)</f>
        <v>42937</v>
      </c>
      <c r="B770">
        <v>35</v>
      </c>
      <c r="C770">
        <v>893.5</v>
      </c>
      <c r="E770" s="13">
        <f t="shared" ref="E770:E790" si="243">C770+D770-Q770+U770</f>
        <v>890</v>
      </c>
      <c r="F770" s="13">
        <v>890</v>
      </c>
      <c r="G770" s="13">
        <f t="shared" si="241"/>
        <v>0</v>
      </c>
      <c r="H770" s="14">
        <v>1829</v>
      </c>
      <c r="I770" s="15">
        <v>979.72</v>
      </c>
      <c r="J770" s="13">
        <v>979.72</v>
      </c>
      <c r="K770" s="13">
        <v>0</v>
      </c>
      <c r="L770" s="13">
        <v>1628</v>
      </c>
      <c r="Q770" s="15">
        <v>3.5</v>
      </c>
      <c r="R770" s="13">
        <v>3.5</v>
      </c>
      <c r="S770" s="13">
        <v>0</v>
      </c>
      <c r="T770" s="19">
        <v>1844</v>
      </c>
    </row>
    <row r="771" spans="1:20" x14ac:dyDescent="0.25">
      <c r="A771" s="1">
        <f t="shared" si="242"/>
        <v>42937</v>
      </c>
      <c r="B771">
        <v>37</v>
      </c>
      <c r="C771">
        <v>534.95000000000005</v>
      </c>
      <c r="E771" s="13">
        <f t="shared" si="243"/>
        <v>534.95000000000005</v>
      </c>
      <c r="F771" s="13">
        <v>534.95000000000005</v>
      </c>
      <c r="G771" s="13">
        <f t="shared" si="241"/>
        <v>0</v>
      </c>
      <c r="H771" s="14">
        <v>1846</v>
      </c>
      <c r="I771" s="15">
        <v>734.8</v>
      </c>
      <c r="J771" s="13">
        <v>734.8</v>
      </c>
      <c r="K771" s="13">
        <v>0</v>
      </c>
      <c r="L771" s="13">
        <v>1633</v>
      </c>
      <c r="Q771" s="5">
        <f>SUMIFS(Coin!E:E,Coin!C:C,B771,Coin!D:D,A771)</f>
        <v>0</v>
      </c>
    </row>
    <row r="772" spans="1:20" x14ac:dyDescent="0.25">
      <c r="A772" s="1">
        <f t="shared" si="242"/>
        <v>42937</v>
      </c>
      <c r="B772">
        <v>41</v>
      </c>
      <c r="C772">
        <v>608.79999999999995</v>
      </c>
      <c r="E772" s="13">
        <f t="shared" si="243"/>
        <v>608.79999999999995</v>
      </c>
      <c r="F772" s="13">
        <v>608.79999999999995</v>
      </c>
      <c r="G772" s="13">
        <f t="shared" si="241"/>
        <v>0</v>
      </c>
      <c r="H772" s="14">
        <v>1848</v>
      </c>
      <c r="I772" s="15">
        <v>582.95000000000005</v>
      </c>
      <c r="J772" s="13">
        <v>582.95000000000005</v>
      </c>
      <c r="K772" s="13">
        <v>0</v>
      </c>
      <c r="L772" s="13">
        <v>1624</v>
      </c>
      <c r="Q772" s="5">
        <f>SUMIFS(Coin!E:E,Coin!C:C,B772,Coin!D:D,A772)</f>
        <v>0</v>
      </c>
    </row>
    <row r="773" spans="1:20" x14ac:dyDescent="0.25">
      <c r="A773" s="1">
        <f t="shared" si="242"/>
        <v>42937</v>
      </c>
      <c r="B773">
        <v>43</v>
      </c>
      <c r="C773">
        <v>1105.9000000000001</v>
      </c>
      <c r="E773" s="13">
        <f t="shared" si="243"/>
        <v>1105.9000000000001</v>
      </c>
      <c r="F773" s="13">
        <v>1105.9000000000001</v>
      </c>
      <c r="G773" s="13">
        <f t="shared" si="241"/>
        <v>0</v>
      </c>
      <c r="H773" s="14">
        <v>1853</v>
      </c>
      <c r="I773" s="15">
        <v>898.78</v>
      </c>
      <c r="J773" s="13">
        <v>898.78</v>
      </c>
      <c r="K773" s="13">
        <v>0</v>
      </c>
      <c r="L773" s="13">
        <v>1626</v>
      </c>
      <c r="Q773" s="5">
        <f>SUMIFS(Coin!E:E,Coin!C:C,B773,Coin!D:D,A773)</f>
        <v>0</v>
      </c>
    </row>
    <row r="774" spans="1:20" x14ac:dyDescent="0.25">
      <c r="A774" s="1">
        <f t="shared" si="242"/>
        <v>42937</v>
      </c>
      <c r="B774">
        <v>44</v>
      </c>
      <c r="C774">
        <v>343.85</v>
      </c>
      <c r="E774" s="13">
        <f t="shared" si="243"/>
        <v>343.85</v>
      </c>
      <c r="F774" s="13">
        <v>343.85</v>
      </c>
      <c r="G774" s="13">
        <f t="shared" si="241"/>
        <v>0</v>
      </c>
      <c r="H774" s="14"/>
      <c r="I774" s="15">
        <v>604.45000000000005</v>
      </c>
      <c r="J774" s="13">
        <v>604.45000000000005</v>
      </c>
      <c r="K774" s="13">
        <v>0</v>
      </c>
      <c r="L774" s="13">
        <v>1627</v>
      </c>
      <c r="M774" s="15">
        <v>20</v>
      </c>
      <c r="N774" s="13">
        <v>20</v>
      </c>
      <c r="O774" s="13">
        <v>0</v>
      </c>
      <c r="P774" s="13">
        <v>87</v>
      </c>
      <c r="Q774" s="5">
        <f>SUMIFS(Coin!E:E,Coin!C:C,B774,Coin!D:D,A774)</f>
        <v>0</v>
      </c>
    </row>
    <row r="775" spans="1:20" x14ac:dyDescent="0.25">
      <c r="A775" s="1">
        <f t="shared" si="242"/>
        <v>42937</v>
      </c>
      <c r="B775">
        <v>103</v>
      </c>
      <c r="C775">
        <v>713.65</v>
      </c>
      <c r="E775" s="13">
        <f t="shared" si="243"/>
        <v>613.65</v>
      </c>
      <c r="F775" s="13">
        <v>613.65</v>
      </c>
      <c r="G775" s="13">
        <f t="shared" ref="G775:G791" si="244">E775-F775</f>
        <v>0</v>
      </c>
      <c r="H775" s="14">
        <v>1840</v>
      </c>
      <c r="I775" s="15">
        <v>829.9</v>
      </c>
      <c r="J775" s="13">
        <v>829.9</v>
      </c>
      <c r="K775" s="13">
        <v>0</v>
      </c>
      <c r="L775" s="13">
        <v>1625</v>
      </c>
      <c r="Q775" s="15">
        <v>100</v>
      </c>
      <c r="R775" s="13">
        <v>100</v>
      </c>
      <c r="S775" s="13">
        <v>0</v>
      </c>
      <c r="T775" s="19">
        <v>1839</v>
      </c>
    </row>
    <row r="776" spans="1:20" x14ac:dyDescent="0.25">
      <c r="A776" s="1">
        <f t="shared" si="242"/>
        <v>42937</v>
      </c>
      <c r="B776">
        <v>201</v>
      </c>
      <c r="C776">
        <v>809.95</v>
      </c>
      <c r="E776" s="13">
        <f t="shared" si="243"/>
        <v>809.95</v>
      </c>
      <c r="F776" s="13">
        <v>809.95</v>
      </c>
      <c r="G776" s="13">
        <f t="shared" si="244"/>
        <v>0</v>
      </c>
      <c r="H776" s="14">
        <v>1857</v>
      </c>
      <c r="I776" s="15">
        <v>535.9</v>
      </c>
      <c r="J776" s="13">
        <v>535.9</v>
      </c>
      <c r="K776" s="13">
        <v>0</v>
      </c>
      <c r="L776" s="13">
        <v>1634</v>
      </c>
      <c r="Q776" s="5">
        <f>SUMIFS(Coin!E:E,Coin!C:C,B776,Coin!D:D,A776)</f>
        <v>0</v>
      </c>
    </row>
    <row r="777" spans="1:20" x14ac:dyDescent="0.25">
      <c r="A777" s="1">
        <f t="shared" ref="A777:A783" si="245">DATE(2017,7,22)</f>
        <v>42938</v>
      </c>
      <c r="B777">
        <v>35</v>
      </c>
      <c r="C777">
        <v>786.75</v>
      </c>
      <c r="E777" s="13">
        <f t="shared" si="243"/>
        <v>785</v>
      </c>
      <c r="F777" s="13">
        <v>785</v>
      </c>
      <c r="G777" s="13">
        <f t="shared" si="244"/>
        <v>0</v>
      </c>
      <c r="H777" s="14">
        <v>1838</v>
      </c>
      <c r="I777" s="15">
        <v>1143.68</v>
      </c>
      <c r="J777" s="13">
        <v>1143.68</v>
      </c>
      <c r="K777" s="13">
        <v>0</v>
      </c>
      <c r="L777" s="13">
        <v>1621</v>
      </c>
      <c r="Q777" s="15">
        <v>1.75</v>
      </c>
      <c r="R777" s="13">
        <v>1.75</v>
      </c>
      <c r="S777" s="13">
        <v>0</v>
      </c>
      <c r="T777" s="19">
        <v>1843</v>
      </c>
    </row>
    <row r="778" spans="1:20" x14ac:dyDescent="0.25">
      <c r="A778" s="1">
        <f t="shared" si="245"/>
        <v>42938</v>
      </c>
      <c r="B778">
        <v>37</v>
      </c>
      <c r="C778">
        <v>514.29999999999995</v>
      </c>
      <c r="E778" s="13">
        <f t="shared" si="243"/>
        <v>514.29999999999995</v>
      </c>
      <c r="F778" s="13">
        <v>514.29999999999995</v>
      </c>
      <c r="G778" s="13">
        <f t="shared" si="244"/>
        <v>0</v>
      </c>
      <c r="H778" s="14">
        <v>1847</v>
      </c>
      <c r="I778" s="15">
        <v>1059.94</v>
      </c>
      <c r="J778" s="13">
        <v>1059.94</v>
      </c>
      <c r="K778" s="13">
        <v>0</v>
      </c>
      <c r="L778" s="13">
        <v>1632</v>
      </c>
      <c r="Q778" s="5">
        <f>SUMIFS(Coin!E:E,Coin!C:C,B778,Coin!D:D,A778)</f>
        <v>0</v>
      </c>
    </row>
    <row r="779" spans="1:20" x14ac:dyDescent="0.25">
      <c r="A779" s="1">
        <f t="shared" si="245"/>
        <v>42938</v>
      </c>
      <c r="B779">
        <v>41</v>
      </c>
      <c r="C779">
        <v>575.75</v>
      </c>
      <c r="E779" s="13">
        <f t="shared" si="243"/>
        <v>575.75</v>
      </c>
      <c r="F779" s="13">
        <v>575.75</v>
      </c>
      <c r="G779" s="13">
        <f t="shared" si="244"/>
        <v>0</v>
      </c>
      <c r="H779" s="14">
        <v>1850</v>
      </c>
      <c r="I779" s="15">
        <v>500.9</v>
      </c>
      <c r="J779" s="13">
        <v>500.9</v>
      </c>
      <c r="K779" s="13">
        <v>0</v>
      </c>
      <c r="L779" s="13">
        <v>1619</v>
      </c>
      <c r="Q779" s="5">
        <f>SUMIFS(Coin!E:E,Coin!C:C,B779,Coin!D:D,A779)</f>
        <v>0</v>
      </c>
    </row>
    <row r="780" spans="1:20" x14ac:dyDescent="0.25">
      <c r="A780" s="1">
        <f t="shared" si="245"/>
        <v>42938</v>
      </c>
      <c r="B780">
        <v>43</v>
      </c>
      <c r="C780">
        <v>916.6</v>
      </c>
      <c r="E780" s="13">
        <f t="shared" si="243"/>
        <v>916.6</v>
      </c>
      <c r="F780" s="13">
        <v>916.6</v>
      </c>
      <c r="G780" s="13">
        <f t="shared" si="244"/>
        <v>0</v>
      </c>
      <c r="H780" s="14">
        <v>1852</v>
      </c>
      <c r="I780" s="15">
        <v>570.78</v>
      </c>
      <c r="J780" s="13">
        <v>570.78</v>
      </c>
      <c r="K780" s="13">
        <v>0</v>
      </c>
      <c r="L780" s="13">
        <v>1620</v>
      </c>
      <c r="Q780" s="5">
        <f>SUMIFS(Coin!E:E,Coin!C:C,B780,Coin!D:D,A780)</f>
        <v>0</v>
      </c>
    </row>
    <row r="781" spans="1:20" x14ac:dyDescent="0.25">
      <c r="A781" s="1">
        <f t="shared" si="245"/>
        <v>42938</v>
      </c>
      <c r="B781">
        <v>44</v>
      </c>
      <c r="C781">
        <v>203.85</v>
      </c>
      <c r="E781" s="13">
        <f t="shared" si="243"/>
        <v>203.85</v>
      </c>
      <c r="F781" s="13">
        <v>203.85</v>
      </c>
      <c r="G781" s="13">
        <f t="shared" si="244"/>
        <v>0</v>
      </c>
      <c r="H781" s="14">
        <v>1854</v>
      </c>
      <c r="I781" s="15">
        <v>776.8</v>
      </c>
      <c r="J781" s="13">
        <v>776.8</v>
      </c>
      <c r="K781" s="13">
        <v>0</v>
      </c>
      <c r="L781" s="13">
        <v>1623</v>
      </c>
      <c r="M781" s="15">
        <v>47.95</v>
      </c>
      <c r="N781" s="13">
        <v>47.95</v>
      </c>
      <c r="O781" s="13">
        <v>0</v>
      </c>
      <c r="P781" s="13">
        <v>86</v>
      </c>
      <c r="Q781" s="5">
        <f>SUMIFS(Coin!E:E,Coin!C:C,B781,Coin!D:D,A781)</f>
        <v>0</v>
      </c>
    </row>
    <row r="782" spans="1:20" x14ac:dyDescent="0.25">
      <c r="A782" s="1">
        <f t="shared" si="245"/>
        <v>42938</v>
      </c>
      <c r="B782">
        <v>103</v>
      </c>
      <c r="C782">
        <v>1104.95</v>
      </c>
      <c r="E782" s="13">
        <f t="shared" si="243"/>
        <v>1104.95</v>
      </c>
      <c r="F782" s="13">
        <v>1105</v>
      </c>
      <c r="G782" s="13">
        <f t="shared" si="244"/>
        <v>-4.9999999999954525E-2</v>
      </c>
      <c r="H782" s="14">
        <v>1841</v>
      </c>
      <c r="I782" s="15">
        <v>760.6</v>
      </c>
      <c r="J782" s="13">
        <v>760.6</v>
      </c>
      <c r="K782" s="13">
        <v>0</v>
      </c>
      <c r="L782" s="13">
        <v>1622</v>
      </c>
      <c r="Q782" s="5">
        <f>SUMIFS(Coin!E:E,Coin!C:C,B782,Coin!D:D,A782)</f>
        <v>0</v>
      </c>
    </row>
    <row r="783" spans="1:20" x14ac:dyDescent="0.25">
      <c r="A783" s="1">
        <f t="shared" si="245"/>
        <v>42938</v>
      </c>
      <c r="B783">
        <v>201</v>
      </c>
      <c r="C783">
        <v>532.95000000000005</v>
      </c>
      <c r="E783" s="13">
        <f t="shared" si="243"/>
        <v>532.75</v>
      </c>
      <c r="F783" s="13">
        <v>532.75</v>
      </c>
      <c r="G783" s="13">
        <f t="shared" si="244"/>
        <v>0</v>
      </c>
      <c r="H783" s="14">
        <v>1858</v>
      </c>
      <c r="I783" s="15">
        <v>700</v>
      </c>
      <c r="J783" s="13">
        <v>700</v>
      </c>
      <c r="K783" s="13">
        <v>0</v>
      </c>
      <c r="L783" s="13">
        <v>1631</v>
      </c>
      <c r="Q783" s="5">
        <v>0.2</v>
      </c>
    </row>
    <row r="784" spans="1:20" x14ac:dyDescent="0.25">
      <c r="A784" s="1">
        <f t="shared" ref="A784:A790" si="246">DATE(2017,7,23)</f>
        <v>42939</v>
      </c>
      <c r="B784">
        <v>35</v>
      </c>
      <c r="C784">
        <v>475</v>
      </c>
      <c r="E784" s="13">
        <f t="shared" si="243"/>
        <v>475</v>
      </c>
      <c r="F784" s="13">
        <v>475</v>
      </c>
      <c r="G784" s="13">
        <f t="shared" si="244"/>
        <v>0</v>
      </c>
      <c r="H784" s="14">
        <v>1828</v>
      </c>
      <c r="I784" s="15">
        <v>719.54</v>
      </c>
      <c r="J784" s="13">
        <v>719.54</v>
      </c>
      <c r="K784" s="13">
        <v>0</v>
      </c>
      <c r="L784" s="13">
        <v>1618</v>
      </c>
      <c r="Q784" s="5">
        <f>SUMIFS(Coin!E:E,Coin!C:C,B784,Coin!D:D,A784)</f>
        <v>0</v>
      </c>
    </row>
    <row r="785" spans="1:20" x14ac:dyDescent="0.25">
      <c r="A785" s="1">
        <f t="shared" si="246"/>
        <v>42939</v>
      </c>
      <c r="B785">
        <v>37</v>
      </c>
      <c r="C785">
        <v>540</v>
      </c>
      <c r="E785" s="13">
        <f t="shared" si="243"/>
        <v>540</v>
      </c>
      <c r="F785" s="13">
        <v>540</v>
      </c>
      <c r="G785" s="13">
        <f t="shared" si="244"/>
        <v>0</v>
      </c>
      <c r="H785" s="14">
        <v>1845</v>
      </c>
      <c r="I785" s="15">
        <v>359.96</v>
      </c>
      <c r="J785" s="13">
        <v>359.96</v>
      </c>
      <c r="K785" s="13">
        <v>0</v>
      </c>
      <c r="L785" s="13">
        <v>1629</v>
      </c>
      <c r="Q785" s="5">
        <f>SUMIFS(Coin!E:E,Coin!C:C,B785,Coin!D:D,A785)</f>
        <v>0</v>
      </c>
    </row>
    <row r="786" spans="1:20" x14ac:dyDescent="0.25">
      <c r="A786" s="1">
        <f t="shared" si="246"/>
        <v>42939</v>
      </c>
      <c r="B786">
        <v>41</v>
      </c>
      <c r="C786">
        <v>120.9</v>
      </c>
      <c r="E786" s="13">
        <f t="shared" si="243"/>
        <v>120.9</v>
      </c>
      <c r="F786" s="13">
        <v>120.9</v>
      </c>
      <c r="G786" s="13">
        <f t="shared" si="244"/>
        <v>0</v>
      </c>
      <c r="H786" s="14">
        <v>1849</v>
      </c>
      <c r="I786" s="15">
        <v>262.8</v>
      </c>
      <c r="J786" s="13">
        <v>262.8</v>
      </c>
      <c r="K786" s="13">
        <v>0</v>
      </c>
      <c r="L786" s="13">
        <v>1615</v>
      </c>
      <c r="Q786" s="5">
        <f>SUMIFS(Coin!E:E,Coin!C:C,B786,Coin!D:D,A786)</f>
        <v>0</v>
      </c>
    </row>
    <row r="787" spans="1:20" x14ac:dyDescent="0.25">
      <c r="A787" s="1">
        <f t="shared" si="246"/>
        <v>42939</v>
      </c>
      <c r="B787">
        <v>43</v>
      </c>
      <c r="C787">
        <v>365</v>
      </c>
      <c r="E787" s="13">
        <f t="shared" si="243"/>
        <v>365</v>
      </c>
      <c r="F787" s="13">
        <v>365</v>
      </c>
      <c r="G787" s="13">
        <f t="shared" si="244"/>
        <v>0</v>
      </c>
      <c r="H787" s="14">
        <v>1851</v>
      </c>
      <c r="I787" s="15">
        <v>234.85</v>
      </c>
      <c r="J787" s="13">
        <v>234.85</v>
      </c>
      <c r="K787" s="13">
        <v>0</v>
      </c>
      <c r="L787" s="13">
        <v>1614</v>
      </c>
      <c r="Q787" s="5">
        <f>SUMIFS(Coin!E:E,Coin!C:C,B787,Coin!D:D,A787)</f>
        <v>0</v>
      </c>
    </row>
    <row r="788" spans="1:20" x14ac:dyDescent="0.25">
      <c r="A788" s="1">
        <f t="shared" si="246"/>
        <v>42939</v>
      </c>
      <c r="B788">
        <v>44</v>
      </c>
      <c r="C788">
        <v>237.7</v>
      </c>
      <c r="E788" s="13">
        <f t="shared" si="243"/>
        <v>237.7</v>
      </c>
      <c r="F788" s="13">
        <v>237.7</v>
      </c>
      <c r="G788" s="13">
        <f t="shared" si="244"/>
        <v>0</v>
      </c>
      <c r="H788" s="14">
        <v>1855</v>
      </c>
      <c r="I788" s="15">
        <v>270</v>
      </c>
      <c r="J788" s="13">
        <v>270</v>
      </c>
      <c r="K788" s="13">
        <v>0</v>
      </c>
      <c r="L788" s="13">
        <v>1616</v>
      </c>
      <c r="Q788" s="5">
        <f>SUMIFS(Coin!E:E,Coin!C:C,B788,Coin!D:D,A788)</f>
        <v>0</v>
      </c>
    </row>
    <row r="789" spans="1:20" x14ac:dyDescent="0.25">
      <c r="A789" s="1">
        <f t="shared" si="246"/>
        <v>42939</v>
      </c>
      <c r="B789">
        <v>103</v>
      </c>
      <c r="C789">
        <v>425</v>
      </c>
      <c r="E789" s="13">
        <f t="shared" si="243"/>
        <v>425</v>
      </c>
      <c r="F789" s="13">
        <v>425</v>
      </c>
      <c r="G789" s="13">
        <f t="shared" si="244"/>
        <v>0</v>
      </c>
      <c r="H789" s="14">
        <v>1856</v>
      </c>
      <c r="I789" s="15">
        <v>240</v>
      </c>
      <c r="J789" s="13">
        <v>240</v>
      </c>
      <c r="K789" s="13">
        <v>0</v>
      </c>
      <c r="L789" s="13">
        <v>1617</v>
      </c>
      <c r="Q789" s="5">
        <f>SUMIFS(Coin!E:E,Coin!C:C,B789,Coin!D:D,A789)</f>
        <v>0</v>
      </c>
    </row>
    <row r="790" spans="1:20" x14ac:dyDescent="0.25">
      <c r="A790" s="1">
        <f t="shared" si="246"/>
        <v>42939</v>
      </c>
      <c r="B790">
        <v>201</v>
      </c>
      <c r="C790">
        <v>455</v>
      </c>
      <c r="E790" s="13">
        <f t="shared" si="243"/>
        <v>455</v>
      </c>
      <c r="F790" s="13">
        <v>455</v>
      </c>
      <c r="G790" s="13">
        <f t="shared" si="244"/>
        <v>0</v>
      </c>
      <c r="H790" s="14">
        <v>1859</v>
      </c>
      <c r="I790" s="15">
        <v>290</v>
      </c>
      <c r="J790" s="13">
        <v>290</v>
      </c>
      <c r="K790" s="13">
        <v>0</v>
      </c>
      <c r="L790" s="13">
        <v>1630</v>
      </c>
      <c r="Q790" s="5">
        <f>SUMIFS(Coin!E:E,Coin!C:C,B790,Coin!D:D,A790)</f>
        <v>0</v>
      </c>
    </row>
    <row r="791" spans="1:20" x14ac:dyDescent="0.25">
      <c r="A791" s="1">
        <f t="shared" ref="A791:A797" si="247">DATE(2017,7,24)</f>
        <v>42940</v>
      </c>
      <c r="B791">
        <v>35</v>
      </c>
      <c r="C791">
        <v>615.85</v>
      </c>
      <c r="E791" s="13">
        <f t="shared" ref="E791:E797" si="248">C791+D791-Q791+U791</f>
        <v>610</v>
      </c>
      <c r="F791" s="13">
        <v>610</v>
      </c>
      <c r="G791" s="13">
        <f t="shared" si="244"/>
        <v>0</v>
      </c>
      <c r="H791" s="14">
        <v>1842</v>
      </c>
      <c r="I791" s="15">
        <v>691.8</v>
      </c>
      <c r="J791" s="13">
        <v>691.8</v>
      </c>
      <c r="K791" s="13">
        <v>0</v>
      </c>
      <c r="L791" s="13">
        <v>1637</v>
      </c>
      <c r="Q791" s="15">
        <v>5.85</v>
      </c>
      <c r="R791" s="13">
        <v>5.85</v>
      </c>
      <c r="S791" s="13">
        <v>0</v>
      </c>
      <c r="T791" s="19">
        <v>1861</v>
      </c>
    </row>
    <row r="792" spans="1:20" x14ac:dyDescent="0.25">
      <c r="A792" s="1">
        <f t="shared" si="247"/>
        <v>42940</v>
      </c>
      <c r="B792">
        <v>37</v>
      </c>
      <c r="C792">
        <v>299.95</v>
      </c>
      <c r="E792" s="13">
        <f t="shared" si="248"/>
        <v>299.95</v>
      </c>
      <c r="F792" s="13">
        <v>299.95</v>
      </c>
      <c r="G792" s="13">
        <f t="shared" ref="G792:G805" si="249">E792-F792</f>
        <v>0</v>
      </c>
      <c r="H792" s="14">
        <v>1862</v>
      </c>
      <c r="I792" s="15">
        <v>429.85</v>
      </c>
      <c r="J792" s="13">
        <v>429.85</v>
      </c>
      <c r="K792" s="13">
        <v>0</v>
      </c>
      <c r="L792" s="13">
        <v>1640</v>
      </c>
      <c r="Q792" s="5">
        <f>SUMIFS(Coin!E:E,Coin!C:C,B792,Coin!D:D,A792)</f>
        <v>0</v>
      </c>
    </row>
    <row r="793" spans="1:20" x14ac:dyDescent="0.25">
      <c r="A793" s="1">
        <f t="shared" si="247"/>
        <v>42940</v>
      </c>
      <c r="B793">
        <v>41</v>
      </c>
      <c r="C793">
        <v>447.9</v>
      </c>
      <c r="E793" s="13">
        <f t="shared" si="248"/>
        <v>447.9</v>
      </c>
      <c r="F793" s="13">
        <v>447.9</v>
      </c>
      <c r="G793" s="13">
        <f t="shared" si="249"/>
        <v>0</v>
      </c>
      <c r="H793" s="14">
        <v>1875</v>
      </c>
      <c r="I793" s="15">
        <v>234.95</v>
      </c>
      <c r="J793" s="13">
        <v>234.95</v>
      </c>
      <c r="K793" s="13">
        <v>0</v>
      </c>
      <c r="L793" s="13">
        <v>1635</v>
      </c>
      <c r="Q793" s="5">
        <f>SUMIFS(Coin!E:E,Coin!C:C,B793,Coin!D:D,A793)</f>
        <v>0</v>
      </c>
    </row>
    <row r="794" spans="1:20" x14ac:dyDescent="0.25">
      <c r="A794" s="1">
        <f t="shared" si="247"/>
        <v>42940</v>
      </c>
      <c r="B794">
        <v>43</v>
      </c>
      <c r="C794">
        <v>590.9</v>
      </c>
      <c r="E794" s="13">
        <f t="shared" si="248"/>
        <v>590.9</v>
      </c>
      <c r="F794" s="13">
        <v>590.9</v>
      </c>
      <c r="G794" s="13">
        <f t="shared" si="249"/>
        <v>0</v>
      </c>
      <c r="H794" s="14">
        <v>1863</v>
      </c>
      <c r="I794" s="15">
        <v>214.9</v>
      </c>
      <c r="J794" s="13">
        <v>214.9</v>
      </c>
      <c r="K794" s="13">
        <v>0</v>
      </c>
      <c r="L794" s="13">
        <v>1639</v>
      </c>
      <c r="Q794" s="5">
        <f>SUMIFS(Coin!E:E,Coin!C:C,B794,Coin!D:D,A794)</f>
        <v>0</v>
      </c>
    </row>
    <row r="795" spans="1:20" x14ac:dyDescent="0.25">
      <c r="A795" s="1">
        <f t="shared" si="247"/>
        <v>42940</v>
      </c>
      <c r="B795">
        <v>44</v>
      </c>
      <c r="C795">
        <v>262.85000000000002</v>
      </c>
      <c r="E795" s="13">
        <f t="shared" si="248"/>
        <v>262.85000000000002</v>
      </c>
      <c r="F795" s="13">
        <v>262.85000000000002</v>
      </c>
      <c r="G795" s="13">
        <f t="shared" si="249"/>
        <v>0</v>
      </c>
      <c r="H795" s="14">
        <v>1864</v>
      </c>
      <c r="I795" s="15">
        <v>410</v>
      </c>
      <c r="J795" s="13">
        <v>410</v>
      </c>
      <c r="K795" s="13">
        <v>0</v>
      </c>
      <c r="L795" s="13">
        <v>1638</v>
      </c>
      <c r="Q795" s="5">
        <f>SUMIFS(Coin!E:E,Coin!C:C,B795,Coin!D:D,A795)</f>
        <v>0</v>
      </c>
    </row>
    <row r="796" spans="1:20" x14ac:dyDescent="0.25">
      <c r="A796" s="1">
        <f t="shared" si="247"/>
        <v>42940</v>
      </c>
      <c r="B796">
        <v>103</v>
      </c>
      <c r="C796">
        <v>1015</v>
      </c>
      <c r="E796" s="13">
        <f t="shared" si="248"/>
        <v>1014.5</v>
      </c>
      <c r="F796" s="13">
        <v>1014.5</v>
      </c>
      <c r="G796" s="13">
        <f t="shared" si="249"/>
        <v>0</v>
      </c>
      <c r="H796" s="14">
        <v>1866</v>
      </c>
      <c r="I796" s="15">
        <v>565</v>
      </c>
      <c r="J796" s="13">
        <v>565</v>
      </c>
      <c r="K796" s="13">
        <v>0</v>
      </c>
      <c r="L796" s="13">
        <v>1636</v>
      </c>
      <c r="Q796" s="15">
        <v>0.5</v>
      </c>
      <c r="R796" s="13">
        <v>0.5</v>
      </c>
      <c r="S796" s="13">
        <v>0</v>
      </c>
      <c r="T796" s="19">
        <v>1865</v>
      </c>
    </row>
    <row r="797" spans="1:20" x14ac:dyDescent="0.25">
      <c r="A797" s="1">
        <f t="shared" si="247"/>
        <v>42940</v>
      </c>
      <c r="B797">
        <v>201</v>
      </c>
      <c r="C797">
        <v>360</v>
      </c>
      <c r="E797" s="13">
        <f t="shared" si="248"/>
        <v>360</v>
      </c>
      <c r="F797" s="13">
        <v>360</v>
      </c>
      <c r="G797" s="13">
        <f t="shared" si="249"/>
        <v>0</v>
      </c>
      <c r="H797" s="14">
        <v>1867</v>
      </c>
      <c r="I797" s="15">
        <v>140</v>
      </c>
      <c r="J797" s="13">
        <v>140</v>
      </c>
      <c r="K797" s="13">
        <v>0</v>
      </c>
      <c r="L797" s="13">
        <v>1641</v>
      </c>
      <c r="Q797" s="5">
        <f>SUMIFS(Coin!E:E,Coin!C:C,B797,Coin!D:D,A797)</f>
        <v>0</v>
      </c>
    </row>
    <row r="798" spans="1:20" x14ac:dyDescent="0.25">
      <c r="A798" s="1">
        <f t="shared" ref="A798:A804" si="250">DATE(2017,7,25)</f>
        <v>42941</v>
      </c>
      <c r="B798">
        <v>35</v>
      </c>
      <c r="C798">
        <v>684.55</v>
      </c>
      <c r="E798" s="13">
        <f t="shared" ref="E798:E804" si="251">C798+D798-Q798+U798</f>
        <v>680</v>
      </c>
      <c r="F798" s="13">
        <v>680</v>
      </c>
      <c r="G798" s="13">
        <f t="shared" si="249"/>
        <v>0</v>
      </c>
      <c r="H798" s="14">
        <v>1860</v>
      </c>
      <c r="I798" s="15">
        <v>767.41</v>
      </c>
      <c r="J798" s="13">
        <v>767.41</v>
      </c>
      <c r="K798" s="13">
        <v>0</v>
      </c>
      <c r="L798" s="13">
        <v>1646</v>
      </c>
      <c r="Q798" s="15">
        <v>4.55</v>
      </c>
      <c r="R798" s="13">
        <v>4.55</v>
      </c>
      <c r="S798" s="13">
        <v>0</v>
      </c>
      <c r="T798" s="19">
        <v>1869</v>
      </c>
    </row>
    <row r="799" spans="1:20" x14ac:dyDescent="0.25">
      <c r="A799" s="1">
        <f t="shared" si="250"/>
        <v>42941</v>
      </c>
      <c r="B799">
        <v>37</v>
      </c>
      <c r="C799">
        <v>354.95</v>
      </c>
      <c r="E799" s="13">
        <f t="shared" si="251"/>
        <v>354.95</v>
      </c>
      <c r="F799" s="13">
        <v>354.95</v>
      </c>
      <c r="G799" s="13">
        <f t="shared" si="249"/>
        <v>0</v>
      </c>
      <c r="H799" s="14">
        <v>1870</v>
      </c>
      <c r="I799" s="15">
        <v>373.8</v>
      </c>
      <c r="J799" s="13">
        <v>373.8</v>
      </c>
      <c r="K799" s="13">
        <v>0</v>
      </c>
      <c r="L799" s="13">
        <v>1648</v>
      </c>
      <c r="Q799" s="5">
        <f>SUMIFS(Coin!E:E,Coin!C:C,B799,Coin!D:D,A799)</f>
        <v>0</v>
      </c>
    </row>
    <row r="800" spans="1:20" x14ac:dyDescent="0.25">
      <c r="A800" s="1">
        <f t="shared" si="250"/>
        <v>42941</v>
      </c>
      <c r="B800">
        <v>41</v>
      </c>
      <c r="C800">
        <v>564.79999999999995</v>
      </c>
      <c r="E800" s="13">
        <f t="shared" si="251"/>
        <v>564.79999999999995</v>
      </c>
      <c r="F800" s="13">
        <v>564.79999999999995</v>
      </c>
      <c r="G800" s="13">
        <f t="shared" si="249"/>
        <v>0</v>
      </c>
      <c r="H800" s="14">
        <v>1876</v>
      </c>
      <c r="I800" s="15">
        <v>346.53</v>
      </c>
      <c r="J800" s="13">
        <v>346.53</v>
      </c>
      <c r="K800" s="13">
        <v>0</v>
      </c>
      <c r="L800" s="13">
        <v>1642</v>
      </c>
      <c r="Q800" s="5">
        <f>SUMIFS(Coin!E:E,Coin!C:C,B800,Coin!D:D,A800)</f>
        <v>0</v>
      </c>
    </row>
    <row r="801" spans="1:21" x14ac:dyDescent="0.25">
      <c r="A801" s="1">
        <f t="shared" si="250"/>
        <v>42941</v>
      </c>
      <c r="B801">
        <v>43</v>
      </c>
      <c r="C801">
        <v>983.2</v>
      </c>
      <c r="E801" s="13">
        <f t="shared" si="251"/>
        <v>983.2</v>
      </c>
      <c r="F801" s="13">
        <v>983.2</v>
      </c>
      <c r="G801" s="13">
        <f t="shared" si="249"/>
        <v>0</v>
      </c>
      <c r="H801" s="14">
        <v>1871</v>
      </c>
      <c r="I801" s="15">
        <v>549.92999999999995</v>
      </c>
      <c r="J801" s="13">
        <v>549.92999999999995</v>
      </c>
      <c r="K801" s="13">
        <v>0</v>
      </c>
      <c r="L801" s="13">
        <v>1643</v>
      </c>
      <c r="Q801" s="5">
        <f>SUMIFS(Coin!E:E,Coin!C:C,B801,Coin!D:D,A801)</f>
        <v>0</v>
      </c>
    </row>
    <row r="802" spans="1:21" x14ac:dyDescent="0.25">
      <c r="A802" s="1">
        <f t="shared" si="250"/>
        <v>42941</v>
      </c>
      <c r="B802">
        <v>44</v>
      </c>
      <c r="C802">
        <v>369.75</v>
      </c>
      <c r="E802" s="13">
        <f t="shared" si="251"/>
        <v>374.75</v>
      </c>
      <c r="F802" s="13">
        <v>374.75</v>
      </c>
      <c r="G802" s="13">
        <f t="shared" si="249"/>
        <v>0</v>
      </c>
      <c r="H802" s="14">
        <v>1872</v>
      </c>
      <c r="I802" s="15">
        <v>230.85</v>
      </c>
      <c r="J802" s="13">
        <v>230.85</v>
      </c>
      <c r="K802" s="13">
        <v>0</v>
      </c>
      <c r="L802" s="13">
        <v>1645</v>
      </c>
      <c r="M802" s="15">
        <v>40</v>
      </c>
      <c r="N802" s="13">
        <v>40</v>
      </c>
      <c r="O802" s="13">
        <v>0</v>
      </c>
      <c r="P802" s="13">
        <v>88</v>
      </c>
      <c r="Q802" s="5">
        <f>SUMIFS(Coin!E:E,Coin!C:C,B802,Coin!D:D,A802)</f>
        <v>0</v>
      </c>
      <c r="U802" s="21">
        <v>5</v>
      </c>
    </row>
    <row r="803" spans="1:21" x14ac:dyDescent="0.25">
      <c r="A803" s="1">
        <f t="shared" si="250"/>
        <v>42941</v>
      </c>
      <c r="B803">
        <v>103</v>
      </c>
      <c r="C803">
        <v>1427.9</v>
      </c>
      <c r="E803" s="13">
        <f t="shared" si="251"/>
        <v>1446.3000000000002</v>
      </c>
      <c r="F803" s="13">
        <v>1446.3</v>
      </c>
      <c r="G803" s="13">
        <f t="shared" si="249"/>
        <v>0</v>
      </c>
      <c r="H803" s="14">
        <v>1873</v>
      </c>
      <c r="I803" s="15">
        <v>937.65</v>
      </c>
      <c r="J803" s="13">
        <v>937.65</v>
      </c>
      <c r="K803" s="13">
        <v>0</v>
      </c>
      <c r="L803" s="13">
        <v>1644</v>
      </c>
      <c r="Q803" s="5">
        <f>SUMIFS(Coin!E:E,Coin!C:C,B803,Coin!D:D,A803)</f>
        <v>0</v>
      </c>
      <c r="U803" s="21">
        <v>18.399999999999999</v>
      </c>
    </row>
    <row r="804" spans="1:21" x14ac:dyDescent="0.25">
      <c r="A804" s="1">
        <f t="shared" si="250"/>
        <v>42941</v>
      </c>
      <c r="B804">
        <v>201</v>
      </c>
      <c r="C804">
        <v>814.85</v>
      </c>
      <c r="E804" s="13">
        <f t="shared" si="251"/>
        <v>814.85</v>
      </c>
      <c r="F804" s="13">
        <v>814.85</v>
      </c>
      <c r="G804" s="13">
        <f t="shared" si="249"/>
        <v>0</v>
      </c>
      <c r="H804" s="14">
        <v>1874</v>
      </c>
      <c r="I804" s="15">
        <v>594.79999999999995</v>
      </c>
      <c r="J804" s="13">
        <v>594.79999999999995</v>
      </c>
      <c r="K804" s="13">
        <v>0</v>
      </c>
      <c r="L804" s="13">
        <v>1647</v>
      </c>
      <c r="Q804" s="5">
        <f>SUMIFS(Coin!E:E,Coin!C:C,B804,Coin!D:D,A804)</f>
        <v>0</v>
      </c>
    </row>
    <row r="805" spans="1:21" x14ac:dyDescent="0.25">
      <c r="A805" s="1">
        <f t="shared" ref="A805:A811" si="252">DATE(2017,7,26)</f>
        <v>42942</v>
      </c>
      <c r="B805">
        <v>35</v>
      </c>
      <c r="C805">
        <v>630.4</v>
      </c>
      <c r="E805" s="13">
        <f t="shared" ref="E805:E811" si="253">C805+D805-Q805+U805</f>
        <v>630</v>
      </c>
      <c r="F805" s="13">
        <v>630</v>
      </c>
      <c r="G805" s="13">
        <f t="shared" si="249"/>
        <v>0</v>
      </c>
      <c r="H805" s="14">
        <v>1868</v>
      </c>
      <c r="I805" s="15">
        <v>439.7</v>
      </c>
      <c r="J805" s="13">
        <v>439.7</v>
      </c>
      <c r="K805" s="13">
        <v>0</v>
      </c>
      <c r="L805" s="13">
        <v>1649</v>
      </c>
      <c r="Q805" s="15">
        <v>0.4</v>
      </c>
      <c r="R805" s="13">
        <v>0.4</v>
      </c>
      <c r="S805" s="13">
        <v>0</v>
      </c>
      <c r="T805" s="19">
        <v>1878</v>
      </c>
    </row>
    <row r="806" spans="1:21" x14ac:dyDescent="0.25">
      <c r="A806" s="1">
        <f t="shared" si="252"/>
        <v>42942</v>
      </c>
      <c r="B806">
        <v>37</v>
      </c>
      <c r="C806">
        <v>439.75</v>
      </c>
      <c r="E806" s="13">
        <f t="shared" si="253"/>
        <v>439.75</v>
      </c>
      <c r="F806" s="13">
        <v>439.75</v>
      </c>
      <c r="G806" s="13">
        <f t="shared" ref="G806:G812" si="254">E806-F806</f>
        <v>0</v>
      </c>
      <c r="H806" s="14">
        <v>1879</v>
      </c>
      <c r="I806" s="15">
        <v>564.67999999999995</v>
      </c>
      <c r="J806" s="13">
        <v>564.67999999999995</v>
      </c>
      <c r="K806" s="13">
        <v>0</v>
      </c>
      <c r="L806" s="13">
        <v>1655</v>
      </c>
      <c r="Q806" s="5">
        <f>SUMIFS(Coin!E:E,Coin!C:C,B806,Coin!D:D,A806)</f>
        <v>0</v>
      </c>
    </row>
    <row r="807" spans="1:21" x14ac:dyDescent="0.25">
      <c r="A807" s="1">
        <f t="shared" si="252"/>
        <v>42942</v>
      </c>
      <c r="B807">
        <v>41</v>
      </c>
      <c r="C807">
        <v>914.45</v>
      </c>
      <c r="E807" s="13">
        <f t="shared" si="253"/>
        <v>914.45</v>
      </c>
      <c r="F807" s="13">
        <v>914.45</v>
      </c>
      <c r="G807" s="13">
        <f t="shared" si="254"/>
        <v>0</v>
      </c>
      <c r="H807" s="14">
        <v>1884</v>
      </c>
      <c r="I807" s="15">
        <v>422.63</v>
      </c>
      <c r="J807" s="13">
        <v>422.63</v>
      </c>
      <c r="K807" s="13">
        <v>0</v>
      </c>
      <c r="L807" s="13">
        <v>1651</v>
      </c>
      <c r="Q807" s="5">
        <f>SUMIFS(Coin!E:E,Coin!C:C,B807,Coin!D:D,A807)</f>
        <v>0</v>
      </c>
    </row>
    <row r="808" spans="1:21" x14ac:dyDescent="0.25">
      <c r="A808" s="1">
        <f t="shared" si="252"/>
        <v>42942</v>
      </c>
      <c r="B808">
        <v>43</v>
      </c>
      <c r="C808">
        <v>690.3</v>
      </c>
      <c r="E808" s="13">
        <f t="shared" si="253"/>
        <v>690.3</v>
      </c>
      <c r="F808" s="13">
        <v>690.3</v>
      </c>
      <c r="G808" s="13">
        <f t="shared" si="254"/>
        <v>0</v>
      </c>
      <c r="H808" s="14">
        <v>1880</v>
      </c>
      <c r="I808" s="15">
        <v>232.75</v>
      </c>
      <c r="J808" s="13">
        <v>232.75</v>
      </c>
      <c r="K808" s="13">
        <v>0</v>
      </c>
      <c r="L808" s="13">
        <v>1652</v>
      </c>
      <c r="Q808" s="5">
        <f>SUMIFS(Coin!E:E,Coin!C:C,B808,Coin!D:D,A808)</f>
        <v>0</v>
      </c>
    </row>
    <row r="809" spans="1:21" x14ac:dyDescent="0.25">
      <c r="A809" s="1">
        <f t="shared" si="252"/>
        <v>42942</v>
      </c>
      <c r="B809">
        <v>44</v>
      </c>
      <c r="C809">
        <v>221.7</v>
      </c>
      <c r="E809" s="13">
        <f t="shared" si="253"/>
        <v>221.7</v>
      </c>
      <c r="F809" s="13">
        <v>221.7</v>
      </c>
      <c r="G809" s="13">
        <f t="shared" si="254"/>
        <v>0</v>
      </c>
      <c r="H809" s="14">
        <v>1883</v>
      </c>
      <c r="I809" s="15">
        <v>192.8</v>
      </c>
      <c r="J809" s="13">
        <v>192.8</v>
      </c>
      <c r="K809" s="13">
        <v>0</v>
      </c>
      <c r="L809" s="13">
        <v>1653</v>
      </c>
      <c r="Q809" s="5">
        <f>SUMIFS(Coin!E:E,Coin!C:C,B809,Coin!D:D,A809)</f>
        <v>0</v>
      </c>
    </row>
    <row r="810" spans="1:21" x14ac:dyDescent="0.25">
      <c r="A810" s="1">
        <f t="shared" si="252"/>
        <v>42942</v>
      </c>
      <c r="B810">
        <v>103</v>
      </c>
      <c r="C810">
        <v>829.75</v>
      </c>
      <c r="E810" s="13">
        <f t="shared" si="253"/>
        <v>800</v>
      </c>
      <c r="F810" s="13">
        <v>800</v>
      </c>
      <c r="G810" s="13">
        <f t="shared" si="254"/>
        <v>0</v>
      </c>
      <c r="H810" s="14">
        <v>1881</v>
      </c>
      <c r="I810" s="15">
        <v>578.6</v>
      </c>
      <c r="J810" s="13">
        <v>578.6</v>
      </c>
      <c r="K810" s="13">
        <v>0</v>
      </c>
      <c r="L810" s="13">
        <v>1650</v>
      </c>
      <c r="Q810" s="5">
        <v>29.75</v>
      </c>
    </row>
    <row r="811" spans="1:21" x14ac:dyDescent="0.25">
      <c r="A811" s="1">
        <f t="shared" si="252"/>
        <v>42942</v>
      </c>
      <c r="B811">
        <v>201</v>
      </c>
      <c r="C811">
        <v>754.4</v>
      </c>
      <c r="E811" s="13">
        <f t="shared" si="253"/>
        <v>754.4</v>
      </c>
      <c r="F811" s="13">
        <v>754.4</v>
      </c>
      <c r="G811" s="13">
        <f t="shared" si="254"/>
        <v>0</v>
      </c>
      <c r="H811" s="14">
        <v>1882</v>
      </c>
      <c r="I811" s="15">
        <v>514.75</v>
      </c>
      <c r="J811" s="13">
        <v>514.75</v>
      </c>
      <c r="K811" s="13">
        <v>0</v>
      </c>
      <c r="L811" s="13">
        <v>1654</v>
      </c>
      <c r="Q811" s="5">
        <f>SUMIFS(Coin!E:E,Coin!C:C,B811,Coin!D:D,A811)</f>
        <v>0</v>
      </c>
    </row>
    <row r="812" spans="1:21" x14ac:dyDescent="0.25">
      <c r="A812" s="1">
        <f t="shared" ref="A812:A818" si="255">DATE(2017,7,27)</f>
        <v>42943</v>
      </c>
      <c r="B812">
        <v>35</v>
      </c>
      <c r="C812">
        <v>1741.3</v>
      </c>
      <c r="E812" s="13">
        <f t="shared" ref="E812:E818" si="256">C812+D812-Q812+U812</f>
        <v>1735</v>
      </c>
      <c r="F812" s="13">
        <v>1735</v>
      </c>
      <c r="G812" s="13">
        <f t="shared" si="254"/>
        <v>0</v>
      </c>
      <c r="H812" s="14">
        <v>1877</v>
      </c>
      <c r="I812" s="15">
        <v>799.03</v>
      </c>
      <c r="J812" s="13">
        <v>799.03</v>
      </c>
      <c r="K812" s="13">
        <v>0</v>
      </c>
      <c r="L812" s="13">
        <v>1658</v>
      </c>
      <c r="Q812" s="15">
        <v>6.3</v>
      </c>
      <c r="R812" s="13">
        <v>6.3</v>
      </c>
      <c r="S812" s="13">
        <v>0</v>
      </c>
      <c r="T812" s="19">
        <v>1887</v>
      </c>
    </row>
    <row r="813" spans="1:21" x14ac:dyDescent="0.25">
      <c r="A813" s="1">
        <f t="shared" si="255"/>
        <v>42943</v>
      </c>
      <c r="B813">
        <v>37</v>
      </c>
      <c r="C813">
        <v>1064.4000000000001</v>
      </c>
      <c r="E813" s="13">
        <f t="shared" si="256"/>
        <v>993.40000000000009</v>
      </c>
      <c r="F813" s="13">
        <v>993.4</v>
      </c>
      <c r="G813" s="13">
        <f t="shared" ref="G813:G819" si="257">E813-F813</f>
        <v>0</v>
      </c>
      <c r="H813" s="14">
        <v>1889</v>
      </c>
      <c r="I813" s="15">
        <v>1094.03</v>
      </c>
      <c r="J813" s="13">
        <v>1094.03</v>
      </c>
      <c r="K813" s="13">
        <v>0</v>
      </c>
      <c r="L813" s="13">
        <v>1661</v>
      </c>
      <c r="Q813" s="15">
        <v>50</v>
      </c>
      <c r="R813" s="13">
        <v>50</v>
      </c>
      <c r="S813" s="13">
        <v>0</v>
      </c>
      <c r="T813" s="19">
        <v>1888</v>
      </c>
      <c r="U813" s="21">
        <v>-21</v>
      </c>
    </row>
    <row r="814" spans="1:21" x14ac:dyDescent="0.25">
      <c r="A814" s="1">
        <f t="shared" si="255"/>
        <v>42943</v>
      </c>
      <c r="B814">
        <v>41</v>
      </c>
      <c r="C814">
        <v>978.3</v>
      </c>
      <c r="E814" s="13">
        <f t="shared" si="256"/>
        <v>978.3</v>
      </c>
      <c r="F814" s="13">
        <v>978.3</v>
      </c>
      <c r="G814" s="13">
        <f t="shared" si="257"/>
        <v>0</v>
      </c>
      <c r="H814" s="14">
        <v>1895</v>
      </c>
      <c r="I814" s="15">
        <v>891.3</v>
      </c>
      <c r="J814" s="13">
        <v>891.3</v>
      </c>
      <c r="K814" s="13">
        <v>0</v>
      </c>
      <c r="L814" s="13">
        <v>1660</v>
      </c>
      <c r="Q814" s="5">
        <f>SUMIFS(Coin!E:E,Coin!C:C,B814,Coin!D:D,A814)</f>
        <v>0</v>
      </c>
    </row>
    <row r="815" spans="1:21" x14ac:dyDescent="0.25">
      <c r="A815" s="1">
        <f t="shared" si="255"/>
        <v>42943</v>
      </c>
      <c r="B815">
        <v>43</v>
      </c>
      <c r="C815">
        <v>1527.6</v>
      </c>
      <c r="E815" s="13">
        <f t="shared" si="256"/>
        <v>1527.6</v>
      </c>
      <c r="F815" s="13">
        <v>1527.6</v>
      </c>
      <c r="G815" s="13">
        <f t="shared" si="257"/>
        <v>0</v>
      </c>
      <c r="H815" s="14">
        <v>1894</v>
      </c>
      <c r="I815" s="15">
        <v>683.5</v>
      </c>
      <c r="J815" s="13">
        <v>683.5</v>
      </c>
      <c r="K815" s="13">
        <v>0</v>
      </c>
      <c r="L815" s="13">
        <v>1659</v>
      </c>
      <c r="Q815" s="5">
        <f>SUMIFS(Coin!E:E,Coin!C:C,B815,Coin!D:D,A815)</f>
        <v>0</v>
      </c>
    </row>
    <row r="816" spans="1:21" x14ac:dyDescent="0.25">
      <c r="A816" s="1">
        <f t="shared" si="255"/>
        <v>42943</v>
      </c>
      <c r="B816">
        <v>44</v>
      </c>
      <c r="C816">
        <v>513.6</v>
      </c>
      <c r="D816">
        <v>-12</v>
      </c>
      <c r="E816" s="13">
        <f t="shared" si="256"/>
        <v>501.6</v>
      </c>
      <c r="F816" s="13">
        <v>501.6</v>
      </c>
      <c r="G816" s="13">
        <f t="shared" si="257"/>
        <v>0</v>
      </c>
      <c r="H816" s="14">
        <v>1890</v>
      </c>
      <c r="I816" s="15">
        <v>613.35</v>
      </c>
      <c r="J816" s="13">
        <v>613.35</v>
      </c>
      <c r="K816" s="13">
        <v>0</v>
      </c>
      <c r="L816" s="13">
        <v>1656</v>
      </c>
      <c r="M816" s="5">
        <v>20</v>
      </c>
      <c r="Q816" s="5">
        <f>SUMIFS(Coin!E:E,Coin!C:C,B816,Coin!D:D,A816)</f>
        <v>0</v>
      </c>
    </row>
    <row r="817" spans="1:21" x14ac:dyDescent="0.25">
      <c r="A817" s="1">
        <f t="shared" si="255"/>
        <v>42943</v>
      </c>
      <c r="B817">
        <v>103</v>
      </c>
      <c r="C817">
        <v>1553</v>
      </c>
      <c r="E817" s="13">
        <f t="shared" si="256"/>
        <v>1513.85</v>
      </c>
      <c r="F817" s="13">
        <v>1513.85</v>
      </c>
      <c r="G817" s="13">
        <f t="shared" si="257"/>
        <v>0</v>
      </c>
      <c r="H817" s="14">
        <v>1892</v>
      </c>
      <c r="I817" s="15">
        <v>1084.33</v>
      </c>
      <c r="J817" s="13">
        <v>1084.33</v>
      </c>
      <c r="K817" s="13">
        <v>0</v>
      </c>
      <c r="L817" s="13">
        <v>1657</v>
      </c>
      <c r="Q817" s="15">
        <v>50</v>
      </c>
      <c r="R817" s="13">
        <v>50</v>
      </c>
      <c r="S817" s="13">
        <v>0</v>
      </c>
      <c r="T817" s="19">
        <v>1891</v>
      </c>
      <c r="U817" s="21">
        <v>10.85</v>
      </c>
    </row>
    <row r="818" spans="1:21" x14ac:dyDescent="0.25">
      <c r="A818" s="1">
        <f t="shared" si="255"/>
        <v>42943</v>
      </c>
      <c r="B818">
        <v>201</v>
      </c>
      <c r="C818">
        <v>874.5</v>
      </c>
      <c r="E818" s="13">
        <f t="shared" si="256"/>
        <v>874.5</v>
      </c>
      <c r="F818" s="13">
        <v>874.5</v>
      </c>
      <c r="G818" s="13">
        <f t="shared" si="257"/>
        <v>0</v>
      </c>
      <c r="H818" s="14">
        <v>1893</v>
      </c>
      <c r="I818" s="15">
        <v>674.8</v>
      </c>
      <c r="J818" s="13">
        <v>674.8</v>
      </c>
      <c r="K818" s="13">
        <v>0</v>
      </c>
      <c r="L818" s="13">
        <v>1662</v>
      </c>
      <c r="Q818" s="5">
        <f>SUMIFS(Coin!E:E,Coin!C:C,B818,Coin!D:D,A818)</f>
        <v>0</v>
      </c>
    </row>
    <row r="819" spans="1:21" x14ac:dyDescent="0.25">
      <c r="A819" s="1">
        <f t="shared" ref="A819:A825" si="258">DATE(2017,7,28)</f>
        <v>42944</v>
      </c>
      <c r="B819">
        <v>35</v>
      </c>
      <c r="C819">
        <v>887.3</v>
      </c>
      <c r="E819" s="13">
        <f t="shared" ref="E819:E839" si="259">C819+D819-Q819+U819</f>
        <v>875</v>
      </c>
      <c r="F819" s="13">
        <v>875</v>
      </c>
      <c r="G819" s="13">
        <f t="shared" si="257"/>
        <v>0</v>
      </c>
      <c r="H819" s="14">
        <v>1886</v>
      </c>
      <c r="I819" s="15">
        <v>770.13</v>
      </c>
      <c r="J819" s="13">
        <v>770.13</v>
      </c>
      <c r="K819" s="13">
        <v>0</v>
      </c>
      <c r="L819" s="13">
        <v>1677</v>
      </c>
      <c r="Q819" s="15">
        <v>12.3</v>
      </c>
      <c r="R819" s="13">
        <v>12.3</v>
      </c>
      <c r="S819" s="13">
        <v>0</v>
      </c>
      <c r="T819" s="19">
        <v>1900</v>
      </c>
    </row>
    <row r="820" spans="1:21" x14ac:dyDescent="0.25">
      <c r="A820" s="1">
        <f t="shared" si="258"/>
        <v>42944</v>
      </c>
      <c r="B820">
        <v>37</v>
      </c>
      <c r="C820">
        <v>379.5</v>
      </c>
      <c r="E820" s="13">
        <f t="shared" si="259"/>
        <v>379.5</v>
      </c>
      <c r="F820" s="13">
        <v>379.5</v>
      </c>
      <c r="G820" s="13">
        <f>E820-F820</f>
        <v>0</v>
      </c>
      <c r="H820" s="14">
        <v>1902</v>
      </c>
      <c r="I820" s="15">
        <v>409.6</v>
      </c>
      <c r="J820" s="13">
        <v>409.6</v>
      </c>
      <c r="K820" s="13">
        <v>0</v>
      </c>
      <c r="L820" s="13">
        <v>1682</v>
      </c>
      <c r="Q820" s="5">
        <f>SUMIFS(Coin!E:E,Coin!C:C,B820,Coin!D:D,A820)</f>
        <v>0</v>
      </c>
    </row>
    <row r="821" spans="1:21" x14ac:dyDescent="0.25">
      <c r="A821" s="1">
        <f t="shared" si="258"/>
        <v>42944</v>
      </c>
      <c r="B821">
        <v>41</v>
      </c>
      <c r="C821">
        <v>946.3</v>
      </c>
      <c r="E821" s="13">
        <f t="shared" si="259"/>
        <v>946.3</v>
      </c>
      <c r="F821" s="13">
        <v>946.3</v>
      </c>
      <c r="G821" s="13"/>
      <c r="H821" s="14"/>
      <c r="I821" s="15">
        <v>837.23</v>
      </c>
      <c r="J821" s="13">
        <v>837.23</v>
      </c>
      <c r="K821" s="13">
        <v>0</v>
      </c>
      <c r="L821" s="13">
        <v>1673</v>
      </c>
      <c r="Q821" s="5">
        <f>SUMIFS(Coin!E:E,Coin!C:C,B821,Coin!D:D,A821)</f>
        <v>0</v>
      </c>
    </row>
    <row r="822" spans="1:21" x14ac:dyDescent="0.25">
      <c r="A822" s="1">
        <f t="shared" si="258"/>
        <v>42944</v>
      </c>
      <c r="B822">
        <v>43</v>
      </c>
      <c r="C822">
        <v>1559.75</v>
      </c>
      <c r="E822" s="13">
        <f t="shared" si="259"/>
        <v>1559.75</v>
      </c>
      <c r="F822" s="13">
        <v>1559.75</v>
      </c>
      <c r="G822" s="13">
        <f t="shared" ref="G822:G840" si="260">E822-F822</f>
        <v>0</v>
      </c>
      <c r="H822" s="14">
        <v>1908</v>
      </c>
      <c r="I822" s="15">
        <v>250.65</v>
      </c>
      <c r="J822" s="13">
        <v>250.65</v>
      </c>
      <c r="K822" s="13">
        <v>0</v>
      </c>
      <c r="L822" s="13">
        <v>1676</v>
      </c>
      <c r="Q822" s="5">
        <f>SUMIFS(Coin!E:E,Coin!C:C,B822,Coin!D:D,A822)</f>
        <v>0</v>
      </c>
    </row>
    <row r="823" spans="1:21" x14ac:dyDescent="0.25">
      <c r="A823" s="1">
        <f t="shared" si="258"/>
        <v>42944</v>
      </c>
      <c r="B823">
        <v>44</v>
      </c>
      <c r="C823">
        <v>396.55</v>
      </c>
      <c r="E823" s="13">
        <f t="shared" si="259"/>
        <v>396.55</v>
      </c>
      <c r="F823" s="13">
        <v>396.55</v>
      </c>
      <c r="G823" s="13">
        <f t="shared" si="260"/>
        <v>0</v>
      </c>
      <c r="H823" s="14">
        <v>1909</v>
      </c>
      <c r="I823" s="15">
        <v>279.73</v>
      </c>
      <c r="J823" s="13">
        <v>279.73</v>
      </c>
      <c r="K823" s="13">
        <v>0</v>
      </c>
      <c r="L823" s="13">
        <v>1675</v>
      </c>
      <c r="M823" s="5">
        <v>20</v>
      </c>
      <c r="Q823" s="5">
        <f>SUMIFS(Coin!E:E,Coin!C:C,B823,Coin!D:D,A823)</f>
        <v>0</v>
      </c>
    </row>
    <row r="824" spans="1:21" x14ac:dyDescent="0.25">
      <c r="A824" s="1">
        <f t="shared" si="258"/>
        <v>42944</v>
      </c>
      <c r="B824">
        <v>103</v>
      </c>
      <c r="C824">
        <v>1267.2</v>
      </c>
      <c r="D824">
        <v>-131.1</v>
      </c>
      <c r="E824" s="13">
        <f t="shared" si="259"/>
        <v>1136.1000000000001</v>
      </c>
      <c r="F824" s="13">
        <v>1136.0999999999999</v>
      </c>
      <c r="G824" s="13">
        <f t="shared" si="260"/>
        <v>0</v>
      </c>
      <c r="H824" s="14">
        <v>1897</v>
      </c>
      <c r="I824" s="15">
        <v>652.75</v>
      </c>
      <c r="J824" s="13">
        <v>652.75</v>
      </c>
      <c r="K824" s="13">
        <v>0</v>
      </c>
      <c r="L824" s="13">
        <v>1674</v>
      </c>
      <c r="Q824" s="5">
        <f>SUMIFS(Coin!E:E,Coin!C:C,B824,Coin!D:D,A824)</f>
        <v>0</v>
      </c>
    </row>
    <row r="825" spans="1:21" x14ac:dyDescent="0.25">
      <c r="A825" s="1">
        <f t="shared" si="258"/>
        <v>42944</v>
      </c>
      <c r="B825">
        <v>201</v>
      </c>
      <c r="C825">
        <v>1250.2</v>
      </c>
      <c r="E825" s="13">
        <f t="shared" si="259"/>
        <v>1250.2</v>
      </c>
      <c r="F825" s="13">
        <v>1250.2</v>
      </c>
      <c r="G825" s="13">
        <f t="shared" si="260"/>
        <v>0</v>
      </c>
      <c r="H825" s="14">
        <v>1912</v>
      </c>
      <c r="I825" s="15">
        <v>614.4</v>
      </c>
      <c r="J825" s="13">
        <v>614.4</v>
      </c>
      <c r="K825" s="13">
        <v>0</v>
      </c>
      <c r="L825" s="13">
        <v>1683</v>
      </c>
      <c r="Q825" s="5">
        <f>SUMIFS(Coin!E:E,Coin!C:C,B825,Coin!D:D,A825)</f>
        <v>0</v>
      </c>
    </row>
    <row r="826" spans="1:21" x14ac:dyDescent="0.25">
      <c r="A826" s="1">
        <f t="shared" ref="A826:A832" si="261">DATE(2017,7,29)</f>
        <v>42945</v>
      </c>
      <c r="B826">
        <v>35</v>
      </c>
      <c r="C826">
        <v>866.3</v>
      </c>
      <c r="E826" s="13">
        <f t="shared" si="259"/>
        <v>860</v>
      </c>
      <c r="F826" s="13">
        <v>860</v>
      </c>
      <c r="G826" s="13">
        <f t="shared" si="260"/>
        <v>0</v>
      </c>
      <c r="H826" s="14">
        <v>1896</v>
      </c>
      <c r="I826" s="15">
        <v>773.31</v>
      </c>
      <c r="J826" s="13">
        <v>773.31</v>
      </c>
      <c r="K826" s="13">
        <v>0</v>
      </c>
      <c r="L826" s="13">
        <v>1672</v>
      </c>
      <c r="M826" s="15">
        <v>22.95</v>
      </c>
      <c r="N826" s="13">
        <v>22.95</v>
      </c>
      <c r="O826" s="13">
        <v>0</v>
      </c>
      <c r="P826" s="13">
        <v>91</v>
      </c>
      <c r="Q826" s="15">
        <v>6.3</v>
      </c>
      <c r="R826" s="13">
        <v>6.3</v>
      </c>
      <c r="S826" s="13">
        <v>0</v>
      </c>
      <c r="T826" s="19">
        <v>1899</v>
      </c>
    </row>
    <row r="827" spans="1:21" x14ac:dyDescent="0.25">
      <c r="A827" s="1">
        <f t="shared" si="261"/>
        <v>42945</v>
      </c>
      <c r="B827">
        <v>37</v>
      </c>
      <c r="C827">
        <v>599.85</v>
      </c>
      <c r="E827" s="13">
        <f t="shared" si="259"/>
        <v>599.85</v>
      </c>
      <c r="F827" s="13">
        <v>599.85</v>
      </c>
      <c r="G827" s="13">
        <f t="shared" si="260"/>
        <v>0</v>
      </c>
      <c r="H827" s="14">
        <v>1903</v>
      </c>
      <c r="I827" s="15">
        <v>969.18</v>
      </c>
      <c r="J827" s="13">
        <v>969.18</v>
      </c>
      <c r="K827" s="13">
        <v>0</v>
      </c>
      <c r="L827" s="13">
        <v>1681</v>
      </c>
      <c r="Q827" s="5">
        <f>SUMIFS(Coin!E:E,Coin!C:C,B827,Coin!D:D,A827)</f>
        <v>0</v>
      </c>
    </row>
    <row r="828" spans="1:21" x14ac:dyDescent="0.25">
      <c r="A828" s="1">
        <f t="shared" si="261"/>
        <v>42945</v>
      </c>
      <c r="B828">
        <v>41</v>
      </c>
      <c r="C828">
        <v>518.6</v>
      </c>
      <c r="E828" s="13">
        <f t="shared" si="259"/>
        <v>518.6</v>
      </c>
      <c r="F828" s="13">
        <v>518.6</v>
      </c>
      <c r="G828" s="13">
        <f t="shared" si="260"/>
        <v>0</v>
      </c>
      <c r="H828" s="14">
        <v>1917</v>
      </c>
      <c r="I828" s="15">
        <v>677.58</v>
      </c>
      <c r="J828" s="13">
        <v>677.58</v>
      </c>
      <c r="K828" s="13">
        <v>0</v>
      </c>
      <c r="L828" s="13">
        <v>1668</v>
      </c>
      <c r="Q828" s="5">
        <f>SUMIFS(Coin!E:E,Coin!C:C,B828,Coin!D:D,A828)</f>
        <v>0</v>
      </c>
    </row>
    <row r="829" spans="1:21" x14ac:dyDescent="0.25">
      <c r="A829" s="1">
        <f t="shared" si="261"/>
        <v>42945</v>
      </c>
      <c r="B829">
        <v>43</v>
      </c>
      <c r="C829">
        <v>1222.05</v>
      </c>
      <c r="E829" s="13">
        <f t="shared" si="259"/>
        <v>1222.05</v>
      </c>
      <c r="F829" s="13">
        <v>1222.05</v>
      </c>
      <c r="G829" s="13">
        <f t="shared" si="260"/>
        <v>0</v>
      </c>
      <c r="H829" s="14">
        <v>1906</v>
      </c>
      <c r="I829" s="15">
        <v>610.45000000000005</v>
      </c>
      <c r="J829" s="13">
        <v>610.45000000000005</v>
      </c>
      <c r="K829" s="13">
        <v>0</v>
      </c>
      <c r="L829" s="13">
        <v>1671</v>
      </c>
      <c r="Q829" s="5">
        <f>SUMIFS(Coin!E:E,Coin!C:C,B829,Coin!D:D,A829)</f>
        <v>0</v>
      </c>
    </row>
    <row r="830" spans="1:21" x14ac:dyDescent="0.25">
      <c r="A830" s="1">
        <f t="shared" si="261"/>
        <v>42945</v>
      </c>
      <c r="B830">
        <v>44</v>
      </c>
      <c r="C830">
        <v>295.8</v>
      </c>
      <c r="E830" s="13">
        <f t="shared" si="259"/>
        <v>295.8</v>
      </c>
      <c r="F830" s="13">
        <v>295.89999999999998</v>
      </c>
      <c r="G830" s="13">
        <f t="shared" si="260"/>
        <v>-9.9999999999965894E-2</v>
      </c>
      <c r="H830" s="14">
        <v>1911</v>
      </c>
      <c r="I830" s="15">
        <v>444.5</v>
      </c>
      <c r="J830" s="13">
        <v>444.5</v>
      </c>
      <c r="K830" s="13">
        <v>0</v>
      </c>
      <c r="L830" s="13">
        <v>1669</v>
      </c>
      <c r="M830" s="15">
        <v>65.75</v>
      </c>
      <c r="N830" s="13">
        <v>65.75</v>
      </c>
      <c r="O830" s="13">
        <v>0</v>
      </c>
      <c r="P830" s="13">
        <v>89</v>
      </c>
      <c r="Q830" s="5">
        <f>SUMIFS(Coin!E:E,Coin!C:C,B830,Coin!D:D,A830)</f>
        <v>0</v>
      </c>
    </row>
    <row r="831" spans="1:21" x14ac:dyDescent="0.25">
      <c r="A831" s="1">
        <f t="shared" si="261"/>
        <v>42945</v>
      </c>
      <c r="B831">
        <v>103</v>
      </c>
      <c r="C831">
        <v>1094.25</v>
      </c>
      <c r="E831" s="13">
        <f t="shared" si="259"/>
        <v>1094.25</v>
      </c>
      <c r="F831" s="13">
        <v>1094.25</v>
      </c>
      <c r="G831" s="13">
        <f t="shared" si="260"/>
        <v>0</v>
      </c>
      <c r="H831" s="14">
        <v>1916</v>
      </c>
      <c r="I831" s="15">
        <v>947.63</v>
      </c>
      <c r="J831" s="13">
        <v>947.63</v>
      </c>
      <c r="K831" s="13">
        <v>0</v>
      </c>
      <c r="L831" s="13">
        <v>1670</v>
      </c>
      <c r="Q831" s="5">
        <f>SUMIFS(Coin!E:E,Coin!C:C,B831,Coin!D:D,A831)</f>
        <v>0</v>
      </c>
    </row>
    <row r="832" spans="1:21" x14ac:dyDescent="0.25">
      <c r="A832" s="1">
        <f t="shared" si="261"/>
        <v>42945</v>
      </c>
      <c r="B832">
        <v>201</v>
      </c>
      <c r="C832">
        <v>395</v>
      </c>
      <c r="E832" s="13">
        <f t="shared" si="259"/>
        <v>395</v>
      </c>
      <c r="F832" s="13">
        <v>395</v>
      </c>
      <c r="G832" s="13">
        <f t="shared" si="260"/>
        <v>0</v>
      </c>
      <c r="H832" s="14">
        <v>1913</v>
      </c>
      <c r="I832" s="15">
        <v>529.86</v>
      </c>
      <c r="J832" s="13">
        <v>529.86</v>
      </c>
      <c r="K832" s="13">
        <v>0</v>
      </c>
      <c r="L832" s="13">
        <v>1680</v>
      </c>
      <c r="Q832" s="5">
        <f>SUMIFS(Coin!E:E,Coin!C:C,B832,Coin!D:D,A832)</f>
        <v>0</v>
      </c>
    </row>
    <row r="833" spans="1:21" x14ac:dyDescent="0.25">
      <c r="A833" s="1">
        <f t="shared" ref="A833:A839" si="262">DATE(2017,7,30)</f>
        <v>42946</v>
      </c>
      <c r="B833">
        <v>35</v>
      </c>
      <c r="C833">
        <v>422.7</v>
      </c>
      <c r="E833" s="13">
        <f t="shared" si="259"/>
        <v>420</v>
      </c>
      <c r="F833" s="13">
        <v>420</v>
      </c>
      <c r="G833" s="13">
        <f t="shared" si="260"/>
        <v>0</v>
      </c>
      <c r="H833" s="14">
        <v>1885</v>
      </c>
      <c r="I833" s="15">
        <v>574.79999999999995</v>
      </c>
      <c r="J833" s="13">
        <v>574.79999999999995</v>
      </c>
      <c r="K833" s="13">
        <v>0</v>
      </c>
      <c r="L833" s="13">
        <v>1663</v>
      </c>
      <c r="Q833" s="15">
        <v>2.7</v>
      </c>
      <c r="R833" s="13">
        <v>2.7</v>
      </c>
      <c r="S833" s="13">
        <v>0</v>
      </c>
      <c r="T833" s="19">
        <v>1901</v>
      </c>
    </row>
    <row r="834" spans="1:21" x14ac:dyDescent="0.25">
      <c r="A834" s="1">
        <f t="shared" si="262"/>
        <v>42946</v>
      </c>
      <c r="B834">
        <v>37</v>
      </c>
      <c r="C834">
        <v>394.9</v>
      </c>
      <c r="E834" s="13">
        <f t="shared" si="259"/>
        <v>394.9</v>
      </c>
      <c r="F834" s="13">
        <v>394.9</v>
      </c>
      <c r="G834" s="13">
        <f t="shared" si="260"/>
        <v>0</v>
      </c>
      <c r="H834" s="14">
        <v>1904</v>
      </c>
      <c r="I834" s="15">
        <v>474.73</v>
      </c>
      <c r="J834" s="13">
        <v>474.73</v>
      </c>
      <c r="K834" s="13">
        <v>0</v>
      </c>
      <c r="L834" s="13">
        <v>1678</v>
      </c>
      <c r="Q834" s="5">
        <f>SUMIFS(Coin!E:E,Coin!C:C,B834,Coin!D:D,A834)</f>
        <v>0</v>
      </c>
    </row>
    <row r="835" spans="1:21" x14ac:dyDescent="0.25">
      <c r="A835" s="1">
        <f t="shared" si="262"/>
        <v>42946</v>
      </c>
      <c r="B835">
        <v>41</v>
      </c>
      <c r="C835">
        <v>254.75</v>
      </c>
      <c r="E835" s="13">
        <f t="shared" si="259"/>
        <v>254.75</v>
      </c>
      <c r="F835" s="13">
        <v>254.75</v>
      </c>
      <c r="G835" s="13">
        <f t="shared" si="260"/>
        <v>0</v>
      </c>
      <c r="H835" s="14">
        <v>1905</v>
      </c>
      <c r="I835" s="15">
        <v>214.9</v>
      </c>
      <c r="J835" s="13">
        <v>214.9</v>
      </c>
      <c r="K835" s="13">
        <v>0</v>
      </c>
      <c r="L835" s="13">
        <v>1665</v>
      </c>
      <c r="Q835" s="5">
        <f>SUMIFS(Coin!E:E,Coin!C:C,B835,Coin!D:D,A835)</f>
        <v>0</v>
      </c>
    </row>
    <row r="836" spans="1:21" x14ac:dyDescent="0.25">
      <c r="A836" s="1">
        <f t="shared" si="262"/>
        <v>42946</v>
      </c>
      <c r="B836">
        <v>43</v>
      </c>
      <c r="C836">
        <v>859.4</v>
      </c>
      <c r="E836" s="13">
        <f t="shared" si="259"/>
        <v>859.4</v>
      </c>
      <c r="F836" s="13">
        <v>859.4</v>
      </c>
      <c r="G836" s="13">
        <f t="shared" si="260"/>
        <v>0</v>
      </c>
      <c r="H836" s="14">
        <v>1907</v>
      </c>
      <c r="I836" s="15">
        <v>199.93</v>
      </c>
      <c r="J836" s="13">
        <v>199.93</v>
      </c>
      <c r="K836" s="13">
        <v>0</v>
      </c>
      <c r="L836" s="13">
        <v>1667</v>
      </c>
      <c r="Q836" s="5">
        <f>SUMIFS(Coin!E:E,Coin!C:C,B836,Coin!D:D,A836)</f>
        <v>0</v>
      </c>
    </row>
    <row r="837" spans="1:21" x14ac:dyDescent="0.25">
      <c r="A837" s="1">
        <f t="shared" si="262"/>
        <v>42946</v>
      </c>
      <c r="B837">
        <v>44</v>
      </c>
      <c r="C837">
        <v>22.95</v>
      </c>
      <c r="D837">
        <v>5</v>
      </c>
      <c r="E837" s="13">
        <f t="shared" si="259"/>
        <v>27.95</v>
      </c>
      <c r="F837" s="13">
        <v>27.95</v>
      </c>
      <c r="G837" s="13">
        <f t="shared" si="260"/>
        <v>0</v>
      </c>
      <c r="H837" s="14">
        <v>1910</v>
      </c>
      <c r="I837" s="15">
        <v>189.95</v>
      </c>
      <c r="J837" s="13">
        <v>189.95</v>
      </c>
      <c r="K837" s="13">
        <v>0</v>
      </c>
      <c r="L837" s="13">
        <v>1664</v>
      </c>
      <c r="Q837" s="5">
        <f>SUMIFS(Coin!E:E,Coin!C:C,B837,Coin!D:D,A837)</f>
        <v>0</v>
      </c>
    </row>
    <row r="838" spans="1:21" x14ac:dyDescent="0.25">
      <c r="A838" s="1">
        <f t="shared" si="262"/>
        <v>42946</v>
      </c>
      <c r="B838">
        <v>103</v>
      </c>
      <c r="C838">
        <v>419.95</v>
      </c>
      <c r="E838" s="13">
        <f t="shared" si="259"/>
        <v>415.4</v>
      </c>
      <c r="F838" s="13">
        <v>415.4</v>
      </c>
      <c r="G838" s="13">
        <f t="shared" si="260"/>
        <v>0</v>
      </c>
      <c r="H838" s="14">
        <v>1915</v>
      </c>
      <c r="I838" s="15">
        <v>352.85</v>
      </c>
      <c r="J838" s="13">
        <v>352.85</v>
      </c>
      <c r="K838" s="13">
        <v>0</v>
      </c>
      <c r="L838" s="13">
        <v>1666</v>
      </c>
      <c r="Q838" s="5">
        <v>4.55</v>
      </c>
    </row>
    <row r="839" spans="1:21" x14ac:dyDescent="0.25">
      <c r="A839" s="1">
        <f t="shared" si="262"/>
        <v>42946</v>
      </c>
      <c r="B839">
        <v>201</v>
      </c>
      <c r="C839">
        <v>330</v>
      </c>
      <c r="E839" s="13">
        <f t="shared" si="259"/>
        <v>330</v>
      </c>
      <c r="F839" s="13">
        <v>330</v>
      </c>
      <c r="G839" s="13">
        <f t="shared" si="260"/>
        <v>0</v>
      </c>
      <c r="H839" s="14">
        <v>1914</v>
      </c>
      <c r="I839" s="15">
        <v>245</v>
      </c>
      <c r="J839" s="13">
        <v>245</v>
      </c>
      <c r="K839" s="13">
        <v>0</v>
      </c>
      <c r="L839" s="13">
        <v>1679</v>
      </c>
      <c r="Q839" s="5">
        <f>SUMIFS(Coin!E:E,Coin!C:C,B839,Coin!D:D,A839)</f>
        <v>0</v>
      </c>
    </row>
    <row r="840" spans="1:21" x14ac:dyDescent="0.25">
      <c r="A840" s="1">
        <f t="shared" ref="A840:A846" si="263">DATE(2017,7,31)</f>
        <v>42947</v>
      </c>
      <c r="B840">
        <v>35</v>
      </c>
      <c r="C840">
        <v>693.35</v>
      </c>
      <c r="E840" s="13">
        <f t="shared" ref="E840:E846" si="264">C840+D840-Q840+U840</f>
        <v>665</v>
      </c>
      <c r="F840" s="13">
        <v>665</v>
      </c>
      <c r="G840" s="13">
        <f t="shared" si="260"/>
        <v>0</v>
      </c>
      <c r="H840" s="14">
        <v>1898</v>
      </c>
      <c r="I840" s="15">
        <v>567.61</v>
      </c>
      <c r="J840" s="13">
        <v>567.61</v>
      </c>
      <c r="K840" s="13">
        <v>0</v>
      </c>
      <c r="L840" s="13">
        <v>1687</v>
      </c>
      <c r="Q840" s="15">
        <v>28.35</v>
      </c>
      <c r="R840" s="13">
        <v>28.35</v>
      </c>
      <c r="S840" s="13">
        <v>0</v>
      </c>
      <c r="T840" s="19">
        <v>1920</v>
      </c>
    </row>
    <row r="841" spans="1:21" x14ac:dyDescent="0.25">
      <c r="A841" s="1">
        <f t="shared" si="263"/>
        <v>42947</v>
      </c>
      <c r="B841">
        <v>37</v>
      </c>
      <c r="C841">
        <v>177.95</v>
      </c>
      <c r="E841" s="13">
        <f t="shared" si="264"/>
        <v>177.95</v>
      </c>
      <c r="F841" s="13">
        <v>178</v>
      </c>
      <c r="G841" s="13">
        <f t="shared" ref="G841:G851" si="265">E841-F841</f>
        <v>-5.0000000000011369E-2</v>
      </c>
      <c r="H841" s="14">
        <v>1921</v>
      </c>
      <c r="I841" s="15">
        <v>446.75</v>
      </c>
      <c r="J841" s="13">
        <v>446.75</v>
      </c>
      <c r="K841" s="13">
        <v>0</v>
      </c>
      <c r="L841" s="13">
        <v>1689</v>
      </c>
      <c r="Q841" s="5">
        <f>SUMIFS(Coin!E:E,Coin!C:C,B841,Coin!D:D,A841)</f>
        <v>0</v>
      </c>
    </row>
    <row r="842" spans="1:21" x14ac:dyDescent="0.25">
      <c r="A842" s="1">
        <f t="shared" si="263"/>
        <v>42947</v>
      </c>
      <c r="B842">
        <v>41</v>
      </c>
      <c r="C842">
        <v>583.35</v>
      </c>
      <c r="E842" s="13">
        <f t="shared" si="264"/>
        <v>583.35</v>
      </c>
      <c r="F842" s="13">
        <v>583.35</v>
      </c>
      <c r="G842" s="13">
        <f t="shared" si="265"/>
        <v>0</v>
      </c>
      <c r="H842" s="14">
        <v>1930</v>
      </c>
      <c r="I842" s="15">
        <v>439.4</v>
      </c>
      <c r="J842" s="13">
        <v>439.4</v>
      </c>
      <c r="K842" s="13">
        <v>0</v>
      </c>
      <c r="L842" s="13">
        <v>1684</v>
      </c>
      <c r="Q842" s="5">
        <f>SUMIFS(Coin!E:E,Coin!C:C,B842,Coin!D:D,A842)</f>
        <v>0</v>
      </c>
    </row>
    <row r="843" spans="1:21" x14ac:dyDescent="0.25">
      <c r="A843" s="1">
        <f t="shared" si="263"/>
        <v>42947</v>
      </c>
      <c r="B843">
        <v>43</v>
      </c>
      <c r="C843">
        <v>660.25</v>
      </c>
      <c r="E843" s="13">
        <f t="shared" si="264"/>
        <v>660.25</v>
      </c>
      <c r="F843" s="13">
        <v>660.25</v>
      </c>
      <c r="G843" s="13">
        <f t="shared" si="265"/>
        <v>0</v>
      </c>
      <c r="H843" s="14">
        <v>1922</v>
      </c>
      <c r="I843" s="15">
        <v>499.53</v>
      </c>
      <c r="J843" s="13">
        <v>499.53</v>
      </c>
      <c r="K843" s="13">
        <v>0</v>
      </c>
      <c r="L843" s="13">
        <v>1686</v>
      </c>
      <c r="Q843" s="5">
        <f>SUMIFS(Coin!E:E,Coin!C:C,B843,Coin!D:D,A843)</f>
        <v>0</v>
      </c>
    </row>
    <row r="844" spans="1:21" x14ac:dyDescent="0.25">
      <c r="A844" s="1">
        <f t="shared" si="263"/>
        <v>42947</v>
      </c>
      <c r="B844">
        <v>44</v>
      </c>
      <c r="C844">
        <v>274.89999999999998</v>
      </c>
      <c r="E844" s="13">
        <f t="shared" si="264"/>
        <v>274.89999999999998</v>
      </c>
      <c r="F844" s="13">
        <v>274.89999999999998</v>
      </c>
      <c r="G844" s="13">
        <f t="shared" si="265"/>
        <v>0</v>
      </c>
      <c r="H844" s="14">
        <v>1923</v>
      </c>
      <c r="I844" s="15">
        <v>294.89999999999998</v>
      </c>
      <c r="J844" s="13">
        <v>294.89999999999998</v>
      </c>
      <c r="K844" s="13">
        <v>0</v>
      </c>
      <c r="L844" s="13">
        <v>1685</v>
      </c>
      <c r="Q844" s="5">
        <f>SUMIFS(Coin!E:E,Coin!C:C,B844,Coin!D:D,A844)</f>
        <v>0</v>
      </c>
    </row>
    <row r="845" spans="1:21" x14ac:dyDescent="0.25">
      <c r="A845" s="1">
        <f t="shared" si="263"/>
        <v>42947</v>
      </c>
      <c r="B845">
        <v>103</v>
      </c>
      <c r="C845">
        <v>1238.4000000000001</v>
      </c>
      <c r="E845" s="13">
        <f t="shared" si="264"/>
        <v>1238.4000000000001</v>
      </c>
      <c r="F845" s="13">
        <v>1238.4000000000001</v>
      </c>
      <c r="G845" s="13">
        <f t="shared" si="265"/>
        <v>0</v>
      </c>
      <c r="H845" s="14"/>
      <c r="I845" s="15">
        <v>652.6</v>
      </c>
      <c r="J845" s="13">
        <v>652.6</v>
      </c>
      <c r="K845" s="13">
        <v>0</v>
      </c>
      <c r="L845" s="13">
        <v>1688</v>
      </c>
      <c r="Q845" s="5">
        <f>SUMIFS(Coin!E:E,Coin!C:C,B845,Coin!D:D,A845)</f>
        <v>0</v>
      </c>
    </row>
    <row r="846" spans="1:21" x14ac:dyDescent="0.25">
      <c r="A846" s="1">
        <f t="shared" si="263"/>
        <v>42947</v>
      </c>
      <c r="B846">
        <v>201</v>
      </c>
      <c r="C846">
        <v>689.65</v>
      </c>
      <c r="E846" s="13">
        <f t="shared" si="264"/>
        <v>689.65</v>
      </c>
      <c r="F846" s="13">
        <v>689.65</v>
      </c>
      <c r="G846" s="13">
        <f t="shared" si="265"/>
        <v>0</v>
      </c>
      <c r="H846" s="14">
        <v>1919</v>
      </c>
      <c r="I846" s="15">
        <v>214.85</v>
      </c>
      <c r="J846" s="13">
        <v>214.85</v>
      </c>
      <c r="K846" s="13">
        <v>0</v>
      </c>
      <c r="L846" s="13">
        <v>1690</v>
      </c>
      <c r="M846" s="15">
        <v>15</v>
      </c>
      <c r="N846" s="13">
        <v>15</v>
      </c>
      <c r="O846" s="13">
        <v>0</v>
      </c>
      <c r="P846" s="13">
        <v>92</v>
      </c>
      <c r="Q846" s="5">
        <f>SUMIFS(Coin!E:E,Coin!C:C,B846,Coin!D:D,A846)</f>
        <v>0</v>
      </c>
    </row>
    <row r="847" spans="1:21" x14ac:dyDescent="0.25">
      <c r="A847" s="1">
        <f t="shared" ref="A847:A853" si="266">DATE(2017,8,1)</f>
        <v>42948</v>
      </c>
      <c r="B847">
        <v>35</v>
      </c>
      <c r="C847">
        <v>527.4</v>
      </c>
      <c r="E847" s="13">
        <f t="shared" ref="E847:E853" si="267">C847+D847-Q847+U847</f>
        <v>515</v>
      </c>
      <c r="F847" s="13">
        <v>515</v>
      </c>
      <c r="G847" s="13">
        <f t="shared" si="265"/>
        <v>0</v>
      </c>
      <c r="H847" s="14">
        <v>1918</v>
      </c>
      <c r="I847" s="15">
        <v>599.70000000000005</v>
      </c>
      <c r="J847" s="13">
        <v>599.70000000000005</v>
      </c>
      <c r="K847" s="13">
        <v>0</v>
      </c>
      <c r="L847" s="13">
        <v>1694</v>
      </c>
      <c r="Q847" s="15">
        <v>12.4</v>
      </c>
      <c r="R847" s="13">
        <v>12.4</v>
      </c>
      <c r="S847" s="13">
        <v>0</v>
      </c>
      <c r="T847" s="19">
        <v>1926</v>
      </c>
    </row>
    <row r="848" spans="1:21" x14ac:dyDescent="0.25">
      <c r="A848" s="1">
        <f t="shared" si="266"/>
        <v>42948</v>
      </c>
      <c r="B848">
        <v>37</v>
      </c>
      <c r="C848">
        <v>319.85000000000002</v>
      </c>
      <c r="E848" s="13">
        <f t="shared" si="267"/>
        <v>265.85000000000002</v>
      </c>
      <c r="F848" s="13">
        <v>265.85000000000002</v>
      </c>
      <c r="G848" s="13">
        <f t="shared" si="265"/>
        <v>0</v>
      </c>
      <c r="H848" s="14">
        <v>1927</v>
      </c>
      <c r="I848" s="15">
        <v>344.75</v>
      </c>
      <c r="J848" s="13">
        <v>344.75</v>
      </c>
      <c r="K848" s="13">
        <v>0</v>
      </c>
      <c r="L848" s="13">
        <v>1697</v>
      </c>
      <c r="Q848" s="15">
        <v>52</v>
      </c>
      <c r="R848" s="13">
        <v>52</v>
      </c>
      <c r="S848" s="13">
        <v>0</v>
      </c>
      <c r="T848" s="19">
        <v>1928</v>
      </c>
      <c r="U848" s="21">
        <v>-2</v>
      </c>
    </row>
    <row r="849" spans="1:22" x14ac:dyDescent="0.25">
      <c r="A849" s="1">
        <f t="shared" si="266"/>
        <v>42948</v>
      </c>
      <c r="B849">
        <v>41</v>
      </c>
      <c r="C849">
        <v>524.65</v>
      </c>
      <c r="E849" s="13">
        <f t="shared" si="267"/>
        <v>505.79999999999995</v>
      </c>
      <c r="F849" s="13">
        <v>505.8</v>
      </c>
      <c r="G849" s="13">
        <f t="shared" si="265"/>
        <v>0</v>
      </c>
      <c r="H849" s="14">
        <v>1929</v>
      </c>
      <c r="I849" s="15">
        <v>434.7</v>
      </c>
      <c r="J849" s="13">
        <v>434.7</v>
      </c>
      <c r="K849" s="13">
        <v>0</v>
      </c>
      <c r="L849" s="13">
        <v>1692</v>
      </c>
      <c r="Q849" s="5">
        <f>SUMIFS(Coin!E:E,Coin!C:C,B849,Coin!D:D,A849)</f>
        <v>0</v>
      </c>
      <c r="U849" s="21">
        <v>-18.850000000000001</v>
      </c>
    </row>
    <row r="850" spans="1:22" x14ac:dyDescent="0.25">
      <c r="A850" s="1">
        <f t="shared" si="266"/>
        <v>42948</v>
      </c>
      <c r="B850">
        <v>43</v>
      </c>
      <c r="C850">
        <v>722.35</v>
      </c>
      <c r="E850" s="13">
        <f t="shared" si="267"/>
        <v>722.35</v>
      </c>
      <c r="F850" s="13">
        <v>722.35</v>
      </c>
      <c r="G850" s="13">
        <f t="shared" si="265"/>
        <v>0</v>
      </c>
      <c r="H850" s="14">
        <v>1931</v>
      </c>
      <c r="I850" s="15">
        <v>219.6</v>
      </c>
      <c r="J850" s="13">
        <v>219.6</v>
      </c>
      <c r="K850" s="13">
        <v>0</v>
      </c>
      <c r="L850" s="13">
        <v>1691</v>
      </c>
      <c r="Q850" s="5">
        <f>SUMIFS(Coin!E:E,Coin!C:C,B850,Coin!D:D,A850)</f>
        <v>0</v>
      </c>
    </row>
    <row r="851" spans="1:22" x14ac:dyDescent="0.25">
      <c r="A851" s="1">
        <f t="shared" si="266"/>
        <v>42948</v>
      </c>
      <c r="B851">
        <v>44</v>
      </c>
      <c r="C851">
        <v>270.75</v>
      </c>
      <c r="E851" s="13">
        <f t="shared" si="267"/>
        <v>268.55</v>
      </c>
      <c r="F851" s="13">
        <v>268.55</v>
      </c>
      <c r="G851" s="13">
        <f t="shared" si="265"/>
        <v>0</v>
      </c>
      <c r="H851" s="14">
        <v>1932</v>
      </c>
      <c r="I851" s="15">
        <v>299.7</v>
      </c>
      <c r="J851" s="13">
        <v>299.7</v>
      </c>
      <c r="K851" s="13">
        <v>0</v>
      </c>
      <c r="L851" s="13">
        <v>1695</v>
      </c>
      <c r="Q851" s="5">
        <v>2.2000000000000002</v>
      </c>
    </row>
    <row r="852" spans="1:22" x14ac:dyDescent="0.25">
      <c r="A852" s="1">
        <f t="shared" si="266"/>
        <v>42948</v>
      </c>
      <c r="B852">
        <v>103</v>
      </c>
      <c r="C852">
        <v>1089.25</v>
      </c>
      <c r="E852" s="13">
        <f t="shared" si="267"/>
        <v>1089.25</v>
      </c>
      <c r="F852" s="13">
        <v>1089.25</v>
      </c>
      <c r="G852" s="13"/>
      <c r="H852" s="14"/>
      <c r="I852" s="15">
        <v>525.6</v>
      </c>
      <c r="J852" s="13">
        <v>525.6</v>
      </c>
      <c r="K852" s="13">
        <v>0</v>
      </c>
      <c r="L852" s="13">
        <v>1693</v>
      </c>
      <c r="Q852" s="5">
        <f>SUMIFS(Coin!E:E,Coin!C:C,B852,Coin!D:D,A852)</f>
        <v>0</v>
      </c>
    </row>
    <row r="853" spans="1:22" x14ac:dyDescent="0.25">
      <c r="A853" s="1">
        <f t="shared" si="266"/>
        <v>42948</v>
      </c>
      <c r="B853">
        <v>201</v>
      </c>
      <c r="C853">
        <v>679.85</v>
      </c>
      <c r="E853" s="13">
        <f t="shared" si="267"/>
        <v>679.85</v>
      </c>
      <c r="F853" s="13">
        <v>679.85</v>
      </c>
      <c r="G853" s="13">
        <f t="shared" ref="G853:G858" si="268">E853-F853</f>
        <v>0</v>
      </c>
      <c r="H853" s="14">
        <v>1925</v>
      </c>
      <c r="I853" s="15">
        <v>279.98</v>
      </c>
      <c r="J853" s="13">
        <v>279.98</v>
      </c>
      <c r="K853" s="13">
        <v>0</v>
      </c>
      <c r="L853" s="13">
        <v>1696</v>
      </c>
      <c r="M853" s="15">
        <v>29.95</v>
      </c>
      <c r="N853" s="13">
        <v>29.95</v>
      </c>
      <c r="O853" s="13">
        <v>0</v>
      </c>
      <c r="P853" s="13">
        <v>93</v>
      </c>
      <c r="Q853" s="5">
        <f>SUMIFS(Coin!E:E,Coin!C:C,B853,Coin!D:D,A853)</f>
        <v>0</v>
      </c>
    </row>
    <row r="854" spans="1:22" x14ac:dyDescent="0.25">
      <c r="A854" s="1">
        <f t="shared" ref="A854:A860" si="269">DATE(2017,8,2)</f>
        <v>42949</v>
      </c>
      <c r="B854">
        <v>35</v>
      </c>
      <c r="C854">
        <v>507.1</v>
      </c>
      <c r="E854" s="13">
        <f t="shared" ref="E854:E860" si="270">C854+D854-Q854+U854</f>
        <v>505</v>
      </c>
      <c r="F854" s="13">
        <v>505</v>
      </c>
      <c r="G854" s="13">
        <f t="shared" si="268"/>
        <v>0</v>
      </c>
      <c r="H854" s="14">
        <v>1924</v>
      </c>
      <c r="I854" s="15">
        <v>512.65</v>
      </c>
      <c r="J854" s="13">
        <v>512.65</v>
      </c>
      <c r="K854" s="13">
        <v>0</v>
      </c>
      <c r="L854" s="13">
        <v>1698</v>
      </c>
      <c r="Q854" s="15">
        <v>2.1</v>
      </c>
      <c r="R854" s="13">
        <v>2.1</v>
      </c>
      <c r="S854" s="13">
        <v>0</v>
      </c>
      <c r="T854" s="19">
        <v>1934</v>
      </c>
    </row>
    <row r="855" spans="1:22" x14ac:dyDescent="0.25">
      <c r="A855" s="1">
        <f t="shared" si="269"/>
        <v>42949</v>
      </c>
      <c r="B855">
        <v>37</v>
      </c>
      <c r="C855">
        <v>999.25</v>
      </c>
      <c r="E855" s="13">
        <f t="shared" si="270"/>
        <v>999.25</v>
      </c>
      <c r="F855" s="13">
        <v>999.25</v>
      </c>
      <c r="G855" s="13">
        <f t="shared" si="268"/>
        <v>0</v>
      </c>
      <c r="H855" s="14">
        <v>1935</v>
      </c>
      <c r="I855" s="15">
        <v>674.35</v>
      </c>
      <c r="J855" s="13">
        <v>674.35</v>
      </c>
      <c r="K855" s="13">
        <v>0</v>
      </c>
      <c r="L855" s="13">
        <v>1704</v>
      </c>
      <c r="Q855" s="5">
        <f>SUMIFS(Coin!E:E,Coin!C:C,B855,Coin!D:D,A855)</f>
        <v>0</v>
      </c>
    </row>
    <row r="856" spans="1:22" x14ac:dyDescent="0.25">
      <c r="A856" s="1">
        <f t="shared" si="269"/>
        <v>42949</v>
      </c>
      <c r="B856">
        <v>41</v>
      </c>
      <c r="C856">
        <v>524.35</v>
      </c>
      <c r="E856" s="13">
        <f t="shared" si="270"/>
        <v>524.35</v>
      </c>
      <c r="F856" s="13">
        <v>524.35</v>
      </c>
      <c r="G856" s="13">
        <f t="shared" si="268"/>
        <v>0</v>
      </c>
      <c r="H856" s="14">
        <v>1936</v>
      </c>
      <c r="I856" s="15">
        <v>514.45000000000005</v>
      </c>
      <c r="J856" s="13">
        <v>514.45000000000005</v>
      </c>
      <c r="K856" s="13">
        <v>0</v>
      </c>
      <c r="L856" s="13">
        <v>1701</v>
      </c>
      <c r="Q856" s="5">
        <f>SUMIFS(Coin!E:E,Coin!C:C,B856,Coin!D:D,A856)</f>
        <v>0</v>
      </c>
    </row>
    <row r="857" spans="1:22" x14ac:dyDescent="0.25">
      <c r="A857" s="1">
        <f t="shared" si="269"/>
        <v>42949</v>
      </c>
      <c r="B857">
        <v>43</v>
      </c>
      <c r="C857">
        <v>537.45000000000005</v>
      </c>
      <c r="D857">
        <v>-7</v>
      </c>
      <c r="E857" s="13">
        <f t="shared" si="270"/>
        <v>777.30000000000007</v>
      </c>
      <c r="F857" s="13">
        <v>777.3</v>
      </c>
      <c r="G857" s="13">
        <f t="shared" si="268"/>
        <v>0</v>
      </c>
      <c r="H857" s="14">
        <v>1937</v>
      </c>
      <c r="I857" s="15">
        <f>389.46+V857</f>
        <v>417.40999999999997</v>
      </c>
      <c r="J857" s="13">
        <v>417.41</v>
      </c>
      <c r="K857" s="13">
        <v>0</v>
      </c>
      <c r="L857" s="13">
        <v>1702</v>
      </c>
      <c r="Q857" s="5">
        <f>SUMIFS(Coin!E:E,Coin!C:C,B857,Coin!D:D,A857)</f>
        <v>0</v>
      </c>
      <c r="U857" s="21">
        <v>246.85</v>
      </c>
      <c r="V857" s="21">
        <v>27.95</v>
      </c>
    </row>
    <row r="858" spans="1:22" x14ac:dyDescent="0.25">
      <c r="A858" s="1">
        <f t="shared" si="269"/>
        <v>42949</v>
      </c>
      <c r="B858">
        <v>44</v>
      </c>
      <c r="C858">
        <v>530.75</v>
      </c>
      <c r="E858" s="13">
        <f t="shared" si="270"/>
        <v>530.75</v>
      </c>
      <c r="F858" s="13">
        <v>530.75</v>
      </c>
      <c r="G858" s="13">
        <f t="shared" si="268"/>
        <v>0</v>
      </c>
      <c r="H858" s="14">
        <v>1938</v>
      </c>
      <c r="I858" s="15">
        <v>709.33</v>
      </c>
      <c r="J858" s="13">
        <v>709.33</v>
      </c>
      <c r="K858" s="13">
        <v>0</v>
      </c>
      <c r="L858" s="13">
        <v>1699</v>
      </c>
      <c r="Q858" s="5">
        <f>SUMIFS(Coin!E:E,Coin!C:C,B858,Coin!D:D,A858)</f>
        <v>0</v>
      </c>
    </row>
    <row r="859" spans="1:22" x14ac:dyDescent="0.25">
      <c r="A859" s="1">
        <f t="shared" si="269"/>
        <v>42949</v>
      </c>
      <c r="B859">
        <v>103</v>
      </c>
      <c r="C859">
        <v>1172.2</v>
      </c>
      <c r="E859" s="13">
        <f t="shared" si="270"/>
        <v>1008.4000000000001</v>
      </c>
      <c r="F859" s="13">
        <v>1008.4</v>
      </c>
      <c r="G859" s="13">
        <f>E859-F859</f>
        <v>0</v>
      </c>
      <c r="H859" s="14">
        <v>1949</v>
      </c>
      <c r="I859" s="15">
        <v>484.4</v>
      </c>
      <c r="J859" s="13">
        <v>484.4</v>
      </c>
      <c r="K859" s="13">
        <v>0</v>
      </c>
      <c r="L859" s="13">
        <v>1700</v>
      </c>
      <c r="Q859" s="5">
        <f>SUMIFS(Coin!E:E,Coin!C:C,B859,Coin!D:D,A859)</f>
        <v>0</v>
      </c>
      <c r="U859" s="21">
        <v>-163.80000000000001</v>
      </c>
    </row>
    <row r="860" spans="1:22" x14ac:dyDescent="0.25">
      <c r="A860" s="1">
        <f t="shared" si="269"/>
        <v>42949</v>
      </c>
      <c r="B860">
        <v>201</v>
      </c>
      <c r="C860">
        <v>659.5</v>
      </c>
      <c r="E860" s="13">
        <f t="shared" si="270"/>
        <v>659.5</v>
      </c>
      <c r="F860" s="13">
        <v>659.5</v>
      </c>
      <c r="G860" s="13">
        <f t="shared" ref="G860:G866" si="271">E860-F860</f>
        <v>0</v>
      </c>
      <c r="H860" s="14">
        <v>1939</v>
      </c>
      <c r="I860" s="15">
        <v>519.45000000000005</v>
      </c>
      <c r="J860" s="13">
        <v>519.45000000000005</v>
      </c>
      <c r="K860" s="13">
        <v>0</v>
      </c>
      <c r="L860" s="13">
        <v>1703</v>
      </c>
      <c r="Q860" s="5">
        <f>SUMIFS(Coin!E:E,Coin!C:C,B860,Coin!D:D,A860)</f>
        <v>0</v>
      </c>
    </row>
    <row r="861" spans="1:22" x14ac:dyDescent="0.25">
      <c r="A861" s="1">
        <f t="shared" ref="A861:A867" si="272">DATE(2017,8,3)</f>
        <v>42950</v>
      </c>
      <c r="B861">
        <v>35</v>
      </c>
      <c r="C861">
        <v>1207.45</v>
      </c>
      <c r="E861" s="13">
        <f t="shared" ref="E861:E867" si="273">C861+D861-Q861+U861</f>
        <v>1200</v>
      </c>
      <c r="F861" s="13">
        <v>1200</v>
      </c>
      <c r="G861" s="13">
        <f t="shared" si="271"/>
        <v>0</v>
      </c>
      <c r="H861" s="14">
        <v>1933</v>
      </c>
      <c r="I861" s="15">
        <v>1034.1400000000001</v>
      </c>
      <c r="J861" s="13">
        <v>1034.1400000000001</v>
      </c>
      <c r="K861" s="13">
        <v>0</v>
      </c>
      <c r="L861" s="13">
        <v>1706</v>
      </c>
      <c r="Q861" s="15">
        <v>7.45</v>
      </c>
      <c r="R861" s="13">
        <v>7.45</v>
      </c>
      <c r="S861" s="13">
        <v>0</v>
      </c>
      <c r="T861" s="19">
        <v>1942</v>
      </c>
    </row>
    <row r="862" spans="1:22" x14ac:dyDescent="0.25">
      <c r="A862" s="1">
        <f t="shared" si="272"/>
        <v>42950</v>
      </c>
      <c r="B862">
        <v>37</v>
      </c>
      <c r="C862">
        <v>699.55</v>
      </c>
      <c r="E862" s="13">
        <f t="shared" si="273"/>
        <v>699.55</v>
      </c>
      <c r="F862" s="13">
        <v>699.55</v>
      </c>
      <c r="G862" s="13">
        <f t="shared" si="271"/>
        <v>0</v>
      </c>
      <c r="H862" s="14">
        <v>1943</v>
      </c>
      <c r="I862" s="15">
        <v>709.33</v>
      </c>
      <c r="J862" s="13">
        <v>709.33</v>
      </c>
      <c r="K862" s="13">
        <v>0</v>
      </c>
      <c r="L862" s="13">
        <v>1710</v>
      </c>
      <c r="Q862" s="5">
        <f>SUMIFS(Coin!E:E,Coin!C:C,B862,Coin!D:D,A862)</f>
        <v>0</v>
      </c>
    </row>
    <row r="863" spans="1:22" x14ac:dyDescent="0.25">
      <c r="A863" s="1">
        <f t="shared" si="272"/>
        <v>42950</v>
      </c>
      <c r="B863">
        <v>41</v>
      </c>
      <c r="C863">
        <v>885.25</v>
      </c>
      <c r="E863" s="13">
        <f t="shared" si="273"/>
        <v>885.25</v>
      </c>
      <c r="F863" s="13">
        <v>885.25</v>
      </c>
      <c r="G863" s="13">
        <f t="shared" si="271"/>
        <v>0</v>
      </c>
      <c r="H863" s="14">
        <v>1946</v>
      </c>
      <c r="I863" s="15">
        <v>1197.52</v>
      </c>
      <c r="J863" s="13">
        <v>1197.52</v>
      </c>
      <c r="K863" s="13">
        <v>0</v>
      </c>
      <c r="L863" s="13">
        <v>1705</v>
      </c>
      <c r="Q863" s="5">
        <f>SUMIFS(Coin!E:E,Coin!C:C,B863,Coin!D:D,A863)</f>
        <v>0</v>
      </c>
    </row>
    <row r="864" spans="1:22" x14ac:dyDescent="0.25">
      <c r="A864" s="1">
        <f t="shared" si="272"/>
        <v>42950</v>
      </c>
      <c r="B864">
        <v>43</v>
      </c>
      <c r="C864">
        <v>1788.35</v>
      </c>
      <c r="E864" s="13">
        <f t="shared" si="273"/>
        <v>1788.35</v>
      </c>
      <c r="F864" s="13">
        <v>1788.35</v>
      </c>
      <c r="G864" s="13">
        <f t="shared" si="271"/>
        <v>0</v>
      </c>
      <c r="H864" s="14"/>
      <c r="I864" s="15">
        <v>807.48</v>
      </c>
      <c r="J864" s="13">
        <v>807.48</v>
      </c>
      <c r="K864" s="13">
        <v>0</v>
      </c>
      <c r="L864" s="13">
        <v>1709</v>
      </c>
      <c r="Q864" s="5">
        <f>SUMIFS(Coin!E:E,Coin!C:C,B864,Coin!D:D,A864)</f>
        <v>0</v>
      </c>
    </row>
    <row r="865" spans="1:20" x14ac:dyDescent="0.25">
      <c r="A865" s="1">
        <f t="shared" si="272"/>
        <v>42950</v>
      </c>
      <c r="B865">
        <v>44</v>
      </c>
      <c r="C865">
        <v>359.35</v>
      </c>
      <c r="E865" s="13">
        <f t="shared" si="273"/>
        <v>337.75</v>
      </c>
      <c r="F865" s="13">
        <v>337.75</v>
      </c>
      <c r="G865" s="13">
        <f t="shared" si="271"/>
        <v>0</v>
      </c>
      <c r="H865" s="14">
        <v>1944</v>
      </c>
      <c r="I865" s="15">
        <v>494.61</v>
      </c>
      <c r="J865" s="13">
        <v>494.61</v>
      </c>
      <c r="K865" s="13">
        <v>0</v>
      </c>
      <c r="L865" s="13">
        <v>1708</v>
      </c>
      <c r="Q865" s="5">
        <v>21.6</v>
      </c>
    </row>
    <row r="866" spans="1:20" x14ac:dyDescent="0.25">
      <c r="A866" s="1">
        <f t="shared" si="272"/>
        <v>42950</v>
      </c>
      <c r="B866">
        <v>103</v>
      </c>
      <c r="C866">
        <v>1796.9</v>
      </c>
      <c r="E866" s="13">
        <f t="shared" si="273"/>
        <v>1796.9</v>
      </c>
      <c r="F866" s="13">
        <v>1796.9</v>
      </c>
      <c r="G866" s="13">
        <f t="shared" si="271"/>
        <v>0</v>
      </c>
      <c r="H866" s="14"/>
      <c r="I866" s="15">
        <v>1313.13</v>
      </c>
      <c r="J866" s="13">
        <v>1313.13</v>
      </c>
      <c r="K866" s="13">
        <v>0</v>
      </c>
      <c r="L866" s="13">
        <v>1707</v>
      </c>
      <c r="Q866" s="5">
        <f>SUMIFS(Coin!E:E,Coin!C:C,B866,Coin!D:D,A866)</f>
        <v>0</v>
      </c>
    </row>
    <row r="867" spans="1:20" x14ac:dyDescent="0.25">
      <c r="A867" s="1">
        <f t="shared" si="272"/>
        <v>42950</v>
      </c>
      <c r="B867">
        <v>201</v>
      </c>
      <c r="C867">
        <v>774.3</v>
      </c>
      <c r="E867" s="13">
        <f t="shared" si="273"/>
        <v>774.3</v>
      </c>
      <c r="F867" s="13">
        <v>774.3</v>
      </c>
      <c r="G867" s="13">
        <f>E867-F867</f>
        <v>0</v>
      </c>
      <c r="H867" s="14">
        <v>1945</v>
      </c>
      <c r="I867" s="15">
        <v>549.80999999999995</v>
      </c>
      <c r="J867" s="13">
        <v>549.80999999999995</v>
      </c>
      <c r="K867" s="13">
        <v>0</v>
      </c>
      <c r="L867" s="13">
        <v>1711</v>
      </c>
      <c r="Q867" s="5">
        <f>SUMIFS(Coin!E:E,Coin!C:C,B867,Coin!D:D,A867)</f>
        <v>0</v>
      </c>
    </row>
    <row r="868" spans="1:20" x14ac:dyDescent="0.25">
      <c r="A868" s="1">
        <f t="shared" ref="A868:A874" si="274">DATE(2017,8,4)</f>
        <v>42951</v>
      </c>
      <c r="B868">
        <v>35</v>
      </c>
      <c r="C868">
        <v>1382.85</v>
      </c>
      <c r="E868" s="13">
        <f t="shared" ref="E868:E888" si="275">C868+D868-Q868+U868</f>
        <v>1350</v>
      </c>
      <c r="F868" s="13">
        <v>1350</v>
      </c>
      <c r="G868" s="13">
        <f>E868-F868</f>
        <v>0</v>
      </c>
      <c r="H868" s="14">
        <v>1941</v>
      </c>
      <c r="I868" s="15">
        <v>1045.5899999999999</v>
      </c>
      <c r="J868" s="13">
        <v>1045.5899999999999</v>
      </c>
      <c r="K868" s="13">
        <v>0</v>
      </c>
      <c r="L868" s="13">
        <v>1722</v>
      </c>
      <c r="Q868" s="15">
        <v>32.85</v>
      </c>
      <c r="R868" s="13">
        <v>32.85</v>
      </c>
      <c r="S868" s="13">
        <v>0</v>
      </c>
      <c r="T868" s="19">
        <v>1968</v>
      </c>
    </row>
    <row r="869" spans="1:20" x14ac:dyDescent="0.25">
      <c r="A869" s="1">
        <f t="shared" si="274"/>
        <v>42951</v>
      </c>
      <c r="B869">
        <v>37</v>
      </c>
      <c r="C869">
        <v>950</v>
      </c>
      <c r="E869" s="13">
        <f t="shared" si="275"/>
        <v>950</v>
      </c>
      <c r="F869" s="13">
        <v>950</v>
      </c>
      <c r="G869" s="13">
        <f>E869-F869</f>
        <v>0</v>
      </c>
      <c r="H869" s="14">
        <v>1977</v>
      </c>
      <c r="I869" s="15">
        <v>1174.8599999999999</v>
      </c>
      <c r="J869" s="13">
        <v>1174.8599999999999</v>
      </c>
      <c r="K869" s="13">
        <v>0</v>
      </c>
      <c r="L869" s="13">
        <v>1731</v>
      </c>
      <c r="Q869" s="5">
        <f>SUMIFS(Coin!E:E,Coin!C:C,B869,Coin!D:D,A869)</f>
        <v>0</v>
      </c>
    </row>
    <row r="870" spans="1:20" x14ac:dyDescent="0.25">
      <c r="A870" s="1">
        <f t="shared" si="274"/>
        <v>42951</v>
      </c>
      <c r="B870">
        <v>41</v>
      </c>
      <c r="C870">
        <v>1173.6500000000001</v>
      </c>
      <c r="E870" s="13">
        <f t="shared" si="275"/>
        <v>1173.6500000000001</v>
      </c>
      <c r="F870" s="13">
        <v>1173.6500000000001</v>
      </c>
      <c r="G870" s="13">
        <v>0</v>
      </c>
      <c r="H870" s="14"/>
      <c r="I870" s="15">
        <v>467.86</v>
      </c>
      <c r="J870" s="13">
        <v>467.86</v>
      </c>
      <c r="K870" s="13">
        <v>0</v>
      </c>
      <c r="L870" s="13">
        <v>1725</v>
      </c>
      <c r="Q870" s="5">
        <f>SUMIFS(Coin!E:E,Coin!C:C,B870,Coin!D:D,A870)</f>
        <v>0</v>
      </c>
    </row>
    <row r="871" spans="1:20" x14ac:dyDescent="0.25">
      <c r="A871" s="1">
        <f t="shared" si="274"/>
        <v>42951</v>
      </c>
      <c r="B871">
        <v>43</v>
      </c>
      <c r="C871">
        <v>1517.75</v>
      </c>
      <c r="E871" s="13">
        <f t="shared" si="275"/>
        <v>1517.75</v>
      </c>
      <c r="F871" s="13">
        <v>1517.75</v>
      </c>
      <c r="G871" s="13">
        <v>0</v>
      </c>
      <c r="H871" s="14"/>
      <c r="I871" s="15">
        <v>315.88</v>
      </c>
      <c r="J871" s="13">
        <v>315.88</v>
      </c>
      <c r="K871" s="13">
        <v>0</v>
      </c>
      <c r="L871" s="13">
        <v>1726</v>
      </c>
      <c r="Q871" s="5">
        <f>SUMIFS(Coin!E:E,Coin!C:C,B871,Coin!D:D,A871)</f>
        <v>0</v>
      </c>
    </row>
    <row r="872" spans="1:20" x14ac:dyDescent="0.25">
      <c r="A872" s="1">
        <f t="shared" si="274"/>
        <v>42951</v>
      </c>
      <c r="B872">
        <v>44</v>
      </c>
      <c r="C872">
        <v>737.95</v>
      </c>
      <c r="E872" s="13">
        <f t="shared" si="275"/>
        <v>737.95</v>
      </c>
      <c r="F872" s="13">
        <v>737.95</v>
      </c>
      <c r="G872" s="13">
        <f>E872-F872</f>
        <v>0</v>
      </c>
      <c r="H872" s="14">
        <v>1972</v>
      </c>
      <c r="I872" s="15">
        <v>773.51</v>
      </c>
      <c r="J872" s="13">
        <v>773.51</v>
      </c>
      <c r="K872" s="13">
        <v>0</v>
      </c>
      <c r="L872" s="13">
        <v>1723</v>
      </c>
      <c r="Q872" s="5">
        <f>SUMIFS(Coin!E:E,Coin!C:C,B872,Coin!D:D,A872)</f>
        <v>0</v>
      </c>
    </row>
    <row r="873" spans="1:20" x14ac:dyDescent="0.25">
      <c r="A873" s="1">
        <f t="shared" si="274"/>
        <v>42951</v>
      </c>
      <c r="B873">
        <v>103</v>
      </c>
      <c r="C873">
        <v>1526.65</v>
      </c>
      <c r="E873" s="13">
        <f t="shared" si="275"/>
        <v>1526.65</v>
      </c>
      <c r="F873" s="13">
        <v>1526.65</v>
      </c>
      <c r="G873" s="13">
        <f>E873-F873</f>
        <v>0</v>
      </c>
      <c r="H873" s="14">
        <v>1948</v>
      </c>
      <c r="I873" s="15">
        <v>1015.75</v>
      </c>
      <c r="J873" s="13">
        <v>1015.75</v>
      </c>
      <c r="K873" s="13">
        <v>0</v>
      </c>
      <c r="L873" s="13">
        <v>1724</v>
      </c>
      <c r="Q873" s="5">
        <f>SUMIFS(Coin!E:E,Coin!C:C,B873,Coin!D:D,A873)</f>
        <v>0</v>
      </c>
    </row>
    <row r="874" spans="1:20" x14ac:dyDescent="0.25">
      <c r="A874" s="1">
        <f t="shared" si="274"/>
        <v>42951</v>
      </c>
      <c r="B874">
        <v>201</v>
      </c>
      <c r="C874">
        <v>1499.9</v>
      </c>
      <c r="E874" s="13">
        <f t="shared" si="275"/>
        <v>1499.9</v>
      </c>
      <c r="F874" s="13">
        <v>1500</v>
      </c>
      <c r="G874" s="13">
        <f>E874-F874</f>
        <v>-9.9999999999909051E-2</v>
      </c>
      <c r="H874" s="14">
        <v>1974</v>
      </c>
      <c r="I874" s="15">
        <v>992.93</v>
      </c>
      <c r="J874" s="13">
        <v>992.93</v>
      </c>
      <c r="K874" s="13">
        <v>0</v>
      </c>
      <c r="L874" s="13">
        <v>1732</v>
      </c>
      <c r="Q874" s="5">
        <f>SUMIFS(Coin!E:E,Coin!C:C,B874,Coin!D:D,A874)</f>
        <v>0</v>
      </c>
    </row>
    <row r="875" spans="1:20" x14ac:dyDescent="0.25">
      <c r="A875" s="1">
        <f t="shared" ref="A875:A881" si="276">DATE(2017,8,5)</f>
        <v>42952</v>
      </c>
      <c r="B875">
        <v>35</v>
      </c>
      <c r="C875">
        <v>1046.75</v>
      </c>
      <c r="E875" s="13">
        <f t="shared" si="275"/>
        <v>1030</v>
      </c>
      <c r="F875" s="13">
        <v>1030</v>
      </c>
      <c r="G875" s="13">
        <f>E875-F875</f>
        <v>0</v>
      </c>
      <c r="H875" s="14">
        <v>1947</v>
      </c>
      <c r="I875" s="15">
        <v>1039.3</v>
      </c>
      <c r="J875" s="13">
        <v>1039.3</v>
      </c>
      <c r="K875" s="13">
        <v>0</v>
      </c>
      <c r="L875" s="13">
        <v>1718</v>
      </c>
      <c r="Q875" s="15">
        <v>16.75</v>
      </c>
      <c r="R875" s="13">
        <v>16.75</v>
      </c>
      <c r="S875" s="13">
        <v>0</v>
      </c>
      <c r="T875" s="19">
        <v>1966</v>
      </c>
    </row>
    <row r="876" spans="1:20" x14ac:dyDescent="0.25">
      <c r="A876" s="1">
        <f t="shared" si="276"/>
        <v>42952</v>
      </c>
      <c r="B876">
        <v>37</v>
      </c>
      <c r="C876">
        <v>904.7</v>
      </c>
      <c r="D876">
        <v>-8</v>
      </c>
      <c r="E876" s="13">
        <f t="shared" si="275"/>
        <v>896.7</v>
      </c>
      <c r="F876" s="13">
        <v>896.7</v>
      </c>
      <c r="G876" s="13">
        <f>E876-F876</f>
        <v>0</v>
      </c>
      <c r="H876" s="14">
        <v>1978</v>
      </c>
      <c r="I876" s="15">
        <v>1049.67</v>
      </c>
      <c r="J876" s="13">
        <v>1049.67</v>
      </c>
      <c r="K876" s="13">
        <v>0</v>
      </c>
      <c r="L876" s="13">
        <v>1729</v>
      </c>
      <c r="Q876" s="5">
        <f>SUMIFS(Coin!E:E,Coin!C:C,B876,Coin!D:D,A876)</f>
        <v>0</v>
      </c>
    </row>
    <row r="877" spans="1:20" x14ac:dyDescent="0.25">
      <c r="A877" s="1">
        <f t="shared" si="276"/>
        <v>42952</v>
      </c>
      <c r="B877">
        <v>41</v>
      </c>
      <c r="C877">
        <v>806.8</v>
      </c>
      <c r="E877" s="13">
        <f t="shared" si="275"/>
        <v>806.8</v>
      </c>
      <c r="F877" s="13">
        <v>806.8</v>
      </c>
      <c r="G877" s="13"/>
      <c r="H877" s="14"/>
      <c r="I877" s="15">
        <v>675.69</v>
      </c>
      <c r="J877" s="13">
        <v>675.69</v>
      </c>
      <c r="K877" s="13">
        <v>0</v>
      </c>
      <c r="L877" s="13">
        <v>1717</v>
      </c>
      <c r="Q877" s="5">
        <f>SUMIFS(Coin!E:E,Coin!C:C,B877,Coin!D:D,A877)</f>
        <v>0</v>
      </c>
    </row>
    <row r="878" spans="1:20" x14ac:dyDescent="0.25">
      <c r="A878" s="1">
        <f t="shared" si="276"/>
        <v>42952</v>
      </c>
      <c r="B878">
        <v>43</v>
      </c>
      <c r="C878">
        <v>1499.85</v>
      </c>
      <c r="E878" s="13">
        <f t="shared" si="275"/>
        <v>1499.85</v>
      </c>
      <c r="F878" s="13">
        <v>1499.85</v>
      </c>
      <c r="G878" s="13"/>
      <c r="H878" s="14"/>
      <c r="I878" s="15">
        <v>444.91</v>
      </c>
      <c r="J878" s="13">
        <v>444.91</v>
      </c>
      <c r="K878" s="13">
        <v>0</v>
      </c>
      <c r="L878" s="13">
        <v>1721</v>
      </c>
      <c r="Q878" s="5">
        <f>SUMIFS(Coin!E:E,Coin!C:C,B878,Coin!D:D,A878)</f>
        <v>0</v>
      </c>
    </row>
    <row r="879" spans="1:20" x14ac:dyDescent="0.25">
      <c r="A879" s="1">
        <f t="shared" si="276"/>
        <v>42952</v>
      </c>
      <c r="B879">
        <v>44</v>
      </c>
      <c r="C879">
        <v>592.70000000000005</v>
      </c>
      <c r="E879" s="13">
        <f t="shared" si="275"/>
        <v>592.70000000000005</v>
      </c>
      <c r="F879" s="13">
        <v>592.70000000000005</v>
      </c>
      <c r="G879" s="13">
        <f>E879-F879</f>
        <v>0</v>
      </c>
      <c r="H879" s="14">
        <v>1971</v>
      </c>
      <c r="I879" s="15">
        <v>1112.5999999999999</v>
      </c>
      <c r="J879" s="13">
        <v>1112.5999999999999</v>
      </c>
      <c r="K879" s="13">
        <v>0</v>
      </c>
      <c r="L879" s="13">
        <v>1720</v>
      </c>
      <c r="M879" s="15">
        <v>154.97999999999999</v>
      </c>
      <c r="N879" s="13">
        <v>154.97999999999999</v>
      </c>
      <c r="O879" s="13">
        <v>0</v>
      </c>
      <c r="P879" s="13">
        <v>94</v>
      </c>
      <c r="Q879" s="5">
        <f>SUMIFS(Coin!E:E,Coin!C:C,B879,Coin!D:D,A879)</f>
        <v>0</v>
      </c>
    </row>
    <row r="880" spans="1:20" x14ac:dyDescent="0.25">
      <c r="A880" s="1">
        <f t="shared" si="276"/>
        <v>42952</v>
      </c>
      <c r="B880">
        <v>103</v>
      </c>
      <c r="C880">
        <v>1547.6</v>
      </c>
      <c r="E880" s="13">
        <f t="shared" si="275"/>
        <v>1547.6</v>
      </c>
      <c r="F880" s="13">
        <v>1547.6</v>
      </c>
      <c r="G880" s="13">
        <f>E880-F880</f>
        <v>0</v>
      </c>
      <c r="H880" s="14"/>
      <c r="I880" s="15">
        <v>1168.3900000000001</v>
      </c>
      <c r="J880" s="13">
        <v>1168.3900000000001</v>
      </c>
      <c r="K880" s="13">
        <v>0</v>
      </c>
      <c r="L880" s="13">
        <v>1719</v>
      </c>
      <c r="Q880" s="5">
        <f>SUMIFS(Coin!E:E,Coin!C:C,B880,Coin!D:D,A880)</f>
        <v>0</v>
      </c>
    </row>
    <row r="881" spans="1:21" x14ac:dyDescent="0.25">
      <c r="A881" s="1">
        <f t="shared" si="276"/>
        <v>42952</v>
      </c>
      <c r="B881">
        <v>201</v>
      </c>
      <c r="C881">
        <v>1110</v>
      </c>
      <c r="E881" s="13">
        <f t="shared" si="275"/>
        <v>1110</v>
      </c>
      <c r="F881" s="13">
        <v>1110</v>
      </c>
      <c r="G881" s="13">
        <f>E881-F881</f>
        <v>0</v>
      </c>
      <c r="H881" s="14">
        <v>1975</v>
      </c>
      <c r="I881" s="15">
        <v>984.96</v>
      </c>
      <c r="J881" s="13">
        <v>984.96</v>
      </c>
      <c r="K881" s="13">
        <v>0</v>
      </c>
      <c r="L881" s="13">
        <v>1730</v>
      </c>
      <c r="Q881" s="5">
        <f>SUMIFS(Coin!E:E,Coin!C:C,B881,Coin!D:D,A881)</f>
        <v>0</v>
      </c>
    </row>
    <row r="882" spans="1:21" x14ac:dyDescent="0.25">
      <c r="A882" s="1">
        <f t="shared" ref="A882:A888" si="277">DATE(2017,8,6)</f>
        <v>42953</v>
      </c>
      <c r="B882">
        <v>35</v>
      </c>
      <c r="C882">
        <v>620.9</v>
      </c>
      <c r="E882" s="13">
        <f t="shared" si="275"/>
        <v>620</v>
      </c>
      <c r="F882" s="13">
        <v>620</v>
      </c>
      <c r="G882" s="13">
        <f>E882-F882</f>
        <v>0</v>
      </c>
      <c r="H882" s="14">
        <v>1940</v>
      </c>
      <c r="I882" s="15">
        <v>549.75</v>
      </c>
      <c r="J882" s="13">
        <v>549.75</v>
      </c>
      <c r="K882" s="13">
        <v>0</v>
      </c>
      <c r="L882" s="13">
        <v>1716</v>
      </c>
      <c r="Q882" s="15">
        <v>0.9</v>
      </c>
      <c r="R882" s="13">
        <v>0.9</v>
      </c>
      <c r="S882" s="13">
        <v>0</v>
      </c>
      <c r="T882" s="19">
        <v>1967</v>
      </c>
    </row>
    <row r="883" spans="1:21" x14ac:dyDescent="0.25">
      <c r="A883" s="1">
        <f t="shared" si="277"/>
        <v>42953</v>
      </c>
      <c r="B883">
        <v>37</v>
      </c>
      <c r="C883">
        <v>439.95</v>
      </c>
      <c r="E883" s="13">
        <f t="shared" si="275"/>
        <v>439.95</v>
      </c>
      <c r="F883" s="13">
        <v>439.95</v>
      </c>
      <c r="G883" s="13">
        <f>E883-F883</f>
        <v>0</v>
      </c>
      <c r="H883" s="14">
        <v>1979</v>
      </c>
      <c r="I883" s="15">
        <v>879.63</v>
      </c>
      <c r="J883" s="13">
        <v>879.63</v>
      </c>
      <c r="K883" s="13">
        <v>0</v>
      </c>
      <c r="L883" s="13">
        <v>1728</v>
      </c>
      <c r="Q883" s="5">
        <f>SUMIFS(Coin!E:E,Coin!C:C,B883,Coin!D:D,A883)</f>
        <v>0</v>
      </c>
    </row>
    <row r="884" spans="1:21" x14ac:dyDescent="0.25">
      <c r="A884" s="1">
        <f t="shared" si="277"/>
        <v>42953</v>
      </c>
      <c r="B884">
        <v>41</v>
      </c>
      <c r="C884">
        <v>452.9</v>
      </c>
      <c r="E884" s="13">
        <f t="shared" si="275"/>
        <v>452.9</v>
      </c>
      <c r="F884" s="13">
        <v>452.9</v>
      </c>
      <c r="G884" s="13"/>
      <c r="H884" s="14"/>
      <c r="I884" s="15">
        <v>627.78</v>
      </c>
      <c r="J884" s="13">
        <v>627.78</v>
      </c>
      <c r="K884" s="13">
        <v>0</v>
      </c>
      <c r="L884" s="13">
        <v>1713</v>
      </c>
      <c r="Q884" s="5">
        <f>SUMIFS(Coin!E:E,Coin!C:C,B884,Coin!D:D,A884)</f>
        <v>0</v>
      </c>
    </row>
    <row r="885" spans="1:21" x14ac:dyDescent="0.25">
      <c r="A885" s="1">
        <f t="shared" si="277"/>
        <v>42953</v>
      </c>
      <c r="B885">
        <v>43</v>
      </c>
      <c r="C885">
        <v>684.95</v>
      </c>
      <c r="E885" s="13">
        <f t="shared" si="275"/>
        <v>684.95</v>
      </c>
      <c r="F885" s="13">
        <v>684.95</v>
      </c>
      <c r="G885" s="13"/>
      <c r="H885" s="14"/>
      <c r="I885" s="15">
        <v>279.89</v>
      </c>
      <c r="J885" s="13">
        <v>279.89</v>
      </c>
      <c r="K885" s="13">
        <v>0</v>
      </c>
      <c r="L885" s="13">
        <v>1712</v>
      </c>
      <c r="Q885" s="5">
        <f>SUMIFS(Coin!E:E,Coin!C:C,B885,Coin!D:D,A885)</f>
        <v>0</v>
      </c>
    </row>
    <row r="886" spans="1:21" x14ac:dyDescent="0.25">
      <c r="A886" s="1">
        <f t="shared" si="277"/>
        <v>42953</v>
      </c>
      <c r="B886">
        <v>44</v>
      </c>
      <c r="C886">
        <v>260</v>
      </c>
      <c r="E886" s="13">
        <f t="shared" si="275"/>
        <v>252.1</v>
      </c>
      <c r="F886" s="13">
        <v>252.1</v>
      </c>
      <c r="G886" s="13">
        <f>E886-F886</f>
        <v>0</v>
      </c>
      <c r="H886" s="14">
        <v>1973</v>
      </c>
      <c r="I886" s="15">
        <v>494.98</v>
      </c>
      <c r="J886" s="13">
        <v>494.98</v>
      </c>
      <c r="K886" s="13">
        <v>0</v>
      </c>
      <c r="L886" s="13">
        <v>1715</v>
      </c>
      <c r="Q886" s="5">
        <f>SUMIFS(Coin!E:E,Coin!C:C,B886,Coin!D:D,A886)</f>
        <v>0</v>
      </c>
      <c r="U886" s="21">
        <v>-7.9</v>
      </c>
    </row>
    <row r="887" spans="1:21" x14ac:dyDescent="0.25">
      <c r="A887" s="1">
        <f t="shared" si="277"/>
        <v>42953</v>
      </c>
      <c r="B887">
        <v>103</v>
      </c>
      <c r="C887">
        <v>1008.5</v>
      </c>
      <c r="E887" s="13">
        <f t="shared" si="275"/>
        <v>1008.4</v>
      </c>
      <c r="F887" s="13">
        <v>1008.4</v>
      </c>
      <c r="G887" s="13">
        <v>0</v>
      </c>
      <c r="H887" s="25"/>
      <c r="I887" s="15">
        <v>597.67999999999995</v>
      </c>
      <c r="J887" s="13">
        <v>597.67999999999995</v>
      </c>
      <c r="K887" s="13">
        <v>0</v>
      </c>
      <c r="L887" s="13">
        <v>1714</v>
      </c>
      <c r="Q887" s="5">
        <v>0.1</v>
      </c>
    </row>
    <row r="888" spans="1:21" x14ac:dyDescent="0.25">
      <c r="A888" s="1">
        <f t="shared" si="277"/>
        <v>42953</v>
      </c>
      <c r="B888">
        <v>201</v>
      </c>
      <c r="C888">
        <v>490</v>
      </c>
      <c r="E888" s="13">
        <f t="shared" si="275"/>
        <v>490</v>
      </c>
      <c r="F888" s="13">
        <v>490</v>
      </c>
      <c r="G888" s="13">
        <f t="shared" ref="G888:G894" si="278">E888-F888</f>
        <v>0</v>
      </c>
      <c r="H888" s="14">
        <v>1976</v>
      </c>
      <c r="I888" s="15">
        <v>455</v>
      </c>
      <c r="J888" s="13">
        <v>455</v>
      </c>
      <c r="K888" s="13">
        <v>0</v>
      </c>
      <c r="L888" s="13">
        <v>1727</v>
      </c>
      <c r="Q888" s="5">
        <f>SUMIFS(Coin!E:E,Coin!C:C,B888,Coin!D:D,A888)</f>
        <v>0</v>
      </c>
    </row>
    <row r="889" spans="1:21" x14ac:dyDescent="0.25">
      <c r="A889" s="1">
        <f t="shared" ref="A889:A895" si="279">DATE(2017,8,7)</f>
        <v>42954</v>
      </c>
      <c r="B889">
        <v>35</v>
      </c>
      <c r="C889">
        <v>922.6</v>
      </c>
      <c r="E889" s="13">
        <f t="shared" ref="E889:E909" si="280">C889+D889-Q889+U889</f>
        <v>920</v>
      </c>
      <c r="F889" s="13">
        <v>920</v>
      </c>
      <c r="G889" s="13">
        <f t="shared" si="278"/>
        <v>0</v>
      </c>
      <c r="H889" s="14">
        <v>1965</v>
      </c>
      <c r="I889" s="15">
        <v>395.86</v>
      </c>
      <c r="J889" s="13">
        <v>395.86</v>
      </c>
      <c r="K889" s="13">
        <v>0</v>
      </c>
      <c r="L889" s="13">
        <v>1747</v>
      </c>
      <c r="Q889" s="15">
        <v>2.6</v>
      </c>
      <c r="R889" s="13">
        <v>2.6</v>
      </c>
      <c r="S889" s="13">
        <v>0</v>
      </c>
      <c r="T889" s="19">
        <v>1956</v>
      </c>
    </row>
    <row r="890" spans="1:21" x14ac:dyDescent="0.25">
      <c r="A890" s="1">
        <f t="shared" si="279"/>
        <v>42954</v>
      </c>
      <c r="B890">
        <v>37</v>
      </c>
      <c r="C890">
        <v>450</v>
      </c>
      <c r="E890" s="13">
        <f t="shared" si="280"/>
        <v>400</v>
      </c>
      <c r="F890" s="13">
        <v>400</v>
      </c>
      <c r="G890" s="13">
        <f t="shared" si="278"/>
        <v>0</v>
      </c>
      <c r="H890" s="14">
        <v>1953</v>
      </c>
      <c r="I890" s="15">
        <v>410.85</v>
      </c>
      <c r="J890" s="13">
        <v>410.85</v>
      </c>
      <c r="K890" s="13">
        <v>0</v>
      </c>
      <c r="L890" s="13">
        <v>1752</v>
      </c>
      <c r="Q890" s="15">
        <v>50</v>
      </c>
      <c r="R890" s="13">
        <v>50</v>
      </c>
      <c r="S890" s="13">
        <v>0</v>
      </c>
      <c r="T890" s="19">
        <v>1952</v>
      </c>
    </row>
    <row r="891" spans="1:21" x14ac:dyDescent="0.25">
      <c r="A891" s="1">
        <f t="shared" si="279"/>
        <v>42954</v>
      </c>
      <c r="B891">
        <v>41</v>
      </c>
      <c r="C891">
        <v>788.85</v>
      </c>
      <c r="E891" s="13">
        <f t="shared" si="280"/>
        <v>788.85</v>
      </c>
      <c r="F891" s="13">
        <v>788.85</v>
      </c>
      <c r="G891" s="13">
        <f t="shared" si="278"/>
        <v>0</v>
      </c>
      <c r="H891" s="14">
        <v>1955</v>
      </c>
      <c r="I891" s="15">
        <v>681.64</v>
      </c>
      <c r="J891" s="13">
        <v>681.64</v>
      </c>
      <c r="K891" s="13">
        <v>0</v>
      </c>
      <c r="L891" s="13">
        <v>1749</v>
      </c>
      <c r="Q891" s="5">
        <f>SUMIFS(Coin!E:E,Coin!C:C,B891,Coin!D:D,A891)</f>
        <v>0</v>
      </c>
    </row>
    <row r="892" spans="1:21" x14ac:dyDescent="0.25">
      <c r="A892" s="1">
        <f t="shared" si="279"/>
        <v>42954</v>
      </c>
      <c r="B892">
        <v>43</v>
      </c>
      <c r="C892">
        <v>1202.8499999999999</v>
      </c>
      <c r="E892" s="13">
        <f t="shared" si="280"/>
        <v>1202.8499999999999</v>
      </c>
      <c r="F892" s="13">
        <v>1202.8499999999999</v>
      </c>
      <c r="G892" s="13">
        <f t="shared" si="278"/>
        <v>0</v>
      </c>
      <c r="H892" s="14">
        <v>1963</v>
      </c>
      <c r="I892" s="15">
        <v>309.95999999999998</v>
      </c>
      <c r="J892" s="13">
        <v>309.95999999999998</v>
      </c>
      <c r="K892" s="13">
        <v>0</v>
      </c>
      <c r="L892" s="13">
        <v>1750</v>
      </c>
      <c r="Q892" s="5">
        <f>SUMIFS(Coin!E:E,Coin!C:C,B892,Coin!D:D,A892)</f>
        <v>0</v>
      </c>
    </row>
    <row r="893" spans="1:21" x14ac:dyDescent="0.25">
      <c r="A893" s="1">
        <f t="shared" si="279"/>
        <v>42954</v>
      </c>
      <c r="B893">
        <v>44</v>
      </c>
      <c r="C893">
        <v>398.8</v>
      </c>
      <c r="E893" s="13">
        <f t="shared" si="280"/>
        <v>398.8</v>
      </c>
      <c r="F893" s="13">
        <v>398.8</v>
      </c>
      <c r="G893" s="13">
        <f t="shared" si="278"/>
        <v>0</v>
      </c>
      <c r="H893" s="14">
        <v>1960</v>
      </c>
      <c r="I893" s="15">
        <v>274.98</v>
      </c>
      <c r="J893" s="13">
        <v>274.98</v>
      </c>
      <c r="K893" s="13">
        <v>0</v>
      </c>
      <c r="L893" s="13">
        <v>1751</v>
      </c>
      <c r="Q893" s="5">
        <f>SUMIFS(Coin!E:E,Coin!C:C,B893,Coin!D:D,A893)</f>
        <v>0</v>
      </c>
    </row>
    <row r="894" spans="1:21" x14ac:dyDescent="0.25">
      <c r="A894" s="1">
        <f t="shared" si="279"/>
        <v>42954</v>
      </c>
      <c r="B894">
        <v>103</v>
      </c>
      <c r="C894">
        <v>1073.45</v>
      </c>
      <c r="E894" s="13">
        <f t="shared" si="280"/>
        <v>1073.45</v>
      </c>
      <c r="F894" s="13">
        <v>1073.45</v>
      </c>
      <c r="G894" s="13">
        <f t="shared" si="278"/>
        <v>0</v>
      </c>
      <c r="H894" s="14"/>
      <c r="I894" s="15">
        <v>790.65</v>
      </c>
      <c r="J894" s="13">
        <v>790.65</v>
      </c>
      <c r="K894" s="13">
        <v>0</v>
      </c>
      <c r="L894" s="13">
        <v>1748</v>
      </c>
      <c r="Q894" s="5">
        <f>SUMIFS(Coin!E:E,Coin!C:C,B894,Coin!D:D,A894)</f>
        <v>0</v>
      </c>
    </row>
    <row r="895" spans="1:21" x14ac:dyDescent="0.25">
      <c r="A895" s="1">
        <f t="shared" si="279"/>
        <v>42954</v>
      </c>
      <c r="B895">
        <v>201</v>
      </c>
      <c r="C895">
        <v>737.95</v>
      </c>
      <c r="E895" s="13">
        <f t="shared" si="280"/>
        <v>737.95</v>
      </c>
      <c r="F895" s="13">
        <v>737.95</v>
      </c>
      <c r="G895" s="13">
        <f>E895-F895</f>
        <v>0</v>
      </c>
      <c r="H895" s="14">
        <v>1984</v>
      </c>
      <c r="I895" s="15">
        <v>264</v>
      </c>
      <c r="J895" s="13">
        <v>264</v>
      </c>
      <c r="K895" s="13">
        <v>0</v>
      </c>
      <c r="L895" s="13">
        <v>1753</v>
      </c>
      <c r="Q895" s="5">
        <f>SUMIFS(Coin!E:E,Coin!C:C,B895,Coin!D:D,A895)</f>
        <v>0</v>
      </c>
    </row>
    <row r="896" spans="1:21" x14ac:dyDescent="0.25">
      <c r="A896" s="1">
        <f t="shared" ref="A896:A902" si="281">DATE(2017,8,8)</f>
        <v>42955</v>
      </c>
      <c r="B896">
        <v>35</v>
      </c>
      <c r="C896">
        <v>710.5</v>
      </c>
      <c r="E896" s="13">
        <f t="shared" si="280"/>
        <v>700</v>
      </c>
      <c r="F896" s="13">
        <v>700</v>
      </c>
      <c r="G896" s="13">
        <f t="shared" ref="G896:G901" si="282">E896-F896</f>
        <v>0</v>
      </c>
      <c r="H896" s="14">
        <v>1951</v>
      </c>
      <c r="I896" s="15">
        <v>687.57</v>
      </c>
      <c r="J896" s="13">
        <v>687.57</v>
      </c>
      <c r="K896" s="13">
        <v>0</v>
      </c>
      <c r="L896" s="13">
        <v>1740</v>
      </c>
      <c r="Q896" s="15">
        <v>10.5</v>
      </c>
      <c r="R896" s="13">
        <v>10.5</v>
      </c>
      <c r="S896" s="13">
        <v>0</v>
      </c>
      <c r="T896" s="19">
        <v>1957</v>
      </c>
    </row>
    <row r="897" spans="1:21" x14ac:dyDescent="0.25">
      <c r="A897" s="1">
        <f t="shared" si="281"/>
        <v>42955</v>
      </c>
      <c r="B897">
        <v>37</v>
      </c>
      <c r="C897">
        <v>415</v>
      </c>
      <c r="E897" s="13">
        <f t="shared" si="280"/>
        <v>415</v>
      </c>
      <c r="F897" s="13">
        <v>415</v>
      </c>
      <c r="G897" s="13">
        <f t="shared" si="282"/>
        <v>0</v>
      </c>
      <c r="H897" s="14">
        <v>1958</v>
      </c>
      <c r="I897" s="15">
        <v>465</v>
      </c>
      <c r="J897" s="13">
        <v>465</v>
      </c>
      <c r="K897" s="13">
        <v>0</v>
      </c>
      <c r="L897" s="13">
        <v>1745</v>
      </c>
      <c r="Q897" s="5">
        <f>SUMIFS(Coin!E:E,Coin!C:C,B897,Coin!D:D,A897)</f>
        <v>0</v>
      </c>
    </row>
    <row r="898" spans="1:21" x14ac:dyDescent="0.25">
      <c r="A898" s="1">
        <f t="shared" si="281"/>
        <v>42955</v>
      </c>
      <c r="B898">
        <v>41</v>
      </c>
      <c r="C898">
        <v>374.9</v>
      </c>
      <c r="E898" s="13">
        <f t="shared" si="280"/>
        <v>374.9</v>
      </c>
      <c r="F898" s="13">
        <v>374.9</v>
      </c>
      <c r="G898" s="13">
        <f t="shared" si="282"/>
        <v>0</v>
      </c>
      <c r="H898" s="14">
        <v>1964</v>
      </c>
      <c r="I898" s="15">
        <v>498.51</v>
      </c>
      <c r="J898" s="13">
        <v>498.51</v>
      </c>
      <c r="K898" s="13">
        <v>0</v>
      </c>
      <c r="L898" s="13">
        <v>1742</v>
      </c>
      <c r="Q898" s="5">
        <f>SUMIFS(Coin!E:E,Coin!C:C,B898,Coin!D:D,A898)</f>
        <v>0</v>
      </c>
    </row>
    <row r="899" spans="1:21" x14ac:dyDescent="0.25">
      <c r="A899" s="1">
        <f t="shared" si="281"/>
        <v>42955</v>
      </c>
      <c r="B899">
        <v>43</v>
      </c>
      <c r="C899">
        <v>847.9</v>
      </c>
      <c r="E899" s="13">
        <f t="shared" si="280"/>
        <v>847.9</v>
      </c>
      <c r="F899" s="13">
        <v>847.9</v>
      </c>
      <c r="G899" s="13">
        <f t="shared" si="282"/>
        <v>0</v>
      </c>
      <c r="H899" s="14">
        <v>1959</v>
      </c>
      <c r="I899" s="15">
        <v>433.83</v>
      </c>
      <c r="J899" s="13">
        <v>433.83</v>
      </c>
      <c r="K899" s="13">
        <v>0</v>
      </c>
      <c r="L899" s="13">
        <v>1739</v>
      </c>
      <c r="Q899" s="5">
        <f>SUMIFS(Coin!E:E,Coin!C:C,B899,Coin!D:D,A899)</f>
        <v>0</v>
      </c>
    </row>
    <row r="900" spans="1:21" x14ac:dyDescent="0.25">
      <c r="A900" s="1">
        <f t="shared" si="281"/>
        <v>42955</v>
      </c>
      <c r="B900">
        <v>44</v>
      </c>
      <c r="C900">
        <v>456.8</v>
      </c>
      <c r="E900" s="13">
        <f t="shared" si="280"/>
        <v>456.8</v>
      </c>
      <c r="F900" s="13">
        <v>456.8</v>
      </c>
      <c r="G900" s="13">
        <f t="shared" si="282"/>
        <v>0</v>
      </c>
      <c r="H900" s="14">
        <v>1961</v>
      </c>
      <c r="I900" s="15">
        <v>361.8</v>
      </c>
      <c r="J900" s="13">
        <v>361.8</v>
      </c>
      <c r="K900" s="13">
        <v>0</v>
      </c>
      <c r="L900" s="13">
        <v>1738</v>
      </c>
      <c r="Q900" s="5">
        <f>SUMIFS(Coin!E:E,Coin!C:C,B900,Coin!D:D,A900)</f>
        <v>0</v>
      </c>
    </row>
    <row r="901" spans="1:21" x14ac:dyDescent="0.25">
      <c r="A901" s="1">
        <f t="shared" si="281"/>
        <v>42955</v>
      </c>
      <c r="B901">
        <v>103</v>
      </c>
      <c r="C901">
        <v>1234.3499999999999</v>
      </c>
      <c r="E901" s="13">
        <f t="shared" si="280"/>
        <v>1236.3</v>
      </c>
      <c r="F901" s="13">
        <v>1236.3</v>
      </c>
      <c r="G901" s="13">
        <f t="shared" si="282"/>
        <v>0</v>
      </c>
      <c r="H901" s="14">
        <v>1962</v>
      </c>
      <c r="I901" s="15">
        <v>634.5</v>
      </c>
      <c r="J901" s="13">
        <v>634.5</v>
      </c>
      <c r="K901" s="13">
        <v>0</v>
      </c>
      <c r="L901" s="13">
        <v>1741</v>
      </c>
      <c r="Q901" s="5">
        <f>SUMIFS(Coin!E:E,Coin!C:C,B901,Coin!D:D,A901)</f>
        <v>0</v>
      </c>
      <c r="U901" s="21">
        <v>1.95</v>
      </c>
    </row>
    <row r="902" spans="1:21" x14ac:dyDescent="0.25">
      <c r="A902" s="1">
        <f t="shared" si="281"/>
        <v>42955</v>
      </c>
      <c r="B902">
        <v>201</v>
      </c>
      <c r="C902">
        <v>507.95</v>
      </c>
      <c r="E902" s="13">
        <f t="shared" si="280"/>
        <v>507.95</v>
      </c>
      <c r="F902" s="13">
        <v>507.95</v>
      </c>
      <c r="G902" s="13">
        <f>E902-F902</f>
        <v>0</v>
      </c>
      <c r="H902" s="14">
        <v>1985</v>
      </c>
      <c r="I902" s="15">
        <v>368</v>
      </c>
      <c r="J902" s="13">
        <v>368</v>
      </c>
      <c r="K902" s="13">
        <v>0</v>
      </c>
      <c r="L902" s="13">
        <v>1746</v>
      </c>
      <c r="Q902" s="5">
        <f>SUMIFS(Coin!E:E,Coin!C:C,B902,Coin!D:D,A902)</f>
        <v>0</v>
      </c>
    </row>
    <row r="903" spans="1:21" x14ac:dyDescent="0.25">
      <c r="A903" s="1">
        <f t="shared" ref="A903:A909" si="283">DATE(2017,8,9)</f>
        <v>42956</v>
      </c>
      <c r="B903">
        <v>35</v>
      </c>
      <c r="C903">
        <v>651.75</v>
      </c>
      <c r="E903" s="13">
        <f t="shared" si="280"/>
        <v>650</v>
      </c>
      <c r="F903" s="13">
        <v>650</v>
      </c>
      <c r="G903" s="13">
        <f>E903-F903</f>
        <v>0</v>
      </c>
      <c r="H903" s="14">
        <v>1950</v>
      </c>
      <c r="I903" s="15">
        <v>517.79</v>
      </c>
      <c r="J903" s="13">
        <v>517.79</v>
      </c>
      <c r="K903" s="13">
        <v>0</v>
      </c>
      <c r="L903" s="13">
        <v>1737</v>
      </c>
      <c r="Q903" s="15">
        <v>1.75</v>
      </c>
      <c r="R903" s="13">
        <v>1.75</v>
      </c>
      <c r="S903" s="13">
        <v>0</v>
      </c>
      <c r="T903" s="19">
        <v>1980</v>
      </c>
    </row>
    <row r="904" spans="1:21" x14ac:dyDescent="0.25">
      <c r="A904" s="1">
        <f t="shared" si="283"/>
        <v>42956</v>
      </c>
      <c r="B904">
        <v>37</v>
      </c>
      <c r="C904">
        <v>705</v>
      </c>
      <c r="E904" s="13">
        <f t="shared" si="280"/>
        <v>705</v>
      </c>
      <c r="F904" s="13">
        <v>705</v>
      </c>
      <c r="G904" s="13">
        <f>E904-F904</f>
        <v>0</v>
      </c>
      <c r="H904" s="14">
        <v>1981</v>
      </c>
      <c r="I904" s="15">
        <v>494.95</v>
      </c>
      <c r="J904" s="13">
        <v>494.95</v>
      </c>
      <c r="K904" s="13">
        <v>0</v>
      </c>
      <c r="L904" s="13">
        <v>1744</v>
      </c>
      <c r="Q904" s="5">
        <f>SUMIFS(Coin!E:E,Coin!C:C,B904,Coin!D:D,A904)</f>
        <v>0</v>
      </c>
    </row>
    <row r="905" spans="1:21" x14ac:dyDescent="0.25">
      <c r="A905" s="1">
        <f t="shared" si="283"/>
        <v>42956</v>
      </c>
      <c r="B905">
        <v>41</v>
      </c>
      <c r="C905">
        <v>350.95</v>
      </c>
      <c r="E905" s="13">
        <f t="shared" si="280"/>
        <v>350.95</v>
      </c>
      <c r="F905" s="13">
        <v>350.95</v>
      </c>
      <c r="G905" s="13">
        <f>E905-F905</f>
        <v>0</v>
      </c>
      <c r="H905" s="14">
        <v>1992</v>
      </c>
      <c r="I905" s="15">
        <v>251.66</v>
      </c>
      <c r="J905" s="13">
        <v>251.66</v>
      </c>
      <c r="K905" s="13">
        <v>0</v>
      </c>
      <c r="L905" s="13">
        <v>1733</v>
      </c>
      <c r="Q905" s="5">
        <f>SUMIFS(Coin!E:E,Coin!C:C,B905,Coin!D:D,A905)</f>
        <v>0</v>
      </c>
    </row>
    <row r="906" spans="1:21" x14ac:dyDescent="0.25">
      <c r="A906" s="1">
        <f t="shared" si="283"/>
        <v>42956</v>
      </c>
      <c r="B906">
        <v>43</v>
      </c>
      <c r="C906">
        <v>976.7</v>
      </c>
      <c r="E906" s="13">
        <f t="shared" si="280"/>
        <v>976.7</v>
      </c>
      <c r="F906" s="13">
        <v>976.7</v>
      </c>
      <c r="G906" s="13">
        <v>0</v>
      </c>
      <c r="H906" s="14"/>
      <c r="I906" s="15">
        <v>267.89999999999998</v>
      </c>
      <c r="J906" s="13">
        <v>267.89999999999998</v>
      </c>
      <c r="K906" s="13">
        <v>0</v>
      </c>
      <c r="L906" s="13">
        <v>1736</v>
      </c>
      <c r="Q906" s="5">
        <f>SUMIFS(Coin!E:E,Coin!C:C,B906,Coin!D:D,A906)</f>
        <v>0</v>
      </c>
    </row>
    <row r="907" spans="1:21" x14ac:dyDescent="0.25">
      <c r="A907" s="1">
        <f t="shared" si="283"/>
        <v>42956</v>
      </c>
      <c r="B907">
        <v>44</v>
      </c>
      <c r="C907">
        <v>428.85</v>
      </c>
      <c r="E907" s="13">
        <f t="shared" si="280"/>
        <v>428.85</v>
      </c>
      <c r="F907" s="13">
        <v>428.85</v>
      </c>
      <c r="G907" s="13">
        <f>E907-F907</f>
        <v>0</v>
      </c>
      <c r="H907" s="14">
        <v>1982</v>
      </c>
      <c r="I907" s="15">
        <v>503.47</v>
      </c>
      <c r="J907" s="13">
        <v>503.47</v>
      </c>
      <c r="K907" s="13">
        <v>0</v>
      </c>
      <c r="L907" s="13">
        <v>1734</v>
      </c>
      <c r="Q907" s="5">
        <f>SUMIFS(Coin!E:E,Coin!C:C,B907,Coin!D:D,A907)</f>
        <v>0</v>
      </c>
    </row>
    <row r="908" spans="1:21" x14ac:dyDescent="0.25">
      <c r="A908" s="1">
        <f t="shared" si="283"/>
        <v>42956</v>
      </c>
      <c r="B908">
        <v>103</v>
      </c>
      <c r="C908">
        <v>1213.45</v>
      </c>
      <c r="D908">
        <v>-80.75</v>
      </c>
      <c r="E908" s="13">
        <f t="shared" si="280"/>
        <v>1132.7</v>
      </c>
      <c r="F908" s="13">
        <v>1132.7</v>
      </c>
      <c r="G908" s="13">
        <v>0</v>
      </c>
      <c r="H908" s="14"/>
      <c r="I908" s="15">
        <v>719.86</v>
      </c>
      <c r="J908" s="13">
        <v>719.86</v>
      </c>
      <c r="K908" s="13">
        <v>0</v>
      </c>
      <c r="L908" s="13">
        <v>1735</v>
      </c>
      <c r="Q908" s="5">
        <f>SUMIFS(Coin!E:E,Coin!C:C,B908,Coin!D:D,A908)</f>
        <v>0</v>
      </c>
    </row>
    <row r="909" spans="1:21" x14ac:dyDescent="0.25">
      <c r="A909" s="1">
        <f t="shared" si="283"/>
        <v>42956</v>
      </c>
      <c r="B909">
        <v>201</v>
      </c>
      <c r="C909">
        <v>680</v>
      </c>
      <c r="E909" s="13">
        <f t="shared" si="280"/>
        <v>680</v>
      </c>
      <c r="F909" s="13">
        <v>680</v>
      </c>
      <c r="G909" s="13">
        <f t="shared" ref="G909:G914" si="284">E909-F909</f>
        <v>0</v>
      </c>
      <c r="H909" s="14">
        <v>1983</v>
      </c>
      <c r="I909" s="15">
        <v>417.84</v>
      </c>
      <c r="J909" s="13">
        <v>417.84</v>
      </c>
      <c r="K909" s="13">
        <v>0</v>
      </c>
      <c r="L909" s="13">
        <v>1743</v>
      </c>
      <c r="M909" s="5">
        <v>10</v>
      </c>
      <c r="Q909" s="5">
        <f>SUMIFS(Coin!E:E,Coin!C:C,B909,Coin!D:D,A909)</f>
        <v>0</v>
      </c>
    </row>
    <row r="910" spans="1:21" x14ac:dyDescent="0.25">
      <c r="A910" s="1">
        <f t="shared" ref="A910:A916" si="285">DATE(2017,8,10)</f>
        <v>42957</v>
      </c>
      <c r="B910">
        <v>35</v>
      </c>
      <c r="C910">
        <v>1142.25</v>
      </c>
      <c r="E910" s="13">
        <f t="shared" ref="E910:E916" si="286">C910+D910-Q910+U910</f>
        <v>1142.25</v>
      </c>
      <c r="F910" s="13">
        <v>1142.25</v>
      </c>
      <c r="G910" s="13">
        <f t="shared" si="284"/>
        <v>0</v>
      </c>
      <c r="H910" s="14">
        <v>1987</v>
      </c>
      <c r="I910" s="15">
        <v>559.85</v>
      </c>
      <c r="J910" s="13">
        <v>559.85</v>
      </c>
      <c r="K910" s="13">
        <v>0</v>
      </c>
      <c r="L910" s="13">
        <v>1754</v>
      </c>
      <c r="Q910" s="5">
        <f>SUMIFS(Coin!E:E,Coin!C:C,B910,Coin!D:D,A910)</f>
        <v>0</v>
      </c>
    </row>
    <row r="911" spans="1:21" x14ac:dyDescent="0.25">
      <c r="A911" s="1">
        <f t="shared" si="285"/>
        <v>42957</v>
      </c>
      <c r="B911">
        <v>37</v>
      </c>
      <c r="C911">
        <v>583.75</v>
      </c>
      <c r="E911" s="13">
        <f t="shared" si="286"/>
        <v>583.75</v>
      </c>
      <c r="F911" s="13">
        <v>583.75</v>
      </c>
      <c r="G911" s="13">
        <f t="shared" si="284"/>
        <v>0</v>
      </c>
      <c r="H911" s="14">
        <v>1988</v>
      </c>
      <c r="I911" s="15">
        <v>1015.9</v>
      </c>
      <c r="J911" s="13">
        <v>1015.9</v>
      </c>
      <c r="K911" s="13">
        <v>0</v>
      </c>
      <c r="L911" s="13">
        <v>1759</v>
      </c>
      <c r="Q911" s="5">
        <f>SUMIFS(Coin!E:E,Coin!C:C,B911,Coin!D:D,A911)</f>
        <v>0</v>
      </c>
    </row>
    <row r="912" spans="1:21" x14ac:dyDescent="0.25">
      <c r="A912" s="1">
        <f t="shared" si="285"/>
        <v>42957</v>
      </c>
      <c r="B912">
        <v>41</v>
      </c>
      <c r="C912">
        <v>1118.3</v>
      </c>
      <c r="E912" s="13">
        <f t="shared" si="286"/>
        <v>1118.3</v>
      </c>
      <c r="F912" s="13">
        <v>1118.3</v>
      </c>
      <c r="G912" s="13">
        <f t="shared" si="284"/>
        <v>0</v>
      </c>
      <c r="H912" s="14">
        <v>1993</v>
      </c>
      <c r="I912" s="15">
        <v>735.43</v>
      </c>
      <c r="J912" s="13">
        <v>735.43</v>
      </c>
      <c r="K912" s="13">
        <v>0</v>
      </c>
      <c r="L912" s="13">
        <v>1757</v>
      </c>
      <c r="Q912" s="5">
        <f>SUMIFS(Coin!E:E,Coin!C:C,B912,Coin!D:D,A912)</f>
        <v>0</v>
      </c>
    </row>
    <row r="913" spans="1:22" x14ac:dyDescent="0.25">
      <c r="A913" s="1">
        <f t="shared" si="285"/>
        <v>42957</v>
      </c>
      <c r="B913">
        <v>43</v>
      </c>
      <c r="C913">
        <v>1203.4000000000001</v>
      </c>
      <c r="E913" s="13">
        <f t="shared" si="286"/>
        <v>1203.4000000000001</v>
      </c>
      <c r="F913" s="13">
        <v>1203.4000000000001</v>
      </c>
      <c r="G913" s="13">
        <f t="shared" si="284"/>
        <v>0</v>
      </c>
      <c r="H913" s="14">
        <v>1989</v>
      </c>
      <c r="I913" s="15">
        <v>335.73</v>
      </c>
      <c r="J913" s="13">
        <v>335.73</v>
      </c>
      <c r="K913" s="13">
        <v>0</v>
      </c>
      <c r="L913" s="13">
        <v>1756</v>
      </c>
      <c r="Q913" s="5">
        <f>SUMIFS(Coin!E:E,Coin!C:C,B913,Coin!D:D,A913)</f>
        <v>0</v>
      </c>
    </row>
    <row r="914" spans="1:22" x14ac:dyDescent="0.25">
      <c r="A914" s="1">
        <f t="shared" si="285"/>
        <v>42957</v>
      </c>
      <c r="B914">
        <v>44</v>
      </c>
      <c r="C914">
        <v>312.7</v>
      </c>
      <c r="E914" s="13">
        <f t="shared" si="286"/>
        <v>303</v>
      </c>
      <c r="F914" s="13">
        <v>303</v>
      </c>
      <c r="G914" s="13">
        <f t="shared" si="284"/>
        <v>0</v>
      </c>
      <c r="H914" s="14">
        <v>1990</v>
      </c>
      <c r="I914" s="15">
        <v>443.85</v>
      </c>
      <c r="J914" s="13">
        <v>443.85</v>
      </c>
      <c r="K914" s="13">
        <v>0</v>
      </c>
      <c r="L914" s="13">
        <v>1758</v>
      </c>
      <c r="Q914" s="5">
        <f>SUMIFS(Coin!E:E,Coin!C:C,B914,Coin!D:D,A914)</f>
        <v>0</v>
      </c>
      <c r="U914" s="21">
        <v>-9.6999999999999993</v>
      </c>
    </row>
    <row r="915" spans="1:22" x14ac:dyDescent="0.25">
      <c r="A915" s="1">
        <f t="shared" si="285"/>
        <v>42957</v>
      </c>
      <c r="B915">
        <v>103</v>
      </c>
      <c r="C915">
        <v>2077.6999999999998</v>
      </c>
      <c r="E915">
        <f t="shared" si="286"/>
        <v>2077.6999999999998</v>
      </c>
      <c r="I915" s="15">
        <v>863.45</v>
      </c>
      <c r="J915" s="13">
        <v>863.45</v>
      </c>
      <c r="K915" s="13">
        <v>0</v>
      </c>
      <c r="L915" s="13">
        <v>1755</v>
      </c>
      <c r="Q915" s="5">
        <f>SUMIFS(Coin!E:E,Coin!C:C,B915,Coin!D:D,A915)</f>
        <v>0</v>
      </c>
    </row>
    <row r="916" spans="1:22" x14ac:dyDescent="0.25">
      <c r="A916" s="1">
        <f t="shared" si="285"/>
        <v>42957</v>
      </c>
      <c r="B916">
        <v>201</v>
      </c>
      <c r="C916">
        <v>695.9</v>
      </c>
      <c r="E916" s="13">
        <f t="shared" si="286"/>
        <v>695.9</v>
      </c>
      <c r="F916" s="13">
        <v>695.9</v>
      </c>
      <c r="G916" s="13">
        <f>E916-F916</f>
        <v>0</v>
      </c>
      <c r="H916" s="14">
        <v>1991</v>
      </c>
      <c r="I916" s="15">
        <v>419.96</v>
      </c>
      <c r="J916" s="13">
        <v>419.96</v>
      </c>
      <c r="K916" s="13">
        <v>0</v>
      </c>
      <c r="L916" s="13">
        <v>1760</v>
      </c>
      <c r="Q916" s="5">
        <f>SUMIFS(Coin!E:E,Coin!C:C,B916,Coin!D:D,A916)</f>
        <v>0</v>
      </c>
    </row>
    <row r="917" spans="1:22" x14ac:dyDescent="0.25">
      <c r="A917" s="1">
        <f t="shared" ref="A917:A923" si="287">DATE(2017,8,11)</f>
        <v>42958</v>
      </c>
      <c r="B917">
        <v>35</v>
      </c>
      <c r="C917">
        <v>640.70000000000005</v>
      </c>
      <c r="E917" s="13">
        <f t="shared" ref="E917:E937" si="288">C917+D917-Q917+U917</f>
        <v>640.70000000000005</v>
      </c>
      <c r="F917" s="13">
        <v>640.70000000000005</v>
      </c>
      <c r="G917" s="13">
        <f>E917-F917</f>
        <v>0</v>
      </c>
      <c r="H917" s="14"/>
      <c r="I917" s="15">
        <f>562.9+10</f>
        <v>572.9</v>
      </c>
      <c r="J917" s="13">
        <v>572.9</v>
      </c>
      <c r="K917" s="13">
        <v>0</v>
      </c>
      <c r="L917" s="13">
        <v>1772</v>
      </c>
      <c r="Q917" s="5">
        <f>SUMIFS(Coin!E:E,Coin!C:C,B917,Coin!D:D,A917)</f>
        <v>0</v>
      </c>
      <c r="V917" s="21">
        <v>10</v>
      </c>
    </row>
    <row r="918" spans="1:22" x14ac:dyDescent="0.25">
      <c r="A918" s="1">
        <f t="shared" si="287"/>
        <v>42958</v>
      </c>
      <c r="B918">
        <v>37</v>
      </c>
      <c r="C918">
        <v>431.8</v>
      </c>
      <c r="E918" s="13">
        <f t="shared" si="288"/>
        <v>435.90000000000003</v>
      </c>
      <c r="F918" s="13">
        <v>435.9</v>
      </c>
      <c r="G918" s="13">
        <f>E918-F918</f>
        <v>0</v>
      </c>
      <c r="H918" s="14">
        <v>2000</v>
      </c>
      <c r="I918" s="15">
        <v>490.9</v>
      </c>
      <c r="J918" s="13">
        <v>490.9</v>
      </c>
      <c r="K918" s="13">
        <v>0</v>
      </c>
      <c r="L918" s="13">
        <v>1781</v>
      </c>
      <c r="Q918" s="5">
        <f>SUMIFS(Coin!E:E,Coin!C:C,B918,Coin!D:D,A918)</f>
        <v>0</v>
      </c>
      <c r="U918" s="21">
        <v>4.0999999999999996</v>
      </c>
    </row>
    <row r="919" spans="1:22" x14ac:dyDescent="0.25">
      <c r="A919" s="1">
        <f t="shared" si="287"/>
        <v>42958</v>
      </c>
      <c r="B919">
        <v>41</v>
      </c>
      <c r="C919">
        <v>486.55</v>
      </c>
      <c r="E919" s="13">
        <f t="shared" si="288"/>
        <v>486.55</v>
      </c>
      <c r="F919" s="13">
        <v>486.55</v>
      </c>
      <c r="G919" s="13">
        <f>E919-F919</f>
        <v>0</v>
      </c>
      <c r="H919" s="14"/>
      <c r="I919" s="15">
        <v>434.65</v>
      </c>
      <c r="J919" s="13">
        <v>434.65</v>
      </c>
      <c r="K919" s="13">
        <v>0</v>
      </c>
      <c r="L919" s="13">
        <v>1774</v>
      </c>
      <c r="Q919" s="5">
        <f>SUMIFS(Coin!E:E,Coin!C:C,B919,Coin!D:D,A919)</f>
        <v>0</v>
      </c>
    </row>
    <row r="920" spans="1:22" x14ac:dyDescent="0.25">
      <c r="A920" s="1">
        <f t="shared" si="287"/>
        <v>42958</v>
      </c>
      <c r="B920">
        <v>43</v>
      </c>
      <c r="C920">
        <v>876.7</v>
      </c>
      <c r="E920" s="13">
        <f t="shared" si="288"/>
        <v>876.7</v>
      </c>
      <c r="F920" s="13">
        <v>876.7</v>
      </c>
      <c r="G920" s="13">
        <f>E920-F920</f>
        <v>0</v>
      </c>
      <c r="H920" s="14"/>
      <c r="I920" s="15">
        <v>547.70000000000005</v>
      </c>
      <c r="J920" s="13">
        <v>547.70000000000005</v>
      </c>
      <c r="K920" s="13">
        <v>0</v>
      </c>
      <c r="L920" s="13">
        <v>1775</v>
      </c>
      <c r="Q920" s="5">
        <f>SUMIFS(Coin!E:E,Coin!C:C,B920,Coin!D:D,A920)</f>
        <v>0</v>
      </c>
    </row>
    <row r="921" spans="1:22" x14ac:dyDescent="0.25">
      <c r="A921" s="1">
        <f t="shared" si="287"/>
        <v>42958</v>
      </c>
      <c r="B921">
        <v>44</v>
      </c>
      <c r="C921">
        <v>634.75</v>
      </c>
      <c r="E921" s="13">
        <f t="shared" si="288"/>
        <v>636.75</v>
      </c>
      <c r="F921" s="13">
        <v>636.75</v>
      </c>
      <c r="G921" s="13">
        <f>E921-F921</f>
        <v>0</v>
      </c>
      <c r="H921" s="14">
        <v>2006</v>
      </c>
      <c r="I921" s="15">
        <v>534.92999999999995</v>
      </c>
      <c r="J921" s="13">
        <v>534.92999999999995</v>
      </c>
      <c r="K921" s="13">
        <v>0</v>
      </c>
      <c r="L921" s="13">
        <v>1771</v>
      </c>
      <c r="Q921" s="5">
        <f>SUMIFS(Coin!E:E,Coin!C:C,B921,Coin!D:D,A921)</f>
        <v>0</v>
      </c>
      <c r="U921" s="21">
        <v>2</v>
      </c>
    </row>
    <row r="922" spans="1:22" x14ac:dyDescent="0.25">
      <c r="A922" s="1">
        <f t="shared" si="287"/>
        <v>42958</v>
      </c>
      <c r="B922">
        <v>103</v>
      </c>
      <c r="C922">
        <v>547.9</v>
      </c>
      <c r="E922" s="13">
        <f t="shared" si="288"/>
        <v>547.9</v>
      </c>
      <c r="F922" s="13">
        <v>547.9</v>
      </c>
      <c r="G922" s="13">
        <f>E922-F922</f>
        <v>0</v>
      </c>
      <c r="H922" s="14">
        <v>1994</v>
      </c>
      <c r="I922" s="15">
        <v>589.9</v>
      </c>
      <c r="J922" s="13">
        <v>589.9</v>
      </c>
      <c r="K922" s="13">
        <v>0</v>
      </c>
      <c r="L922" s="13">
        <v>1773</v>
      </c>
      <c r="Q922" s="5">
        <f>SUMIFS(Coin!E:E,Coin!C:C,B922,Coin!D:D,A922)</f>
        <v>0</v>
      </c>
    </row>
    <row r="923" spans="1:22" x14ac:dyDescent="0.25">
      <c r="A923" s="1">
        <f t="shared" si="287"/>
        <v>42958</v>
      </c>
      <c r="B923">
        <v>201</v>
      </c>
      <c r="C923">
        <v>479.9</v>
      </c>
      <c r="E923" s="13">
        <f t="shared" si="288"/>
        <v>479.9</v>
      </c>
      <c r="F923" s="13">
        <v>479.9</v>
      </c>
      <c r="G923" s="13">
        <f>E923-F923</f>
        <v>0</v>
      </c>
      <c r="H923" s="14">
        <v>2009</v>
      </c>
      <c r="I923" s="15">
        <v>389.96</v>
      </c>
      <c r="J923" s="13">
        <v>389.96</v>
      </c>
      <c r="K923" s="13">
        <v>0</v>
      </c>
      <c r="L923" s="13">
        <v>1780</v>
      </c>
      <c r="Q923" s="5">
        <f>SUMIFS(Coin!E:E,Coin!C:C,B923,Coin!D:D,A923)</f>
        <v>0</v>
      </c>
    </row>
    <row r="924" spans="1:22" x14ac:dyDescent="0.25">
      <c r="A924" s="1">
        <f t="shared" ref="A924:A930" si="289">DATE(2017,8,12)</f>
        <v>42959</v>
      </c>
      <c r="B924">
        <v>35</v>
      </c>
      <c r="C924">
        <v>1013.7</v>
      </c>
      <c r="E924" s="13">
        <f t="shared" si="288"/>
        <v>1013.7</v>
      </c>
      <c r="F924" s="13">
        <v>1013.7</v>
      </c>
      <c r="G924" s="13">
        <f>E924-F924</f>
        <v>0</v>
      </c>
      <c r="H924" s="14">
        <v>1997</v>
      </c>
      <c r="I924" s="15">
        <v>851.35</v>
      </c>
      <c r="J924" s="13">
        <v>851.35</v>
      </c>
      <c r="K924" s="13">
        <v>0</v>
      </c>
      <c r="L924" s="13">
        <v>1766</v>
      </c>
      <c r="Q924" s="5">
        <f>SUMIFS(Coin!E:E,Coin!C:C,B924,Coin!D:D,A924)</f>
        <v>0</v>
      </c>
    </row>
    <row r="925" spans="1:22" x14ac:dyDescent="0.25">
      <c r="A925" s="1">
        <f t="shared" si="289"/>
        <v>42959</v>
      </c>
      <c r="B925">
        <v>37</v>
      </c>
      <c r="C925">
        <v>385.9</v>
      </c>
      <c r="E925" s="13">
        <f t="shared" si="288"/>
        <v>385.9</v>
      </c>
      <c r="F925" s="13">
        <v>385.9</v>
      </c>
      <c r="G925" s="13">
        <f>E925-F925</f>
        <v>0</v>
      </c>
      <c r="H925" s="14">
        <v>1999</v>
      </c>
      <c r="I925" s="15">
        <v>926.75</v>
      </c>
      <c r="J925" s="13">
        <v>926.75</v>
      </c>
      <c r="K925" s="13">
        <v>0</v>
      </c>
      <c r="L925" s="13">
        <v>1779</v>
      </c>
      <c r="Q925" s="5">
        <f>SUMIFS(Coin!E:E,Coin!C:C,B925,Coin!D:D,A925)</f>
        <v>0</v>
      </c>
    </row>
    <row r="926" spans="1:22" x14ac:dyDescent="0.25">
      <c r="A926" s="1">
        <f t="shared" si="289"/>
        <v>42959</v>
      </c>
      <c r="B926">
        <v>41</v>
      </c>
      <c r="C926">
        <v>439.5</v>
      </c>
      <c r="E926" s="13">
        <f t="shared" si="288"/>
        <v>439.5</v>
      </c>
      <c r="F926" s="13">
        <v>439.5</v>
      </c>
      <c r="G926" s="13">
        <f>E926-F926</f>
        <v>0</v>
      </c>
      <c r="H926" s="14">
        <v>2002</v>
      </c>
      <c r="I926" s="15">
        <v>603.79999999999995</v>
      </c>
      <c r="J926" s="13">
        <v>603.79999999999995</v>
      </c>
      <c r="K926" s="13">
        <v>0</v>
      </c>
      <c r="L926" s="13">
        <v>1767</v>
      </c>
      <c r="Q926" s="5">
        <f>SUMIFS(Coin!E:E,Coin!C:C,B926,Coin!D:D,A926)</f>
        <v>0</v>
      </c>
    </row>
    <row r="927" spans="1:22" x14ac:dyDescent="0.25">
      <c r="A927" s="1">
        <f t="shared" si="289"/>
        <v>42959</v>
      </c>
      <c r="B927">
        <v>43</v>
      </c>
      <c r="C927">
        <v>1311.7</v>
      </c>
      <c r="E927" s="13">
        <f t="shared" si="288"/>
        <v>1311.7</v>
      </c>
      <c r="F927" s="13">
        <v>1311.7</v>
      </c>
      <c r="G927" s="13">
        <f>E927-F927</f>
        <v>0</v>
      </c>
      <c r="H927" s="14">
        <v>2003</v>
      </c>
      <c r="I927" s="15">
        <v>267.95</v>
      </c>
      <c r="J927" s="13">
        <v>267.95</v>
      </c>
      <c r="K927" s="13">
        <v>0</v>
      </c>
      <c r="L927" s="13">
        <v>1770</v>
      </c>
      <c r="Q927" s="5">
        <f>SUMIFS(Coin!E:E,Coin!C:C,B927,Coin!D:D,A927)</f>
        <v>0</v>
      </c>
    </row>
    <row r="928" spans="1:22" x14ac:dyDescent="0.25">
      <c r="A928" s="1">
        <f t="shared" si="289"/>
        <v>42959</v>
      </c>
      <c r="B928">
        <v>44</v>
      </c>
      <c r="C928">
        <v>329.7</v>
      </c>
      <c r="E928" s="13">
        <f t="shared" si="288"/>
        <v>325</v>
      </c>
      <c r="F928" s="13">
        <v>325</v>
      </c>
      <c r="G928" s="13">
        <f>E928-F928</f>
        <v>0</v>
      </c>
      <c r="H928" s="14">
        <v>2007</v>
      </c>
      <c r="I928" s="15">
        <v>425.9</v>
      </c>
      <c r="J928" s="13">
        <v>425.9</v>
      </c>
      <c r="K928" s="13">
        <v>0</v>
      </c>
      <c r="L928" s="13">
        <v>1768</v>
      </c>
      <c r="Q928" s="5">
        <f>SUMIFS(Coin!E:E,Coin!C:C,B928,Coin!D:D,A928)</f>
        <v>0</v>
      </c>
      <c r="U928" s="21">
        <v>-4.7</v>
      </c>
    </row>
    <row r="929" spans="1:21" x14ac:dyDescent="0.25">
      <c r="A929" s="1">
        <f t="shared" si="289"/>
        <v>42959</v>
      </c>
      <c r="B929">
        <v>103</v>
      </c>
      <c r="C929">
        <v>758.7</v>
      </c>
      <c r="E929" s="13">
        <f t="shared" si="288"/>
        <v>758.7</v>
      </c>
      <c r="F929" s="13">
        <v>758.7</v>
      </c>
      <c r="G929" s="13">
        <f>E929-F929</f>
        <v>0</v>
      </c>
      <c r="H929" s="14">
        <v>2012</v>
      </c>
      <c r="I929" s="15">
        <v>636.20000000000005</v>
      </c>
      <c r="J929" s="13">
        <v>636.20000000000005</v>
      </c>
      <c r="K929" s="13">
        <v>0</v>
      </c>
      <c r="L929" s="13">
        <v>1769</v>
      </c>
      <c r="Q929" s="5">
        <f>SUMIFS(Coin!E:E,Coin!C:C,B929,Coin!D:D,A929)</f>
        <v>0</v>
      </c>
    </row>
    <row r="930" spans="1:21" x14ac:dyDescent="0.25">
      <c r="A930" s="1">
        <f t="shared" si="289"/>
        <v>42959</v>
      </c>
      <c r="B930">
        <v>201</v>
      </c>
      <c r="C930">
        <v>835.85</v>
      </c>
      <c r="E930" s="13">
        <f t="shared" si="288"/>
        <v>816.80000000000007</v>
      </c>
      <c r="F930" s="13">
        <v>816.8</v>
      </c>
      <c r="G930" s="13">
        <f>E930-F930</f>
        <v>0</v>
      </c>
      <c r="H930" s="14">
        <v>2008</v>
      </c>
      <c r="I930" s="15">
        <v>251.8</v>
      </c>
      <c r="J930" s="13">
        <v>251.8</v>
      </c>
      <c r="K930" s="13">
        <v>0</v>
      </c>
      <c r="L930" s="13">
        <v>1778</v>
      </c>
      <c r="Q930" s="5">
        <f>SUMIFS(Coin!E:E,Coin!C:C,B930,Coin!D:D,A930)</f>
        <v>0</v>
      </c>
      <c r="U930" s="21">
        <v>-19.05</v>
      </c>
    </row>
    <row r="931" spans="1:21" x14ac:dyDescent="0.25">
      <c r="A931" s="1">
        <f t="shared" ref="A931:A937" si="290">DATE(2017,8,13)</f>
        <v>42960</v>
      </c>
      <c r="B931">
        <v>35</v>
      </c>
      <c r="C931">
        <v>363.8</v>
      </c>
      <c r="E931" s="13">
        <f t="shared" si="288"/>
        <v>360</v>
      </c>
      <c r="F931" s="13">
        <v>360</v>
      </c>
      <c r="G931" s="13">
        <f>E931-F931</f>
        <v>0</v>
      </c>
      <c r="H931" s="14">
        <v>1986</v>
      </c>
      <c r="I931" s="15">
        <v>379.9</v>
      </c>
      <c r="J931" s="13">
        <v>379.9</v>
      </c>
      <c r="K931" s="13">
        <v>0</v>
      </c>
      <c r="L931" s="13">
        <v>1762</v>
      </c>
      <c r="M931" s="15">
        <v>80</v>
      </c>
      <c r="N931" s="13">
        <v>80</v>
      </c>
      <c r="O931" s="13">
        <v>0</v>
      </c>
      <c r="P931" s="13">
        <v>96</v>
      </c>
      <c r="Q931" s="15">
        <v>3.8</v>
      </c>
      <c r="R931" s="13">
        <v>3.8</v>
      </c>
      <c r="S931" s="13">
        <v>0</v>
      </c>
      <c r="T931" s="19">
        <v>1996</v>
      </c>
    </row>
    <row r="932" spans="1:21" x14ac:dyDescent="0.25">
      <c r="A932" s="1">
        <f t="shared" si="290"/>
        <v>42960</v>
      </c>
      <c r="B932">
        <v>37</v>
      </c>
      <c r="C932">
        <v>307.95</v>
      </c>
      <c r="E932" s="13">
        <f t="shared" si="288"/>
        <v>307.95</v>
      </c>
      <c r="F932" s="13">
        <v>307.95</v>
      </c>
      <c r="G932" s="13">
        <f>E932-F932</f>
        <v>0</v>
      </c>
      <c r="H932" s="14">
        <v>1998</v>
      </c>
      <c r="I932" s="15">
        <v>495.8</v>
      </c>
      <c r="J932" s="13">
        <v>495.8</v>
      </c>
      <c r="K932" s="13">
        <v>0</v>
      </c>
      <c r="L932" s="13">
        <v>1777</v>
      </c>
      <c r="Q932" s="5">
        <f>SUMIFS(Coin!E:E,Coin!C:C,B932,Coin!D:D,A932)</f>
        <v>0</v>
      </c>
    </row>
    <row r="933" spans="1:21" x14ac:dyDescent="0.25">
      <c r="A933" s="1">
        <f t="shared" si="290"/>
        <v>42960</v>
      </c>
      <c r="B933">
        <v>41</v>
      </c>
      <c r="C933">
        <v>401.75</v>
      </c>
      <c r="E933" s="13">
        <f t="shared" si="288"/>
        <v>401.75</v>
      </c>
      <c r="F933" s="13">
        <v>401.75</v>
      </c>
      <c r="G933" s="13">
        <f>E933-F933</f>
        <v>0</v>
      </c>
      <c r="H933" s="14">
        <v>2001</v>
      </c>
      <c r="I933" s="15">
        <v>80</v>
      </c>
      <c r="J933" s="13">
        <v>80</v>
      </c>
      <c r="K933" s="13">
        <v>0</v>
      </c>
      <c r="L933" s="13">
        <v>1763</v>
      </c>
      <c r="Q933" s="5">
        <f>SUMIFS(Coin!E:E,Coin!C:C,B933,Coin!D:D,A933)</f>
        <v>0</v>
      </c>
    </row>
    <row r="934" spans="1:21" x14ac:dyDescent="0.25">
      <c r="A934" s="1">
        <f t="shared" si="290"/>
        <v>42960</v>
      </c>
      <c r="B934">
        <v>43</v>
      </c>
      <c r="C934">
        <v>427.9</v>
      </c>
      <c r="E934" s="13">
        <f t="shared" si="288"/>
        <v>427.9</v>
      </c>
      <c r="F934" s="13">
        <v>427.9</v>
      </c>
      <c r="G934" s="13">
        <f>E934-F934</f>
        <v>0</v>
      </c>
      <c r="H934" s="14">
        <v>2004</v>
      </c>
      <c r="I934" s="15">
        <v>170</v>
      </c>
      <c r="J934" s="13">
        <v>170</v>
      </c>
      <c r="K934" s="13">
        <v>0</v>
      </c>
      <c r="L934" s="13">
        <v>1765</v>
      </c>
      <c r="Q934" s="5">
        <f>SUMIFS(Coin!E:E,Coin!C:C,B934,Coin!D:D,A934)</f>
        <v>0</v>
      </c>
    </row>
    <row r="935" spans="1:21" x14ac:dyDescent="0.25">
      <c r="A935" s="1">
        <f t="shared" si="290"/>
        <v>42960</v>
      </c>
      <c r="B935">
        <v>44</v>
      </c>
      <c r="C935">
        <v>333.85</v>
      </c>
      <c r="E935" s="13">
        <f t="shared" si="288"/>
        <v>335</v>
      </c>
      <c r="F935" s="13">
        <v>335</v>
      </c>
      <c r="G935" s="13">
        <f>E935-F935</f>
        <v>0</v>
      </c>
      <c r="H935" s="14">
        <v>2005</v>
      </c>
      <c r="I935" s="15">
        <v>617.95000000000005</v>
      </c>
      <c r="J935" s="13">
        <v>617.95000000000005</v>
      </c>
      <c r="K935" s="13">
        <v>0</v>
      </c>
      <c r="L935" s="13">
        <v>1764</v>
      </c>
      <c r="Q935" s="5">
        <f>SUMIFS(Coin!E:E,Coin!C:C,B935,Coin!D:D,A935)</f>
        <v>0</v>
      </c>
      <c r="U935" s="21">
        <v>1.1499999999999999</v>
      </c>
    </row>
    <row r="936" spans="1:21" x14ac:dyDescent="0.25">
      <c r="A936" s="1">
        <f t="shared" si="290"/>
        <v>42960</v>
      </c>
      <c r="B936">
        <v>103</v>
      </c>
      <c r="C936">
        <v>359.75</v>
      </c>
      <c r="E936" s="13">
        <f t="shared" si="288"/>
        <v>359.75</v>
      </c>
      <c r="F936" s="13">
        <v>359.75</v>
      </c>
      <c r="G936" s="13">
        <f>E936-F936</f>
        <v>0</v>
      </c>
      <c r="H936" s="14">
        <v>2011</v>
      </c>
      <c r="I936" s="15">
        <v>394.65</v>
      </c>
      <c r="J936" s="13">
        <v>394.65</v>
      </c>
      <c r="K936" s="13">
        <v>0</v>
      </c>
      <c r="L936" s="13">
        <v>1761</v>
      </c>
      <c r="Q936" s="5">
        <f>SUMIFS(Coin!E:E,Coin!C:C,B936,Coin!D:D,A936)</f>
        <v>0</v>
      </c>
    </row>
    <row r="937" spans="1:21" x14ac:dyDescent="0.25">
      <c r="A937" s="1">
        <f t="shared" si="290"/>
        <v>42960</v>
      </c>
      <c r="B937">
        <v>201</v>
      </c>
      <c r="C937">
        <v>299.75</v>
      </c>
      <c r="E937" s="13">
        <f t="shared" si="288"/>
        <v>298.75</v>
      </c>
      <c r="F937" s="13">
        <v>298.75</v>
      </c>
      <c r="G937" s="13">
        <f>E937-F937</f>
        <v>0</v>
      </c>
      <c r="H937" s="14">
        <v>2010</v>
      </c>
      <c r="I937" s="15">
        <v>190</v>
      </c>
      <c r="J937" s="13">
        <v>190</v>
      </c>
      <c r="K937" s="13">
        <v>0</v>
      </c>
      <c r="L937" s="13">
        <v>1776</v>
      </c>
      <c r="Q937" s="5">
        <f>SUMIFS(Coin!E:E,Coin!C:C,B937,Coin!D:D,A937)</f>
        <v>0</v>
      </c>
      <c r="U937" s="21">
        <v>-1</v>
      </c>
    </row>
    <row r="938" spans="1:21" x14ac:dyDescent="0.25">
      <c r="A938" s="1">
        <f>DATE(2017,8,14)</f>
        <v>42961</v>
      </c>
      <c r="B938">
        <v>35</v>
      </c>
      <c r="C938">
        <v>385</v>
      </c>
      <c r="E938" s="13">
        <f>C938+D938-Q938+U938</f>
        <v>370</v>
      </c>
      <c r="F938" s="13">
        <v>370</v>
      </c>
      <c r="G938" s="13">
        <f>E938-F938</f>
        <v>0</v>
      </c>
      <c r="H938" s="14">
        <v>1995</v>
      </c>
      <c r="I938" s="15">
        <v>579.75</v>
      </c>
      <c r="J938" s="13">
        <v>579.75</v>
      </c>
      <c r="K938" s="13">
        <v>0</v>
      </c>
      <c r="L938" s="13">
        <v>1782</v>
      </c>
      <c r="Q938" s="5">
        <v>15</v>
      </c>
    </row>
    <row r="939" spans="1:21" x14ac:dyDescent="0.25">
      <c r="A939" s="1">
        <f>DATE(2017,8,14)</f>
        <v>42961</v>
      </c>
      <c r="B939">
        <v>37</v>
      </c>
      <c r="C939">
        <v>307.95</v>
      </c>
      <c r="E939">
        <f>C939+D939-Q939+U939</f>
        <v>307.95</v>
      </c>
      <c r="I939" s="15">
        <v>565.85</v>
      </c>
      <c r="J939" s="13">
        <v>565.85</v>
      </c>
      <c r="K939" s="13">
        <v>0</v>
      </c>
      <c r="L939" s="13">
        <v>1788</v>
      </c>
      <c r="Q939" s="5">
        <f>SUMIFS(Coin!E:E,Coin!C:C,B939,Coin!D:D,A939)</f>
        <v>0</v>
      </c>
    </row>
    <row r="940" spans="1:21" x14ac:dyDescent="0.25">
      <c r="A940" s="1">
        <f>DATE(2017,8,14)</f>
        <v>42961</v>
      </c>
      <c r="B940">
        <v>41</v>
      </c>
      <c r="C940">
        <v>389.75</v>
      </c>
      <c r="E940">
        <f>C940+D940-Q940+U940</f>
        <v>389.75</v>
      </c>
      <c r="I940" s="15">
        <v>337.6</v>
      </c>
      <c r="J940" s="13">
        <v>337.6</v>
      </c>
      <c r="K940" s="13">
        <v>0</v>
      </c>
      <c r="L940" s="13">
        <v>1784</v>
      </c>
      <c r="Q940" s="5">
        <f>SUMIFS(Coin!E:E,Coin!C:C,B940,Coin!D:D,A940)</f>
        <v>0</v>
      </c>
    </row>
    <row r="941" spans="1:21" x14ac:dyDescent="0.25">
      <c r="A941" s="1">
        <f>DATE(2017,8,14)</f>
        <v>42961</v>
      </c>
      <c r="B941">
        <v>43</v>
      </c>
      <c r="C941">
        <v>597.70000000000005</v>
      </c>
      <c r="E941">
        <f>C941+D941-Q941+U941</f>
        <v>597.70000000000005</v>
      </c>
      <c r="I941" s="15">
        <v>215.9</v>
      </c>
      <c r="J941" s="13">
        <v>215.9</v>
      </c>
      <c r="K941" s="13">
        <v>0</v>
      </c>
      <c r="L941" s="13">
        <v>1783</v>
      </c>
      <c r="Q941" s="5">
        <f>SUMIFS(Coin!E:E,Coin!C:C,B941,Coin!D:D,A941)</f>
        <v>0</v>
      </c>
    </row>
    <row r="942" spans="1:21" x14ac:dyDescent="0.25">
      <c r="A942" s="1">
        <f>DATE(2017,8,14)</f>
        <v>42961</v>
      </c>
      <c r="B942">
        <v>44</v>
      </c>
      <c r="C942">
        <v>481.75</v>
      </c>
      <c r="E942">
        <f>C942+D942-Q942+U942</f>
        <v>481.75</v>
      </c>
      <c r="I942" s="15">
        <v>280</v>
      </c>
      <c r="J942" s="13">
        <v>280</v>
      </c>
      <c r="K942" s="13">
        <v>0</v>
      </c>
      <c r="L942" s="13">
        <v>1786</v>
      </c>
      <c r="Q942" s="5">
        <f>SUMIFS(Coin!E:E,Coin!C:C,B942,Coin!D:D,A942)</f>
        <v>0</v>
      </c>
    </row>
    <row r="943" spans="1:21" x14ac:dyDescent="0.25">
      <c r="A943" s="1">
        <f>DATE(2017,8,14)</f>
        <v>42961</v>
      </c>
      <c r="B943">
        <v>103</v>
      </c>
      <c r="C943">
        <v>823.75</v>
      </c>
      <c r="E943">
        <f>C943+D943-Q943+U943</f>
        <v>823.75</v>
      </c>
      <c r="I943" s="5">
        <v>525.85</v>
      </c>
      <c r="Q943" s="5">
        <f>SUMIFS(Coin!E:E,Coin!C:C,B943,Coin!D:D,A943)</f>
        <v>0</v>
      </c>
    </row>
    <row r="944" spans="1:21" x14ac:dyDescent="0.25">
      <c r="A944" s="1">
        <f>DATE(2017,8,14)</f>
        <v>42961</v>
      </c>
      <c r="B944">
        <v>201</v>
      </c>
      <c r="C944">
        <v>347.95</v>
      </c>
      <c r="E944">
        <f>C944+D944-Q944+U944</f>
        <v>347.95</v>
      </c>
      <c r="I944" s="15">
        <v>392.9</v>
      </c>
      <c r="J944" s="13">
        <v>392.9</v>
      </c>
      <c r="K944" s="13">
        <v>0</v>
      </c>
      <c r="L944" s="13">
        <v>1787</v>
      </c>
      <c r="Q944" s="5">
        <f>SUMIFS(Coin!E:E,Coin!C:C,B944,Coin!D:D,A944)</f>
        <v>0</v>
      </c>
    </row>
  </sheetData>
  <autoFilter ref="A1:V944">
    <filterColumn colId="0">
      <filters>
        <dateGroupItem year="2017" month="6" dateTimeGrouping="month"/>
        <dateGroupItem year="2017" month="7" dateTimeGrouping="month"/>
        <dateGroupItem year="2017" month="8" dateTimeGrouping="month"/>
      </filters>
    </filterColumn>
  </autoFilter>
  <conditionalFormatting sqref="Q1:Q1048576">
    <cfRule type="cellIs" dxfId="8" priority="4" operator="equal">
      <formula>0</formula>
    </cfRule>
  </conditionalFormatting>
  <conditionalFormatting sqref="H1:H1048576">
    <cfRule type="duplicateValues" dxfId="7" priority="2"/>
  </conditionalFormatting>
  <conditionalFormatting sqref="L1:L1048576">
    <cfRule type="duplicateValues" dxfId="6" priority="1"/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7" tint="0.39997558519241921"/>
  </sheetPr>
  <dimension ref="A1:L2013"/>
  <sheetViews>
    <sheetView topLeftCell="A1982" workbookViewId="0">
      <selection activeCell="D1991" sqref="D1991"/>
    </sheetView>
  </sheetViews>
  <sheetFormatPr defaultRowHeight="15" x14ac:dyDescent="0.25"/>
  <cols>
    <col min="1" max="1" width="16" style="1" customWidth="1"/>
    <col min="2" max="2" width="56.42578125" bestFit="1" customWidth="1"/>
    <col min="3" max="3" width="10" bestFit="1" customWidth="1"/>
    <col min="4" max="4" width="11.42578125" customWidth="1"/>
  </cols>
  <sheetData>
    <row r="1" spans="1:6" x14ac:dyDescent="0.25">
      <c r="A1" s="1" t="s">
        <v>32</v>
      </c>
      <c r="B1" t="s">
        <v>33</v>
      </c>
      <c r="C1" t="s">
        <v>16</v>
      </c>
      <c r="D1" t="s">
        <v>34</v>
      </c>
      <c r="E1" t="s">
        <v>45</v>
      </c>
      <c r="F1" t="s">
        <v>19</v>
      </c>
    </row>
    <row r="2" spans="1:6" x14ac:dyDescent="0.25">
      <c r="A2" s="16">
        <v>42739</v>
      </c>
      <c r="B2" s="13" t="s">
        <v>29</v>
      </c>
      <c r="C2" s="13">
        <v>35</v>
      </c>
      <c r="D2" s="13">
        <v>590</v>
      </c>
      <c r="E2" s="13" t="str">
        <f>IF(ISERROR(VLOOKUP(F2,Magic!H:H,1,0)),IF(ISERROR(VLOOKUP(F2,Magic!T:T,1,0)),"N","Y"),"Y")</f>
        <v>N</v>
      </c>
      <c r="F2" s="13">
        <v>1</v>
      </c>
    </row>
    <row r="3" spans="1:6" x14ac:dyDescent="0.25">
      <c r="A3" s="16">
        <v>42739</v>
      </c>
      <c r="B3" s="13" t="s">
        <v>57</v>
      </c>
      <c r="C3" s="13">
        <v>35</v>
      </c>
      <c r="D3" s="13">
        <v>1.45</v>
      </c>
      <c r="E3" s="13" t="str">
        <f>IF(ISERROR(VLOOKUP(F3,Magic!H:H,1,0)),IF(ISERROR(VLOOKUP(F3,Magic!T:T,1,0)),"N","Y"),"Y")</f>
        <v>N</v>
      </c>
      <c r="F3" s="13">
        <v>2</v>
      </c>
    </row>
    <row r="4" spans="1:6" x14ac:dyDescent="0.25">
      <c r="A4" s="1">
        <v>42739</v>
      </c>
      <c r="B4" t="s">
        <v>31</v>
      </c>
      <c r="C4">
        <v>37</v>
      </c>
      <c r="D4">
        <v>689.2</v>
      </c>
      <c r="E4" s="13" t="str">
        <f>IF(ISERROR(VLOOKUP(F4,Magic!H:H,1,0)),IF(ISERROR(VLOOKUP(F4,Magic!T:T,1,0)),"N","Y"),"Y")</f>
        <v>N</v>
      </c>
      <c r="F4">
        <v>3</v>
      </c>
    </row>
    <row r="5" spans="1:6" x14ac:dyDescent="0.25">
      <c r="A5" s="1">
        <v>42739</v>
      </c>
      <c r="B5" t="s">
        <v>26</v>
      </c>
      <c r="C5">
        <v>38</v>
      </c>
      <c r="D5">
        <v>1292.8</v>
      </c>
      <c r="E5" s="13" t="str">
        <f>IF(ISERROR(VLOOKUP(F5,Magic!H:H,1,0)),IF(ISERROR(VLOOKUP(F5,Magic!T:T,1,0)),"N","Y"),"Y")</f>
        <v>N</v>
      </c>
      <c r="F5">
        <v>4</v>
      </c>
    </row>
    <row r="6" spans="1:6" x14ac:dyDescent="0.25">
      <c r="A6" s="1">
        <v>42739</v>
      </c>
      <c r="B6" t="s">
        <v>56</v>
      </c>
      <c r="C6">
        <v>41</v>
      </c>
      <c r="D6">
        <v>499.95</v>
      </c>
      <c r="E6" s="13" t="str">
        <f>IF(ISERROR(VLOOKUP(F6,Magic!H:H,1,0)),IF(ISERROR(VLOOKUP(F6,Magic!T:T,1,0)),"N","Y"),"Y")</f>
        <v>N</v>
      </c>
      <c r="F6">
        <v>5</v>
      </c>
    </row>
    <row r="7" spans="1:6" x14ac:dyDescent="0.25">
      <c r="A7" s="1">
        <v>42739</v>
      </c>
      <c r="B7" t="s">
        <v>24</v>
      </c>
      <c r="C7">
        <v>43</v>
      </c>
      <c r="D7">
        <v>826.15</v>
      </c>
      <c r="E7" s="13" t="str">
        <f>IF(ISERROR(VLOOKUP(F7,Magic!H:H,1,0)),IF(ISERROR(VLOOKUP(F7,Magic!T:T,1,0)),"N","Y"),"Y")</f>
        <v>N</v>
      </c>
      <c r="F7">
        <v>6</v>
      </c>
    </row>
    <row r="8" spans="1:6" x14ac:dyDescent="0.25">
      <c r="A8" s="1">
        <v>42739</v>
      </c>
      <c r="B8" t="s">
        <v>25</v>
      </c>
      <c r="C8">
        <v>44</v>
      </c>
      <c r="D8">
        <v>509.25</v>
      </c>
      <c r="E8" s="13" t="str">
        <f>IF(ISERROR(VLOOKUP(F8,Magic!H:H,1,0)),IF(ISERROR(VLOOKUP(F8,Magic!T:T,1,0)),"N","Y"),"Y")</f>
        <v>N</v>
      </c>
      <c r="F8">
        <v>7</v>
      </c>
    </row>
    <row r="9" spans="1:6" x14ac:dyDescent="0.25">
      <c r="A9" s="16">
        <v>42739</v>
      </c>
      <c r="B9" s="13" t="s">
        <v>30</v>
      </c>
      <c r="C9" s="13">
        <v>45</v>
      </c>
      <c r="D9" s="13">
        <v>800</v>
      </c>
      <c r="E9" s="13" t="str">
        <f>IF(ISERROR(VLOOKUP(F9,Magic!H:H,1,0)),IF(ISERROR(VLOOKUP(F9,Magic!T:T,1,0)),"N","Y"),"Y")</f>
        <v>N</v>
      </c>
      <c r="F9" s="13">
        <v>8</v>
      </c>
    </row>
    <row r="10" spans="1:6" x14ac:dyDescent="0.25">
      <c r="A10" s="1">
        <v>42739</v>
      </c>
      <c r="B10" t="s">
        <v>27</v>
      </c>
      <c r="C10">
        <v>101</v>
      </c>
      <c r="D10">
        <v>736.45</v>
      </c>
      <c r="E10" s="13" t="str">
        <f>IF(ISERROR(VLOOKUP(F10,Magic!H:H,1,0)),IF(ISERROR(VLOOKUP(F10,Magic!T:T,1,0)),"N","Y"),"Y")</f>
        <v>N</v>
      </c>
      <c r="F10">
        <v>9</v>
      </c>
    </row>
    <row r="11" spans="1:6" x14ac:dyDescent="0.25">
      <c r="A11" s="1">
        <v>42739</v>
      </c>
      <c r="B11" t="s">
        <v>28</v>
      </c>
      <c r="C11">
        <v>103</v>
      </c>
      <c r="D11">
        <v>1157</v>
      </c>
      <c r="E11" s="13" t="str">
        <f>IF(ISERROR(VLOOKUP(F11,Magic!H:H,1,0)),IF(ISERROR(VLOOKUP(F11,Magic!T:T,1,0)),"N","Y"),"Y")</f>
        <v>N</v>
      </c>
      <c r="F11">
        <v>10</v>
      </c>
    </row>
    <row r="12" spans="1:6" x14ac:dyDescent="0.25">
      <c r="A12" s="1">
        <v>42739</v>
      </c>
      <c r="B12" t="s">
        <v>55</v>
      </c>
      <c r="C12">
        <v>104</v>
      </c>
      <c r="D12">
        <v>860</v>
      </c>
      <c r="E12" s="13" t="str">
        <f>IF(ISERROR(VLOOKUP(F12,Magic!H:H,1,0)),IF(ISERROR(VLOOKUP(F12,Magic!T:T,1,0)),"N","Y"),"Y")</f>
        <v>N</v>
      </c>
      <c r="F12">
        <v>11</v>
      </c>
    </row>
    <row r="13" spans="1:6" x14ac:dyDescent="0.25">
      <c r="A13" s="16">
        <v>42739</v>
      </c>
      <c r="B13" s="13" t="s">
        <v>55</v>
      </c>
      <c r="C13" s="13">
        <v>104</v>
      </c>
      <c r="D13" s="13">
        <v>710</v>
      </c>
      <c r="E13" s="13" t="str">
        <f>IF(ISERROR(VLOOKUP(F13,Magic!H:H,1,0)),IF(ISERROR(VLOOKUP(F13,Magic!T:T,1,0)),"N","Y"),"Y")</f>
        <v>N</v>
      </c>
      <c r="F13" s="13">
        <v>12</v>
      </c>
    </row>
    <row r="14" spans="1:6" x14ac:dyDescent="0.25">
      <c r="A14" s="1">
        <v>42739</v>
      </c>
      <c r="B14" t="s">
        <v>35</v>
      </c>
      <c r="C14">
        <v>104</v>
      </c>
      <c r="D14">
        <v>664.35</v>
      </c>
      <c r="E14" s="13" t="str">
        <f>IF(ISERROR(VLOOKUP(F14,Magic!H:H,1,0)),IF(ISERROR(VLOOKUP(F14,Magic!T:T,1,0)),"N","Y"),"Y")</f>
        <v>N</v>
      </c>
      <c r="F14">
        <v>13</v>
      </c>
    </row>
    <row r="15" spans="1:6" x14ac:dyDescent="0.25">
      <c r="A15" s="1">
        <v>42739</v>
      </c>
      <c r="B15" t="s">
        <v>35</v>
      </c>
      <c r="C15">
        <v>104</v>
      </c>
      <c r="D15">
        <v>863.3</v>
      </c>
      <c r="E15" s="13" t="str">
        <f>IF(ISERROR(VLOOKUP(F15,Magic!H:H,1,0)),IF(ISERROR(VLOOKUP(F15,Magic!T:T,1,0)),"N","Y"),"Y")</f>
        <v>N</v>
      </c>
      <c r="F15">
        <v>14</v>
      </c>
    </row>
    <row r="16" spans="1:6" x14ac:dyDescent="0.25">
      <c r="A16" s="1">
        <v>42739</v>
      </c>
      <c r="B16" t="s">
        <v>60</v>
      </c>
      <c r="C16">
        <v>201</v>
      </c>
      <c r="D16">
        <v>573.6</v>
      </c>
      <c r="E16" s="13" t="str">
        <f>IF(ISERROR(VLOOKUP(F16,Magic!H:H,1,0)),IF(ISERROR(VLOOKUP(F16,Magic!T:T,1,0)),"N","Y"),"Y")</f>
        <v>N</v>
      </c>
      <c r="F16">
        <v>15</v>
      </c>
    </row>
    <row r="17" spans="1:6" x14ac:dyDescent="0.25">
      <c r="A17" s="16">
        <v>42740</v>
      </c>
      <c r="B17" s="13" t="s">
        <v>26</v>
      </c>
      <c r="C17" s="13">
        <v>38</v>
      </c>
      <c r="D17" s="13">
        <v>2020</v>
      </c>
      <c r="E17" s="13" t="str">
        <f>IF(ISERROR(VLOOKUP(F17,Magic!H:H,1,0)),IF(ISERROR(VLOOKUP(F17,Magic!T:T,1,0)),"N","Y"),"Y")</f>
        <v>N</v>
      </c>
      <c r="F17" s="13">
        <v>16</v>
      </c>
    </row>
    <row r="18" spans="1:6" x14ac:dyDescent="0.25">
      <c r="A18" s="16">
        <v>42740</v>
      </c>
      <c r="B18" s="13" t="s">
        <v>29</v>
      </c>
      <c r="C18" s="13">
        <v>35</v>
      </c>
      <c r="D18" s="13">
        <v>830</v>
      </c>
      <c r="E18" s="13" t="str">
        <f>IF(ISERROR(VLOOKUP(F18,Magic!H:H,1,0)),IF(ISERROR(VLOOKUP(F18,Magic!T:T,1,0)),"N","Y"),"Y")</f>
        <v>N</v>
      </c>
      <c r="F18" s="13">
        <v>17</v>
      </c>
    </row>
    <row r="19" spans="1:6" x14ac:dyDescent="0.25">
      <c r="A19" s="16">
        <v>42740</v>
      </c>
      <c r="B19" s="13" t="s">
        <v>82</v>
      </c>
      <c r="C19" s="13">
        <v>35</v>
      </c>
      <c r="D19" s="13">
        <v>4.4000000000000004</v>
      </c>
      <c r="E19" s="13" t="str">
        <f>IF(ISERROR(VLOOKUP(F19,Magic!H:H,1,0)),IF(ISERROR(VLOOKUP(F19,Magic!T:T,1,0)),"N","Y"),"Y")</f>
        <v>N</v>
      </c>
      <c r="F19" s="13">
        <v>18</v>
      </c>
    </row>
    <row r="20" spans="1:6" x14ac:dyDescent="0.25">
      <c r="A20" s="16">
        <v>42740</v>
      </c>
      <c r="B20" s="13" t="s">
        <v>31</v>
      </c>
      <c r="C20" s="13">
        <v>37</v>
      </c>
      <c r="D20" s="13">
        <v>943.1</v>
      </c>
      <c r="E20" s="13" t="str">
        <f>IF(ISERROR(VLOOKUP(F20,Magic!H:H,1,0)),IF(ISERROR(VLOOKUP(F20,Magic!T:T,1,0)),"N","Y"),"Y")</f>
        <v>N</v>
      </c>
      <c r="F20" s="13">
        <v>19</v>
      </c>
    </row>
    <row r="21" spans="1:6" x14ac:dyDescent="0.25">
      <c r="A21" s="16">
        <v>42740</v>
      </c>
      <c r="B21" s="13" t="s">
        <v>26</v>
      </c>
      <c r="C21" s="13">
        <v>38</v>
      </c>
      <c r="D21" s="13">
        <v>1734.8</v>
      </c>
      <c r="E21" s="13" t="str">
        <f>IF(ISERROR(VLOOKUP(F21,Magic!H:H,1,0)),IF(ISERROR(VLOOKUP(F21,Magic!T:T,1,0)),"N","Y"),"Y")</f>
        <v>N</v>
      </c>
      <c r="F21" s="13">
        <v>20</v>
      </c>
    </row>
    <row r="22" spans="1:6" x14ac:dyDescent="0.25">
      <c r="A22" s="16">
        <v>42740</v>
      </c>
      <c r="B22" s="13" t="s">
        <v>81</v>
      </c>
      <c r="C22" s="13">
        <v>41</v>
      </c>
      <c r="D22" s="13">
        <v>420.05</v>
      </c>
      <c r="E22" s="13" t="str">
        <f>IF(ISERROR(VLOOKUP(F22,Magic!H:H,1,0)),IF(ISERROR(VLOOKUP(F22,Magic!T:T,1,0)),"N","Y"),"Y")</f>
        <v>N</v>
      </c>
      <c r="F22" s="13">
        <v>21</v>
      </c>
    </row>
    <row r="23" spans="1:6" x14ac:dyDescent="0.25">
      <c r="A23" s="16">
        <v>42740</v>
      </c>
      <c r="B23" s="13" t="s">
        <v>24</v>
      </c>
      <c r="C23" s="13">
        <v>43</v>
      </c>
      <c r="D23" s="13">
        <v>1152.75</v>
      </c>
      <c r="E23" s="13" t="str">
        <f>IF(ISERROR(VLOOKUP(F23,Magic!H:H,1,0)),IF(ISERROR(VLOOKUP(F23,Magic!T:T,1,0)),"N","Y"),"Y")</f>
        <v>N</v>
      </c>
      <c r="F23" s="13">
        <v>22</v>
      </c>
    </row>
    <row r="24" spans="1:6" x14ac:dyDescent="0.25">
      <c r="A24" s="16">
        <v>42740</v>
      </c>
      <c r="B24" s="13" t="s">
        <v>25</v>
      </c>
      <c r="C24" s="13">
        <v>44</v>
      </c>
      <c r="D24" s="13">
        <v>797.35</v>
      </c>
      <c r="E24" s="13" t="str">
        <f>IF(ISERROR(VLOOKUP(F24,Magic!H:H,1,0)),IF(ISERROR(VLOOKUP(F24,Magic!T:T,1,0)),"N","Y"),"Y")</f>
        <v>N</v>
      </c>
      <c r="F24" s="13">
        <v>23</v>
      </c>
    </row>
    <row r="25" spans="1:6" x14ac:dyDescent="0.25">
      <c r="A25" s="16">
        <v>42740</v>
      </c>
      <c r="B25" s="13" t="s">
        <v>27</v>
      </c>
      <c r="C25" s="13">
        <v>101</v>
      </c>
      <c r="D25" s="13">
        <v>539.95000000000005</v>
      </c>
      <c r="E25" s="13" t="str">
        <f>IF(ISERROR(VLOOKUP(F25,Magic!H:H,1,0)),IF(ISERROR(VLOOKUP(F25,Magic!T:T,1,0)),"N","Y"),"Y")</f>
        <v>N</v>
      </c>
      <c r="F25" s="13">
        <v>24</v>
      </c>
    </row>
    <row r="26" spans="1:6" x14ac:dyDescent="0.25">
      <c r="A26" s="16">
        <v>42740</v>
      </c>
      <c r="B26" s="13" t="s">
        <v>28</v>
      </c>
      <c r="C26" s="13">
        <v>103</v>
      </c>
      <c r="D26" s="13">
        <v>816.4</v>
      </c>
      <c r="E26" s="13" t="str">
        <f>IF(ISERROR(VLOOKUP(F26,Magic!H:H,1,0)),IF(ISERROR(VLOOKUP(F26,Magic!T:T,1,0)),"N","Y"),"Y")</f>
        <v>N</v>
      </c>
      <c r="F26" s="13">
        <v>25</v>
      </c>
    </row>
    <row r="27" spans="1:6" x14ac:dyDescent="0.25">
      <c r="A27" s="16">
        <v>42743</v>
      </c>
      <c r="B27" s="13" t="s">
        <v>28</v>
      </c>
      <c r="C27" s="13">
        <v>103</v>
      </c>
      <c r="D27" s="13">
        <v>9.4</v>
      </c>
      <c r="E27" s="13" t="str">
        <f>IF(ISERROR(VLOOKUP(F27,Magic!H:H,1,0)),IF(ISERROR(VLOOKUP(F27,Magic!T:T,1,0)),"N","Y"),"Y")</f>
        <v>N</v>
      </c>
      <c r="F27" s="13">
        <v>26</v>
      </c>
    </row>
    <row r="28" spans="1:6" x14ac:dyDescent="0.25">
      <c r="A28" s="16">
        <v>42741</v>
      </c>
      <c r="B28" s="13" t="s">
        <v>29</v>
      </c>
      <c r="C28" s="13">
        <v>35</v>
      </c>
      <c r="D28" s="13">
        <v>600</v>
      </c>
      <c r="E28" s="13" t="str">
        <f>IF(ISERROR(VLOOKUP(F28,Magic!H:H,1,0)),IF(ISERROR(VLOOKUP(F28,Magic!T:T,1,0)),"N","Y"),"Y")</f>
        <v>N</v>
      </c>
      <c r="F28" s="13">
        <v>27</v>
      </c>
    </row>
    <row r="29" spans="1:6" x14ac:dyDescent="0.25">
      <c r="A29" s="16">
        <v>42741</v>
      </c>
      <c r="B29" s="13" t="s">
        <v>57</v>
      </c>
      <c r="C29" s="13">
        <v>35</v>
      </c>
      <c r="D29" s="13">
        <v>1.9</v>
      </c>
      <c r="E29" s="13" t="str">
        <f>IF(ISERROR(VLOOKUP(F29,Magic!H:H,1,0)),IF(ISERROR(VLOOKUP(F29,Magic!T:T,1,0)),"N","Y"),"Y")</f>
        <v>N</v>
      </c>
      <c r="F29" s="13">
        <v>28</v>
      </c>
    </row>
    <row r="30" spans="1:6" x14ac:dyDescent="0.25">
      <c r="A30" s="16">
        <v>42741</v>
      </c>
      <c r="B30" s="13" t="s">
        <v>31</v>
      </c>
      <c r="C30" s="13">
        <v>37</v>
      </c>
      <c r="D30" s="13">
        <v>1005.05</v>
      </c>
      <c r="E30" s="13" t="str">
        <f>IF(ISERROR(VLOOKUP(F30,Magic!H:H,1,0)),IF(ISERROR(VLOOKUP(F30,Magic!T:T,1,0)),"N","Y"),"Y")</f>
        <v>N</v>
      </c>
      <c r="F30" s="13">
        <v>29</v>
      </c>
    </row>
    <row r="31" spans="1:6" x14ac:dyDescent="0.25">
      <c r="A31" s="16">
        <v>42741</v>
      </c>
      <c r="B31" s="13" t="s">
        <v>26</v>
      </c>
      <c r="C31" s="13">
        <v>38</v>
      </c>
      <c r="D31" s="13">
        <v>11.95</v>
      </c>
      <c r="E31" s="13" t="str">
        <f>IF(ISERROR(VLOOKUP(F31,Magic!H:H,1,0)),IF(ISERROR(VLOOKUP(F31,Magic!T:T,1,0)),"N","Y"),"Y")</f>
        <v>N</v>
      </c>
      <c r="F31" s="13">
        <v>30</v>
      </c>
    </row>
    <row r="32" spans="1:6" x14ac:dyDescent="0.25">
      <c r="A32" s="16">
        <v>42741</v>
      </c>
      <c r="B32" s="13" t="s">
        <v>81</v>
      </c>
      <c r="C32" s="13">
        <v>41</v>
      </c>
      <c r="D32" s="13">
        <v>828.2</v>
      </c>
      <c r="E32" s="13" t="str">
        <f>IF(ISERROR(VLOOKUP(F32,Magic!H:H,1,0)),IF(ISERROR(VLOOKUP(F32,Magic!T:T,1,0)),"N","Y"),"Y")</f>
        <v>N</v>
      </c>
      <c r="F32" s="13">
        <v>31</v>
      </c>
    </row>
    <row r="33" spans="1:6" x14ac:dyDescent="0.25">
      <c r="A33" s="16">
        <v>42741</v>
      </c>
      <c r="B33" s="13" t="s">
        <v>24</v>
      </c>
      <c r="C33" s="13">
        <v>43</v>
      </c>
      <c r="D33" s="13">
        <v>613.4</v>
      </c>
      <c r="E33" s="13" t="str">
        <f>IF(ISERROR(VLOOKUP(F33,Magic!H:H,1,0)),IF(ISERROR(VLOOKUP(F33,Magic!T:T,1,0)),"N","Y"),"Y")</f>
        <v>N</v>
      </c>
      <c r="F33" s="13">
        <v>32</v>
      </c>
    </row>
    <row r="34" spans="1:6" x14ac:dyDescent="0.25">
      <c r="A34" s="16">
        <v>42741</v>
      </c>
      <c r="B34" s="13" t="s">
        <v>25</v>
      </c>
      <c r="C34" s="13">
        <v>44</v>
      </c>
      <c r="D34" s="13">
        <v>445.6</v>
      </c>
      <c r="E34" s="13" t="str">
        <f>IF(ISERROR(VLOOKUP(F34,Magic!H:H,1,0)),IF(ISERROR(VLOOKUP(F34,Magic!T:T,1,0)),"N","Y"),"Y")</f>
        <v>N</v>
      </c>
      <c r="F34" s="13">
        <v>33</v>
      </c>
    </row>
    <row r="35" spans="1:6" x14ac:dyDescent="0.25">
      <c r="A35" s="16">
        <v>42741</v>
      </c>
      <c r="B35" s="13" t="s">
        <v>123</v>
      </c>
      <c r="C35" s="13">
        <v>45</v>
      </c>
      <c r="D35" s="13">
        <v>565</v>
      </c>
      <c r="E35" s="13" t="str">
        <f>IF(ISERROR(VLOOKUP(F35,Magic!H:H,1,0)),IF(ISERROR(VLOOKUP(F35,Magic!T:T,1,0)),"N","Y"),"Y")</f>
        <v>N</v>
      </c>
      <c r="F35" s="13">
        <v>34</v>
      </c>
    </row>
    <row r="36" spans="1:6" x14ac:dyDescent="0.25">
      <c r="A36" s="16">
        <v>42741</v>
      </c>
      <c r="B36" s="13" t="s">
        <v>30</v>
      </c>
      <c r="C36" s="13">
        <v>45</v>
      </c>
      <c r="D36" s="13">
        <v>1097.2</v>
      </c>
      <c r="E36" s="13" t="str">
        <f>IF(ISERROR(VLOOKUP(F36,Magic!H:H,1,0)),IF(ISERROR(VLOOKUP(F36,Magic!T:T,1,0)),"N","Y"),"Y")</f>
        <v>N</v>
      </c>
      <c r="F36" s="13">
        <v>35</v>
      </c>
    </row>
    <row r="37" spans="1:6" x14ac:dyDescent="0.25">
      <c r="A37" s="16">
        <v>42741</v>
      </c>
      <c r="B37" s="13" t="s">
        <v>30</v>
      </c>
      <c r="C37" s="13">
        <v>45</v>
      </c>
      <c r="D37" s="13">
        <v>1.4</v>
      </c>
      <c r="E37" s="13" t="str">
        <f>IF(ISERROR(VLOOKUP(F37,Magic!H:H,1,0)),IF(ISERROR(VLOOKUP(F37,Magic!T:T,1,0)),"N","Y"),"Y")</f>
        <v>N</v>
      </c>
      <c r="F37" s="13">
        <v>36</v>
      </c>
    </row>
    <row r="38" spans="1:6" x14ac:dyDescent="0.25">
      <c r="A38" s="16">
        <v>42741</v>
      </c>
      <c r="B38" s="13" t="s">
        <v>27</v>
      </c>
      <c r="C38" s="13">
        <v>101</v>
      </c>
      <c r="D38" s="13">
        <v>716.4</v>
      </c>
      <c r="E38" s="13" t="str">
        <f>IF(ISERROR(VLOOKUP(F38,Magic!H:H,1,0)),IF(ISERROR(VLOOKUP(F38,Magic!T:T,1,0)),"N","Y"),"Y")</f>
        <v>N</v>
      </c>
      <c r="F38" s="13">
        <v>37</v>
      </c>
    </row>
    <row r="39" spans="1:6" x14ac:dyDescent="0.25">
      <c r="A39" s="16">
        <v>42741</v>
      </c>
      <c r="B39" s="13" t="s">
        <v>113</v>
      </c>
      <c r="C39" s="13">
        <v>103</v>
      </c>
      <c r="D39" s="13">
        <v>1485</v>
      </c>
      <c r="E39" s="13" t="str">
        <f>IF(ISERROR(VLOOKUP(F39,Magic!H:H,1,0)),IF(ISERROR(VLOOKUP(F39,Magic!T:T,1,0)),"N","Y"),"Y")</f>
        <v>N</v>
      </c>
      <c r="F39" s="13">
        <v>38</v>
      </c>
    </row>
    <row r="40" spans="1:6" x14ac:dyDescent="0.25">
      <c r="A40" s="16">
        <v>42741</v>
      </c>
      <c r="B40" s="13" t="s">
        <v>60</v>
      </c>
      <c r="C40" s="13">
        <v>201</v>
      </c>
      <c r="D40" s="13">
        <v>448</v>
      </c>
      <c r="E40" s="13" t="str">
        <f>IF(ISERROR(VLOOKUP(F40,Magic!H:H,1,0)),IF(ISERROR(VLOOKUP(F40,Magic!T:T,1,0)),"N","Y"),"Y")</f>
        <v>N</v>
      </c>
      <c r="F40" s="13">
        <v>39</v>
      </c>
    </row>
    <row r="41" spans="1:6" x14ac:dyDescent="0.25">
      <c r="A41" s="16">
        <v>42741</v>
      </c>
      <c r="B41" s="13" t="s">
        <v>60</v>
      </c>
      <c r="C41" s="13">
        <v>201</v>
      </c>
      <c r="D41" s="13">
        <v>702.6</v>
      </c>
      <c r="E41" s="13" t="str">
        <f>IF(ISERROR(VLOOKUP(F41,Magic!H:H,1,0)),IF(ISERROR(VLOOKUP(F41,Magic!T:T,1,0)),"N","Y"),"Y")</f>
        <v>N</v>
      </c>
      <c r="F41" s="13">
        <v>40</v>
      </c>
    </row>
    <row r="42" spans="1:6" x14ac:dyDescent="0.25">
      <c r="A42" s="16">
        <v>42741</v>
      </c>
      <c r="B42" s="13" t="s">
        <v>124</v>
      </c>
      <c r="C42" s="13">
        <v>103</v>
      </c>
      <c r="D42" s="13">
        <v>0.25</v>
      </c>
      <c r="E42" s="13" t="str">
        <f>IF(ISERROR(VLOOKUP(F42,Magic!H:H,1,0)),IF(ISERROR(VLOOKUP(F42,Magic!T:T,1,0)),"N","Y"),"Y")</f>
        <v>N</v>
      </c>
      <c r="F42" s="13">
        <v>41</v>
      </c>
    </row>
    <row r="43" spans="1:6" x14ac:dyDescent="0.25">
      <c r="A43" s="16">
        <v>42742</v>
      </c>
      <c r="B43" s="13" t="s">
        <v>29</v>
      </c>
      <c r="C43" s="13">
        <v>35</v>
      </c>
      <c r="D43" s="13">
        <v>695</v>
      </c>
      <c r="E43" s="13" t="str">
        <f>IF(ISERROR(VLOOKUP(F43,Magic!H:H,1,0)),IF(ISERROR(VLOOKUP(F43,Magic!T:T,1,0)),"N","Y"),"Y")</f>
        <v>N</v>
      </c>
      <c r="F43" s="13">
        <v>42</v>
      </c>
    </row>
    <row r="44" spans="1:6" x14ac:dyDescent="0.25">
      <c r="A44" s="16">
        <v>42742</v>
      </c>
      <c r="B44" s="13" t="s">
        <v>26</v>
      </c>
      <c r="C44" s="13">
        <v>38</v>
      </c>
      <c r="D44" s="13">
        <v>1032.45</v>
      </c>
      <c r="E44" s="13" t="str">
        <f>IF(ISERROR(VLOOKUP(F44,Magic!H:H,1,0)),IF(ISERROR(VLOOKUP(F44,Magic!T:T,1,0)),"N","Y"),"Y")</f>
        <v>N</v>
      </c>
      <c r="F44" s="13">
        <v>43</v>
      </c>
    </row>
    <row r="45" spans="1:6" x14ac:dyDescent="0.25">
      <c r="A45" s="16">
        <v>42742</v>
      </c>
      <c r="B45" s="13" t="s">
        <v>30</v>
      </c>
      <c r="C45" s="13">
        <v>45</v>
      </c>
      <c r="D45" s="13">
        <v>535</v>
      </c>
      <c r="E45" s="13" t="str">
        <f>IF(ISERROR(VLOOKUP(F45,Magic!H:H,1,0)),IF(ISERROR(VLOOKUP(F45,Magic!T:T,1,0)),"N","Y"),"Y")</f>
        <v>N</v>
      </c>
      <c r="F45" s="13">
        <v>44</v>
      </c>
    </row>
    <row r="46" spans="1:6" x14ac:dyDescent="0.25">
      <c r="A46" s="16">
        <v>42742</v>
      </c>
      <c r="B46" s="13" t="s">
        <v>113</v>
      </c>
      <c r="C46" s="13">
        <v>103</v>
      </c>
      <c r="D46" s="13">
        <v>1550</v>
      </c>
      <c r="E46" s="13" t="str">
        <f>IF(ISERROR(VLOOKUP(F46,Magic!H:H,1,0)),IF(ISERROR(VLOOKUP(F46,Magic!T:T,1,0)),"N","Y"),"Y")</f>
        <v>N</v>
      </c>
      <c r="F46" s="13">
        <v>45</v>
      </c>
    </row>
    <row r="47" spans="1:6" x14ac:dyDescent="0.25">
      <c r="A47" s="16">
        <v>42743</v>
      </c>
      <c r="B47" s="13" t="s">
        <v>28</v>
      </c>
      <c r="C47" s="13">
        <v>103</v>
      </c>
      <c r="D47" s="13">
        <v>1238.8</v>
      </c>
      <c r="E47" s="13" t="str">
        <f>IF(ISERROR(VLOOKUP(F47,Magic!H:H,1,0)),IF(ISERROR(VLOOKUP(F47,Magic!T:T,1,0)),"N","Y"),"Y")</f>
        <v>N</v>
      </c>
      <c r="F47" s="13">
        <v>46</v>
      </c>
    </row>
    <row r="48" spans="1:6" x14ac:dyDescent="0.25">
      <c r="A48" s="16">
        <v>42744</v>
      </c>
      <c r="B48" s="13" t="s">
        <v>29</v>
      </c>
      <c r="C48" s="13">
        <v>35</v>
      </c>
      <c r="D48" s="13">
        <v>445</v>
      </c>
      <c r="E48" s="13" t="str">
        <f>IF(ISERROR(VLOOKUP(F48,Magic!H:H,1,0)),IF(ISERROR(VLOOKUP(F48,Magic!T:T,1,0)),"N","Y"),"Y")</f>
        <v>N</v>
      </c>
      <c r="F48" s="13">
        <v>47</v>
      </c>
    </row>
    <row r="49" spans="1:6" x14ac:dyDescent="0.25">
      <c r="A49" s="16">
        <v>42744</v>
      </c>
      <c r="B49" s="13" t="s">
        <v>82</v>
      </c>
      <c r="C49" s="13">
        <v>35</v>
      </c>
      <c r="D49" s="13">
        <v>469.5</v>
      </c>
      <c r="E49" s="13" t="str">
        <f>IF(ISERROR(VLOOKUP(F49,Magic!H:H,1,0)),IF(ISERROR(VLOOKUP(F49,Magic!T:T,1,0)),"N","Y"),"Y")</f>
        <v>N</v>
      </c>
      <c r="F49" s="13">
        <v>48</v>
      </c>
    </row>
    <row r="50" spans="1:6" x14ac:dyDescent="0.25">
      <c r="A50" s="16">
        <v>42744</v>
      </c>
      <c r="B50" s="13" t="s">
        <v>82</v>
      </c>
      <c r="C50" s="13">
        <v>35</v>
      </c>
      <c r="D50" s="13">
        <v>4.6500000000000004</v>
      </c>
      <c r="E50" s="13" t="str">
        <f>IF(ISERROR(VLOOKUP(F50,Magic!H:H,1,0)),IF(ISERROR(VLOOKUP(F50,Magic!T:T,1,0)),"N","Y"),"Y")</f>
        <v>N</v>
      </c>
      <c r="F50" s="13">
        <v>49</v>
      </c>
    </row>
    <row r="51" spans="1:6" x14ac:dyDescent="0.25">
      <c r="A51" s="16">
        <v>42744</v>
      </c>
      <c r="B51" s="13" t="s">
        <v>82</v>
      </c>
      <c r="C51" s="13">
        <v>35</v>
      </c>
      <c r="D51" s="13">
        <v>1.85</v>
      </c>
      <c r="E51" s="13" t="str">
        <f>IF(ISERROR(VLOOKUP(F51,Magic!H:H,1,0)),IF(ISERROR(VLOOKUP(F51,Magic!T:T,1,0)),"N","Y"),"Y")</f>
        <v>N</v>
      </c>
      <c r="F51" s="13">
        <v>50</v>
      </c>
    </row>
    <row r="52" spans="1:6" x14ac:dyDescent="0.25">
      <c r="A52" s="16">
        <v>42744</v>
      </c>
      <c r="B52" s="13" t="s">
        <v>146</v>
      </c>
      <c r="C52" s="13">
        <v>37</v>
      </c>
      <c r="D52" s="13">
        <v>653</v>
      </c>
      <c r="E52" s="13" t="str">
        <f>IF(ISERROR(VLOOKUP(F52,Magic!H:H,1,0)),IF(ISERROR(VLOOKUP(F52,Magic!T:T,1,0)),"N","Y"),"Y")</f>
        <v>N</v>
      </c>
      <c r="F52" s="13">
        <v>51</v>
      </c>
    </row>
    <row r="53" spans="1:6" x14ac:dyDescent="0.25">
      <c r="A53" s="16">
        <v>42744</v>
      </c>
      <c r="B53" s="13" t="s">
        <v>146</v>
      </c>
      <c r="C53" s="13">
        <v>37</v>
      </c>
      <c r="D53" s="13">
        <v>670.05</v>
      </c>
      <c r="E53" s="13" t="str">
        <f>IF(ISERROR(VLOOKUP(F53,Magic!H:H,1,0)),IF(ISERROR(VLOOKUP(F53,Magic!T:T,1,0)),"N","Y"),"Y")</f>
        <v>N</v>
      </c>
      <c r="F53" s="13">
        <v>52</v>
      </c>
    </row>
    <row r="54" spans="1:6" x14ac:dyDescent="0.25">
      <c r="A54" s="16">
        <v>42744</v>
      </c>
      <c r="B54" s="13" t="s">
        <v>146</v>
      </c>
      <c r="C54" s="13">
        <v>37</v>
      </c>
      <c r="D54" s="13">
        <v>749</v>
      </c>
      <c r="E54" s="13" t="str">
        <f>IF(ISERROR(VLOOKUP(F54,Magic!H:H,1,0)),IF(ISERROR(VLOOKUP(F54,Magic!T:T,1,0)),"N","Y"),"Y")</f>
        <v>N</v>
      </c>
      <c r="F54" s="13">
        <v>53</v>
      </c>
    </row>
    <row r="55" spans="1:6" x14ac:dyDescent="0.25">
      <c r="A55" s="16">
        <v>42744</v>
      </c>
      <c r="B55" s="13" t="s">
        <v>142</v>
      </c>
      <c r="C55" s="13">
        <v>38</v>
      </c>
      <c r="D55" s="13">
        <v>725</v>
      </c>
      <c r="E55" s="13" t="str">
        <f>IF(ISERROR(VLOOKUP(F55,Magic!H:H,1,0)),IF(ISERROR(VLOOKUP(F55,Magic!T:T,1,0)),"N","Y"),"Y")</f>
        <v>N</v>
      </c>
      <c r="F55" s="13">
        <v>54</v>
      </c>
    </row>
    <row r="56" spans="1:6" x14ac:dyDescent="0.25">
      <c r="A56" s="16">
        <v>42744</v>
      </c>
      <c r="B56" s="13" t="s">
        <v>26</v>
      </c>
      <c r="C56" s="13">
        <v>38</v>
      </c>
      <c r="D56" s="13">
        <v>546.54999999999995</v>
      </c>
      <c r="E56" s="13" t="str">
        <f>IF(ISERROR(VLOOKUP(F56,Magic!H:H,1,0)),IF(ISERROR(VLOOKUP(F56,Magic!T:T,1,0)),"N","Y"),"Y")</f>
        <v>N</v>
      </c>
      <c r="F56" s="13">
        <v>55</v>
      </c>
    </row>
    <row r="57" spans="1:6" x14ac:dyDescent="0.25">
      <c r="A57" s="16">
        <v>42744</v>
      </c>
      <c r="B57" s="13" t="s">
        <v>26</v>
      </c>
      <c r="C57" s="13">
        <v>38</v>
      </c>
      <c r="D57" s="13">
        <v>1054.75</v>
      </c>
      <c r="E57" s="13" t="str">
        <f>IF(ISERROR(VLOOKUP(F57,Magic!H:H,1,0)),IF(ISERROR(VLOOKUP(F57,Magic!T:T,1,0)),"N","Y"),"Y")</f>
        <v>N</v>
      </c>
      <c r="F57" s="13">
        <v>56</v>
      </c>
    </row>
    <row r="58" spans="1:6" x14ac:dyDescent="0.25">
      <c r="A58" s="16">
        <v>42744</v>
      </c>
      <c r="B58" s="13" t="s">
        <v>81</v>
      </c>
      <c r="C58" s="13">
        <v>41</v>
      </c>
      <c r="D58" s="13">
        <v>599.5</v>
      </c>
      <c r="E58" s="13" t="str">
        <f>IF(ISERROR(VLOOKUP(F58,Magic!H:H,1,0)),IF(ISERROR(VLOOKUP(F58,Magic!T:T,1,0)),"N","Y"),"Y")</f>
        <v>N</v>
      </c>
      <c r="F58" s="13">
        <v>57</v>
      </c>
    </row>
    <row r="59" spans="1:6" x14ac:dyDescent="0.25">
      <c r="A59" s="16">
        <v>42744</v>
      </c>
      <c r="B59" s="13" t="s">
        <v>81</v>
      </c>
      <c r="C59" s="13">
        <v>41</v>
      </c>
      <c r="D59" s="13">
        <v>394.2</v>
      </c>
      <c r="E59" s="13" t="str">
        <f>IF(ISERROR(VLOOKUP(F59,Magic!H:H,1,0)),IF(ISERROR(VLOOKUP(F59,Magic!T:T,1,0)),"N","Y"),"Y")</f>
        <v>N</v>
      </c>
      <c r="F59" s="13">
        <v>58</v>
      </c>
    </row>
    <row r="60" spans="1:6" x14ac:dyDescent="0.25">
      <c r="A60" s="16">
        <v>42744</v>
      </c>
      <c r="B60" s="13" t="s">
        <v>81</v>
      </c>
      <c r="C60" s="13">
        <v>41</v>
      </c>
      <c r="D60" s="13">
        <v>513.9</v>
      </c>
      <c r="E60" s="13" t="str">
        <f>IF(ISERROR(VLOOKUP(F60,Magic!H:H,1,0)),IF(ISERROR(VLOOKUP(F60,Magic!T:T,1,0)),"N","Y"),"Y")</f>
        <v>N</v>
      </c>
      <c r="F60" s="13">
        <v>59</v>
      </c>
    </row>
    <row r="61" spans="1:6" x14ac:dyDescent="0.25">
      <c r="A61" s="16">
        <v>42744</v>
      </c>
      <c r="B61" s="13" t="s">
        <v>24</v>
      </c>
      <c r="C61" s="13">
        <v>43</v>
      </c>
      <c r="D61" s="13">
        <v>463.35</v>
      </c>
      <c r="E61" s="13" t="str">
        <f>IF(ISERROR(VLOOKUP(F61,Magic!H:H,1,0)),IF(ISERROR(VLOOKUP(F61,Magic!T:T,1,0)),"N","Y"),"Y")</f>
        <v>N</v>
      </c>
      <c r="F61" s="13">
        <v>60</v>
      </c>
    </row>
    <row r="62" spans="1:6" x14ac:dyDescent="0.25">
      <c r="A62" s="16">
        <v>42744</v>
      </c>
      <c r="B62" s="13" t="s">
        <v>24</v>
      </c>
      <c r="C62" s="13">
        <v>43</v>
      </c>
      <c r="D62" s="13">
        <v>1044.2</v>
      </c>
      <c r="E62" s="13" t="str">
        <f>IF(ISERROR(VLOOKUP(F62,Magic!H:H,1,0)),IF(ISERROR(VLOOKUP(F62,Magic!T:T,1,0)),"N","Y"),"Y")</f>
        <v>N</v>
      </c>
      <c r="F62" s="13">
        <v>61</v>
      </c>
    </row>
    <row r="63" spans="1:6" x14ac:dyDescent="0.25">
      <c r="A63" s="16">
        <v>42744</v>
      </c>
      <c r="B63" s="13" t="s">
        <v>24</v>
      </c>
      <c r="C63" s="13">
        <v>43</v>
      </c>
      <c r="D63" s="13">
        <v>1229.1500000000001</v>
      </c>
      <c r="E63" s="13" t="str">
        <f>IF(ISERROR(VLOOKUP(F63,Magic!H:H,1,0)),IF(ISERROR(VLOOKUP(F63,Magic!T:T,1,0)),"N","Y"),"Y")</f>
        <v>N</v>
      </c>
      <c r="F63" s="13">
        <v>62</v>
      </c>
    </row>
    <row r="64" spans="1:6" x14ac:dyDescent="0.25">
      <c r="A64" s="16">
        <v>42744</v>
      </c>
      <c r="B64" s="13" t="s">
        <v>25</v>
      </c>
      <c r="C64" s="13">
        <v>44</v>
      </c>
      <c r="D64" s="13">
        <v>235.35</v>
      </c>
      <c r="E64" s="13" t="str">
        <f>IF(ISERROR(VLOOKUP(F64,Magic!H:H,1,0)),IF(ISERROR(VLOOKUP(F64,Magic!T:T,1,0)),"N","Y"),"Y")</f>
        <v>N</v>
      </c>
      <c r="F64" s="13">
        <v>63</v>
      </c>
    </row>
    <row r="65" spans="1:6" x14ac:dyDescent="0.25">
      <c r="A65" s="16">
        <v>42744</v>
      </c>
      <c r="B65" s="13" t="s">
        <v>25</v>
      </c>
      <c r="C65" s="13">
        <v>44</v>
      </c>
      <c r="D65" s="13">
        <v>320.35000000000002</v>
      </c>
      <c r="E65" s="13" t="str">
        <f>IF(ISERROR(VLOOKUP(F65,Magic!H:H,1,0)),IF(ISERROR(VLOOKUP(F65,Magic!T:T,1,0)),"N","Y"),"Y")</f>
        <v>N</v>
      </c>
      <c r="F65" s="13">
        <v>64</v>
      </c>
    </row>
    <row r="66" spans="1:6" x14ac:dyDescent="0.25">
      <c r="A66" s="16">
        <v>42744</v>
      </c>
      <c r="B66" s="13" t="s">
        <v>25</v>
      </c>
      <c r="C66" s="13">
        <v>44</v>
      </c>
      <c r="D66" s="13">
        <v>389.55</v>
      </c>
      <c r="E66" s="13" t="str">
        <f>IF(ISERROR(VLOOKUP(F66,Magic!H:H,1,0)),IF(ISERROR(VLOOKUP(F66,Magic!T:T,1,0)),"N","Y"),"Y")</f>
        <v>N</v>
      </c>
      <c r="F66" s="13">
        <v>65</v>
      </c>
    </row>
    <row r="67" spans="1:6" x14ac:dyDescent="0.25">
      <c r="A67" s="16">
        <v>42744</v>
      </c>
      <c r="B67" s="13" t="s">
        <v>30</v>
      </c>
      <c r="C67" s="13">
        <v>45</v>
      </c>
      <c r="D67" s="13">
        <v>478.1</v>
      </c>
      <c r="E67" s="13" t="str">
        <f>IF(ISERROR(VLOOKUP(F67,Magic!H:H,1,0)),IF(ISERROR(VLOOKUP(F67,Magic!T:T,1,0)),"N","Y"),"Y")</f>
        <v>N</v>
      </c>
      <c r="F67" s="13">
        <v>66</v>
      </c>
    </row>
    <row r="68" spans="1:6" x14ac:dyDescent="0.25">
      <c r="A68" s="16">
        <v>42744</v>
      </c>
      <c r="B68" s="13" t="s">
        <v>30</v>
      </c>
      <c r="C68" s="13">
        <v>45</v>
      </c>
      <c r="D68" s="13">
        <v>4.1500000000000004</v>
      </c>
      <c r="E68" s="13" t="str">
        <f>IF(ISERROR(VLOOKUP(F68,Magic!H:H,1,0)),IF(ISERROR(VLOOKUP(F68,Magic!T:T,1,0)),"N","Y"),"Y")</f>
        <v>N</v>
      </c>
      <c r="F68" s="13">
        <v>67</v>
      </c>
    </row>
    <row r="69" spans="1:6" x14ac:dyDescent="0.25">
      <c r="A69" s="16">
        <v>42744</v>
      </c>
      <c r="B69" s="13" t="s">
        <v>30</v>
      </c>
      <c r="C69" s="13">
        <v>45</v>
      </c>
      <c r="D69" s="13">
        <v>2.2999999999999998</v>
      </c>
      <c r="E69" s="13" t="str">
        <f>IF(ISERROR(VLOOKUP(F69,Magic!H:H,1,0)),IF(ISERROR(VLOOKUP(F69,Magic!T:T,1,0)),"N","Y"),"Y")</f>
        <v>N</v>
      </c>
      <c r="F69" s="13">
        <v>68</v>
      </c>
    </row>
    <row r="70" spans="1:6" x14ac:dyDescent="0.25">
      <c r="A70" s="16">
        <v>42744</v>
      </c>
      <c r="B70" s="13" t="s">
        <v>30</v>
      </c>
      <c r="C70" s="13">
        <v>45</v>
      </c>
      <c r="D70" s="13">
        <v>155.69999999999999</v>
      </c>
      <c r="E70" s="13" t="str">
        <f>IF(ISERROR(VLOOKUP(F70,Magic!H:H,1,0)),IF(ISERROR(VLOOKUP(F70,Magic!T:T,1,0)),"N","Y"),"Y")</f>
        <v>N</v>
      </c>
      <c r="F70" s="13">
        <v>69</v>
      </c>
    </row>
    <row r="71" spans="1:6" x14ac:dyDescent="0.25">
      <c r="A71" s="16">
        <v>42744</v>
      </c>
      <c r="B71" s="13" t="s">
        <v>27</v>
      </c>
      <c r="C71" s="13">
        <v>101</v>
      </c>
      <c r="D71" s="13">
        <v>449.65</v>
      </c>
      <c r="E71" s="13" t="str">
        <f>IF(ISERROR(VLOOKUP(F71,Magic!H:H,1,0)),IF(ISERROR(VLOOKUP(F71,Magic!T:T,1,0)),"N","Y"),"Y")</f>
        <v>N</v>
      </c>
      <c r="F71" s="13">
        <v>70</v>
      </c>
    </row>
    <row r="72" spans="1:6" x14ac:dyDescent="0.25">
      <c r="A72" s="16">
        <v>42744</v>
      </c>
      <c r="B72" s="13" t="s">
        <v>27</v>
      </c>
      <c r="C72" s="13">
        <v>101</v>
      </c>
      <c r="D72" s="13">
        <v>410.4</v>
      </c>
      <c r="E72" s="13" t="str">
        <f>IF(ISERROR(VLOOKUP(F72,Magic!H:H,1,0)),IF(ISERROR(VLOOKUP(F72,Magic!T:T,1,0)),"N","Y"),"Y")</f>
        <v>N</v>
      </c>
      <c r="F72" s="13">
        <v>71</v>
      </c>
    </row>
    <row r="73" spans="1:6" x14ac:dyDescent="0.25">
      <c r="A73" s="16">
        <v>42744</v>
      </c>
      <c r="B73" s="13" t="s">
        <v>27</v>
      </c>
      <c r="C73" s="13">
        <v>101</v>
      </c>
      <c r="D73" s="13">
        <v>92.75</v>
      </c>
      <c r="E73" s="13" t="str">
        <f>IF(ISERROR(VLOOKUP(F73,Magic!H:H,1,0)),IF(ISERROR(VLOOKUP(F73,Magic!T:T,1,0)),"N","Y"),"Y")</f>
        <v>N</v>
      </c>
      <c r="F73" s="13">
        <v>72</v>
      </c>
    </row>
    <row r="74" spans="1:6" x14ac:dyDescent="0.25">
      <c r="A74" s="16">
        <v>42744</v>
      </c>
      <c r="B74" s="13" t="s">
        <v>28</v>
      </c>
      <c r="C74" s="13">
        <v>103</v>
      </c>
      <c r="D74" s="13">
        <v>236.25</v>
      </c>
      <c r="E74" s="13" t="str">
        <f>IF(ISERROR(VLOOKUP(F74,Magic!H:H,1,0)),IF(ISERROR(VLOOKUP(F74,Magic!T:T,1,0)),"N","Y"),"Y")</f>
        <v>N</v>
      </c>
      <c r="F74" s="13">
        <v>73</v>
      </c>
    </row>
    <row r="75" spans="1:6" x14ac:dyDescent="0.25">
      <c r="A75" s="16">
        <v>42744</v>
      </c>
      <c r="B75" s="13" t="s">
        <v>35</v>
      </c>
      <c r="C75" s="13">
        <v>104</v>
      </c>
      <c r="D75" s="13">
        <v>581.1</v>
      </c>
      <c r="E75" s="13" t="str">
        <f>IF(ISERROR(VLOOKUP(F75,Magic!H:H,1,0)),IF(ISERROR(VLOOKUP(F75,Magic!T:T,1,0)),"N","Y"),"Y")</f>
        <v>N</v>
      </c>
      <c r="F75" s="13">
        <v>74</v>
      </c>
    </row>
    <row r="76" spans="1:6" x14ac:dyDescent="0.25">
      <c r="A76" s="16">
        <v>42744</v>
      </c>
      <c r="B76" s="13" t="s">
        <v>60</v>
      </c>
      <c r="C76" s="13">
        <v>201</v>
      </c>
      <c r="D76" s="13">
        <v>512.04999999999995</v>
      </c>
      <c r="E76" s="13" t="str">
        <f>IF(ISERROR(VLOOKUP(F76,Magic!H:H,1,0)),IF(ISERROR(VLOOKUP(F76,Magic!T:T,1,0)),"N","Y"),"Y")</f>
        <v>N</v>
      </c>
      <c r="F76" s="13">
        <v>75</v>
      </c>
    </row>
    <row r="77" spans="1:6" x14ac:dyDescent="0.25">
      <c r="A77" s="16">
        <v>42744</v>
      </c>
      <c r="B77" s="13" t="s">
        <v>60</v>
      </c>
      <c r="C77" s="13">
        <v>201</v>
      </c>
      <c r="D77" s="13">
        <v>860.15</v>
      </c>
      <c r="E77" s="13" t="str">
        <f>IF(ISERROR(VLOOKUP(F77,Magic!H:H,1,0)),IF(ISERROR(VLOOKUP(F77,Magic!T:T,1,0)),"N","Y"),"Y")</f>
        <v>N</v>
      </c>
      <c r="F77" s="13">
        <v>76</v>
      </c>
    </row>
    <row r="78" spans="1:6" x14ac:dyDescent="0.25">
      <c r="A78" s="16">
        <v>42744</v>
      </c>
      <c r="B78" s="13" t="s">
        <v>60</v>
      </c>
      <c r="C78" s="13">
        <v>201</v>
      </c>
      <c r="D78" s="13">
        <v>813</v>
      </c>
      <c r="E78" s="13" t="str">
        <f>IF(ISERROR(VLOOKUP(F78,Magic!H:H,1,0)),IF(ISERROR(VLOOKUP(F78,Magic!T:T,1,0)),"N","Y"),"Y")</f>
        <v>N</v>
      </c>
      <c r="F78" s="13">
        <v>77</v>
      </c>
    </row>
    <row r="79" spans="1:6" x14ac:dyDescent="0.25">
      <c r="A79" s="16">
        <v>42744</v>
      </c>
      <c r="B79" s="13" t="s">
        <v>144</v>
      </c>
      <c r="C79" s="13">
        <v>104</v>
      </c>
      <c r="D79" s="13">
        <v>778.8</v>
      </c>
      <c r="E79" s="13" t="str">
        <f>IF(ISERROR(VLOOKUP(F79,Magic!H:H,1,0)),IF(ISERROR(VLOOKUP(F79,Magic!T:T,1,0)),"N","Y"),"Y")</f>
        <v>N</v>
      </c>
      <c r="F79" s="13">
        <v>78</v>
      </c>
    </row>
    <row r="80" spans="1:6" x14ac:dyDescent="0.25">
      <c r="A80" s="16">
        <v>42744</v>
      </c>
      <c r="B80" s="13" t="s">
        <v>144</v>
      </c>
      <c r="C80" s="13">
        <v>104</v>
      </c>
      <c r="D80" s="13">
        <v>792.3</v>
      </c>
      <c r="E80" s="13" t="str">
        <f>IF(ISERROR(VLOOKUP(F80,Magic!H:H,1,0)),IF(ISERROR(VLOOKUP(F80,Magic!T:T,1,0)),"N","Y"),"Y")</f>
        <v>N</v>
      </c>
      <c r="F80" s="13">
        <v>79</v>
      </c>
    </row>
    <row r="81" spans="1:6" x14ac:dyDescent="0.25">
      <c r="A81" s="16">
        <v>42744</v>
      </c>
      <c r="B81" s="13" t="s">
        <v>145</v>
      </c>
      <c r="C81" s="13">
        <v>104</v>
      </c>
      <c r="D81" s="13">
        <v>562.4</v>
      </c>
      <c r="E81" s="13" t="str">
        <f>IF(ISERROR(VLOOKUP(F81,Magic!H:H,1,0)),IF(ISERROR(VLOOKUP(F81,Magic!T:T,1,0)),"N","Y"),"Y")</f>
        <v>N</v>
      </c>
      <c r="F81" s="13">
        <v>80</v>
      </c>
    </row>
    <row r="82" spans="1:6" x14ac:dyDescent="0.25">
      <c r="A82" s="16">
        <v>42744</v>
      </c>
      <c r="B82" s="13" t="s">
        <v>143</v>
      </c>
      <c r="C82" s="13">
        <v>104</v>
      </c>
      <c r="D82" s="13">
        <v>68.900000000000006</v>
      </c>
      <c r="E82" s="13" t="str">
        <f>IF(ISERROR(VLOOKUP(F82,Magic!H:H,1,0)),IF(ISERROR(VLOOKUP(F82,Magic!T:T,1,0)),"N","Y"),"Y")</f>
        <v>N</v>
      </c>
      <c r="F82" s="13">
        <v>81</v>
      </c>
    </row>
    <row r="83" spans="1:6" x14ac:dyDescent="0.25">
      <c r="A83" s="16">
        <v>42745</v>
      </c>
      <c r="B83" s="13" t="s">
        <v>29</v>
      </c>
      <c r="C83" s="13">
        <v>35</v>
      </c>
      <c r="D83" s="13">
        <v>675</v>
      </c>
      <c r="E83" s="13" t="str">
        <f>IF(ISERROR(VLOOKUP(F83,Magic!H:H,1,0)),IF(ISERROR(VLOOKUP(F83,Magic!T:T,1,0)),"N","Y"),"Y")</f>
        <v>N</v>
      </c>
      <c r="F83" s="13">
        <v>82</v>
      </c>
    </row>
    <row r="84" spans="1:6" x14ac:dyDescent="0.25">
      <c r="A84" s="16">
        <v>42745</v>
      </c>
      <c r="B84" s="13" t="s">
        <v>82</v>
      </c>
      <c r="C84" s="13">
        <v>35</v>
      </c>
      <c r="D84" s="13">
        <v>1.75</v>
      </c>
      <c r="E84" s="13" t="str">
        <f>IF(ISERROR(VLOOKUP(F84,Magic!H:H,1,0)),IF(ISERROR(VLOOKUP(F84,Magic!T:T,1,0)),"N","Y"),"Y")</f>
        <v>N</v>
      </c>
      <c r="F84" s="13">
        <v>83</v>
      </c>
    </row>
    <row r="85" spans="1:6" x14ac:dyDescent="0.25">
      <c r="A85" s="16">
        <v>42745</v>
      </c>
      <c r="B85" s="13" t="s">
        <v>146</v>
      </c>
      <c r="C85" s="13">
        <v>37</v>
      </c>
      <c r="D85" s="13">
        <v>640.75</v>
      </c>
      <c r="E85" s="13" t="str">
        <f>IF(ISERROR(VLOOKUP(F85,Magic!H:H,1,0)),IF(ISERROR(VLOOKUP(F85,Magic!T:T,1,0)),"N","Y"),"Y")</f>
        <v>N</v>
      </c>
      <c r="F85" s="13">
        <v>84</v>
      </c>
    </row>
    <row r="86" spans="1:6" x14ac:dyDescent="0.25">
      <c r="A86" s="16">
        <v>42745</v>
      </c>
      <c r="B86" s="13" t="s">
        <v>146</v>
      </c>
      <c r="C86" s="13">
        <v>37</v>
      </c>
      <c r="D86" s="13">
        <v>3.25</v>
      </c>
      <c r="E86" s="13" t="str">
        <f>IF(ISERROR(VLOOKUP(F86,Magic!H:H,1,0)),IF(ISERROR(VLOOKUP(F86,Magic!T:T,1,0)),"N","Y"),"Y")</f>
        <v>N</v>
      </c>
      <c r="F86" s="13">
        <v>85</v>
      </c>
    </row>
    <row r="87" spans="1:6" x14ac:dyDescent="0.25">
      <c r="A87" s="16">
        <v>42745</v>
      </c>
      <c r="B87" s="13" t="s">
        <v>26</v>
      </c>
      <c r="C87" s="13">
        <v>38</v>
      </c>
      <c r="D87" s="13">
        <v>0.1</v>
      </c>
      <c r="E87" s="13" t="str">
        <f>IF(ISERROR(VLOOKUP(F87,Magic!H:H,1,0)),IF(ISERROR(VLOOKUP(F87,Magic!T:T,1,0)),"N","Y"),"Y")</f>
        <v>N</v>
      </c>
      <c r="F87" s="13">
        <v>86</v>
      </c>
    </row>
    <row r="88" spans="1:6" x14ac:dyDescent="0.25">
      <c r="A88" s="16">
        <v>42745</v>
      </c>
      <c r="B88" s="13" t="s">
        <v>26</v>
      </c>
      <c r="C88" s="13">
        <v>38</v>
      </c>
      <c r="D88" s="13">
        <v>0.8</v>
      </c>
      <c r="E88" s="13" t="str">
        <f>IF(ISERROR(VLOOKUP(F88,Magic!H:H,1,0)),IF(ISERROR(VLOOKUP(F88,Magic!T:T,1,0)),"N","Y"),"Y")</f>
        <v>N</v>
      </c>
      <c r="F88" s="13">
        <v>87</v>
      </c>
    </row>
    <row r="89" spans="1:6" x14ac:dyDescent="0.25">
      <c r="A89" s="16">
        <v>42745</v>
      </c>
      <c r="B89" s="13" t="s">
        <v>24</v>
      </c>
      <c r="C89" s="13">
        <v>43</v>
      </c>
      <c r="D89" s="13">
        <v>491.45</v>
      </c>
      <c r="E89" s="13" t="str">
        <f>IF(ISERROR(VLOOKUP(F89,Magic!H:H,1,0)),IF(ISERROR(VLOOKUP(F89,Magic!T:T,1,0)),"N","Y"),"Y")</f>
        <v>N</v>
      </c>
      <c r="F89" s="13">
        <v>88</v>
      </c>
    </row>
    <row r="90" spans="1:6" x14ac:dyDescent="0.25">
      <c r="A90" s="16">
        <v>42745</v>
      </c>
      <c r="B90" s="13" t="s">
        <v>25</v>
      </c>
      <c r="C90" s="13">
        <v>44</v>
      </c>
      <c r="D90" s="13">
        <v>304.10000000000002</v>
      </c>
      <c r="E90" s="13" t="str">
        <f>IF(ISERROR(VLOOKUP(F90,Magic!H:H,1,0)),IF(ISERROR(VLOOKUP(F90,Magic!T:T,1,0)),"N","Y"),"Y")</f>
        <v>N</v>
      </c>
      <c r="F90" s="13">
        <v>89</v>
      </c>
    </row>
    <row r="91" spans="1:6" x14ac:dyDescent="0.25">
      <c r="A91" s="16">
        <v>42745</v>
      </c>
      <c r="B91" s="13" t="s">
        <v>30</v>
      </c>
      <c r="C91" s="13">
        <v>45</v>
      </c>
      <c r="D91" s="13">
        <v>445</v>
      </c>
      <c r="E91" s="13" t="str">
        <f>IF(ISERROR(VLOOKUP(F91,Magic!H:H,1,0)),IF(ISERROR(VLOOKUP(F91,Magic!T:T,1,0)),"N","Y"),"Y")</f>
        <v>N</v>
      </c>
      <c r="F91" s="13">
        <v>90</v>
      </c>
    </row>
    <row r="92" spans="1:6" x14ac:dyDescent="0.25">
      <c r="A92" s="16">
        <v>42745</v>
      </c>
      <c r="B92" s="13" t="s">
        <v>27</v>
      </c>
      <c r="C92" s="13">
        <v>101</v>
      </c>
      <c r="D92" s="13">
        <v>489.15</v>
      </c>
      <c r="E92" s="13" t="str">
        <f>IF(ISERROR(VLOOKUP(F92,Magic!H:H,1,0)),IF(ISERROR(VLOOKUP(F92,Magic!T:T,1,0)),"N","Y"),"Y")</f>
        <v>N</v>
      </c>
      <c r="F92" s="13">
        <v>91</v>
      </c>
    </row>
    <row r="93" spans="1:6" x14ac:dyDescent="0.25">
      <c r="A93" s="16">
        <v>42745</v>
      </c>
      <c r="B93" s="13" t="s">
        <v>28</v>
      </c>
      <c r="C93" s="13">
        <v>103</v>
      </c>
      <c r="D93" s="13">
        <v>1211.75</v>
      </c>
      <c r="E93" s="13" t="str">
        <f>IF(ISERROR(VLOOKUP(F93,Magic!H:H,1,0)),IF(ISERROR(VLOOKUP(F93,Magic!T:T,1,0)),"N","Y"),"Y")</f>
        <v>N</v>
      </c>
      <c r="F93" s="13">
        <v>92</v>
      </c>
    </row>
    <row r="94" spans="1:6" x14ac:dyDescent="0.25">
      <c r="A94" s="16">
        <v>42745</v>
      </c>
      <c r="B94" s="13" t="s">
        <v>55</v>
      </c>
      <c r="C94" s="13">
        <v>104</v>
      </c>
      <c r="D94" s="13">
        <v>499.05</v>
      </c>
      <c r="E94" s="13" t="str">
        <f>IF(ISERROR(VLOOKUP(F94,Magic!H:H,1,0)),IF(ISERROR(VLOOKUP(F94,Magic!T:T,1,0)),"N","Y"),"Y")</f>
        <v>N</v>
      </c>
      <c r="F94" s="13">
        <v>93</v>
      </c>
    </row>
    <row r="95" spans="1:6" x14ac:dyDescent="0.25">
      <c r="A95" s="16">
        <v>42745</v>
      </c>
      <c r="B95" s="13" t="s">
        <v>60</v>
      </c>
      <c r="C95" s="13">
        <v>201</v>
      </c>
      <c r="D95" s="13">
        <v>398.95</v>
      </c>
      <c r="E95" s="13" t="str">
        <f>IF(ISERROR(VLOOKUP(F95,Magic!H:H,1,0)),IF(ISERROR(VLOOKUP(F95,Magic!T:T,1,0)),"N","Y"),"Y")</f>
        <v>N</v>
      </c>
      <c r="F95" s="13">
        <v>94</v>
      </c>
    </row>
    <row r="96" spans="1:6" x14ac:dyDescent="0.25">
      <c r="A96" s="16">
        <v>42745</v>
      </c>
      <c r="B96" s="13" t="s">
        <v>124</v>
      </c>
      <c r="C96" s="13">
        <v>103</v>
      </c>
      <c r="D96" s="13">
        <v>0.5</v>
      </c>
      <c r="E96" s="13" t="str">
        <f>IF(ISERROR(VLOOKUP(F96,Magic!H:H,1,0)),IF(ISERROR(VLOOKUP(F96,Magic!T:T,1,0)),"N","Y"),"Y")</f>
        <v>N</v>
      </c>
      <c r="F96" s="13">
        <v>95</v>
      </c>
    </row>
    <row r="97" spans="1:6" x14ac:dyDescent="0.25">
      <c r="A97" s="16">
        <v>42746</v>
      </c>
      <c r="B97" s="13" t="s">
        <v>29</v>
      </c>
      <c r="C97" s="13">
        <v>35</v>
      </c>
      <c r="D97" s="13">
        <v>565</v>
      </c>
      <c r="E97" s="13" t="str">
        <f>IF(ISERROR(VLOOKUP(F97,Magic!H:H,1,0)),IF(ISERROR(VLOOKUP(F97,Magic!T:T,1,0)),"N","Y"),"Y")</f>
        <v>N</v>
      </c>
      <c r="F97" s="13">
        <v>96</v>
      </c>
    </row>
    <row r="98" spans="1:6" x14ac:dyDescent="0.25">
      <c r="A98" s="16">
        <v>42746</v>
      </c>
      <c r="B98" s="13" t="s">
        <v>82</v>
      </c>
      <c r="C98" s="13">
        <v>35</v>
      </c>
      <c r="D98" s="13">
        <v>4.2</v>
      </c>
      <c r="E98" s="13" t="str">
        <f>IF(ISERROR(VLOOKUP(F98,Magic!H:H,1,0)),IF(ISERROR(VLOOKUP(F98,Magic!T:T,1,0)),"N","Y"),"Y")</f>
        <v>N</v>
      </c>
      <c r="F98" s="13">
        <v>97</v>
      </c>
    </row>
    <row r="99" spans="1:6" x14ac:dyDescent="0.25">
      <c r="A99" s="16">
        <v>42746</v>
      </c>
      <c r="B99" s="13" t="s">
        <v>31</v>
      </c>
      <c r="C99" s="13">
        <v>37</v>
      </c>
      <c r="D99" s="13">
        <v>688</v>
      </c>
      <c r="E99" s="13" t="str">
        <f>IF(ISERROR(VLOOKUP(F99,Magic!H:H,1,0)),IF(ISERROR(VLOOKUP(F99,Magic!T:T,1,0)),"N","Y"),"Y")</f>
        <v>N</v>
      </c>
      <c r="F99" s="13">
        <v>98</v>
      </c>
    </row>
    <row r="100" spans="1:6" x14ac:dyDescent="0.25">
      <c r="A100" s="16">
        <v>42746</v>
      </c>
      <c r="B100" s="13" t="s">
        <v>26</v>
      </c>
      <c r="C100" s="13">
        <v>38</v>
      </c>
      <c r="D100" s="13">
        <v>849.9</v>
      </c>
      <c r="E100" s="13" t="str">
        <f>IF(ISERROR(VLOOKUP(F100,Magic!H:H,1,0)),IF(ISERROR(VLOOKUP(F100,Magic!T:T,1,0)),"N","Y"),"Y")</f>
        <v>N</v>
      </c>
      <c r="F100" s="13">
        <v>99</v>
      </c>
    </row>
    <row r="101" spans="1:6" x14ac:dyDescent="0.25">
      <c r="A101" s="16">
        <v>42746</v>
      </c>
      <c r="B101" s="13" t="s">
        <v>26</v>
      </c>
      <c r="C101" s="13">
        <v>38</v>
      </c>
      <c r="D101" s="13">
        <v>5</v>
      </c>
      <c r="E101" s="13" t="str">
        <f>IF(ISERROR(VLOOKUP(F101,Magic!H:H,1,0)),IF(ISERROR(VLOOKUP(F101,Magic!T:T,1,0)),"N","Y"),"Y")</f>
        <v>N</v>
      </c>
      <c r="F101" s="13">
        <v>100</v>
      </c>
    </row>
    <row r="102" spans="1:6" x14ac:dyDescent="0.25">
      <c r="A102" s="16">
        <v>42746</v>
      </c>
      <c r="B102" s="13" t="s">
        <v>26</v>
      </c>
      <c r="C102" s="13">
        <v>38</v>
      </c>
      <c r="D102" s="13">
        <v>1169.4000000000001</v>
      </c>
      <c r="E102" s="13" t="str">
        <f>IF(ISERROR(VLOOKUP(F102,Magic!H:H,1,0)),IF(ISERROR(VLOOKUP(F102,Magic!T:T,1,0)),"N","Y"),"Y")</f>
        <v>N</v>
      </c>
      <c r="F102" s="13">
        <v>101</v>
      </c>
    </row>
    <row r="103" spans="1:6" x14ac:dyDescent="0.25">
      <c r="A103" s="16">
        <v>42746</v>
      </c>
      <c r="B103" s="13" t="s">
        <v>81</v>
      </c>
      <c r="C103" s="13">
        <v>41</v>
      </c>
      <c r="D103" s="13">
        <v>766.95</v>
      </c>
      <c r="E103" s="13" t="str">
        <f>IF(ISERROR(VLOOKUP(F103,Magic!H:H,1,0)),IF(ISERROR(VLOOKUP(F103,Magic!T:T,1,0)),"N","Y"),"Y")</f>
        <v>N</v>
      </c>
      <c r="F103" s="13">
        <v>102</v>
      </c>
    </row>
    <row r="104" spans="1:6" x14ac:dyDescent="0.25">
      <c r="A104" s="16">
        <v>42746</v>
      </c>
      <c r="B104" s="13" t="s">
        <v>81</v>
      </c>
      <c r="C104" s="13">
        <v>41</v>
      </c>
      <c r="D104" s="13">
        <v>688.65</v>
      </c>
      <c r="E104" s="13" t="str">
        <f>IF(ISERROR(VLOOKUP(F104,Magic!H:H,1,0)),IF(ISERROR(VLOOKUP(F104,Magic!T:T,1,0)),"N","Y"),"Y")</f>
        <v>N</v>
      </c>
      <c r="F104" s="13">
        <v>103</v>
      </c>
    </row>
    <row r="105" spans="1:6" x14ac:dyDescent="0.25">
      <c r="A105" s="16">
        <v>42746</v>
      </c>
      <c r="B105" s="13" t="s">
        <v>24</v>
      </c>
      <c r="C105" s="13">
        <v>43</v>
      </c>
      <c r="D105" s="13">
        <v>547.15</v>
      </c>
      <c r="E105" s="13" t="str">
        <f>IF(ISERROR(VLOOKUP(F105,Magic!H:H,1,0)),IF(ISERROR(VLOOKUP(F105,Magic!T:T,1,0)),"N","Y"),"Y")</f>
        <v>N</v>
      </c>
      <c r="F105" s="13">
        <v>104</v>
      </c>
    </row>
    <row r="106" spans="1:6" x14ac:dyDescent="0.25">
      <c r="A106" s="16">
        <v>42746</v>
      </c>
      <c r="B106" s="13" t="s">
        <v>25</v>
      </c>
      <c r="C106" s="13">
        <v>44</v>
      </c>
      <c r="D106" s="13">
        <v>352.2</v>
      </c>
      <c r="E106" s="13" t="str">
        <f>IF(ISERROR(VLOOKUP(F106,Magic!H:H,1,0)),IF(ISERROR(VLOOKUP(F106,Magic!T:T,1,0)),"N","Y"),"Y")</f>
        <v>N</v>
      </c>
      <c r="F106" s="13">
        <v>105</v>
      </c>
    </row>
    <row r="107" spans="1:6" x14ac:dyDescent="0.25">
      <c r="A107" s="16">
        <v>42746</v>
      </c>
      <c r="B107" s="13" t="s">
        <v>30</v>
      </c>
      <c r="C107" s="13">
        <v>45</v>
      </c>
      <c r="D107" s="13">
        <v>736.9</v>
      </c>
      <c r="E107" s="13" t="str">
        <f>IF(ISERROR(VLOOKUP(F107,Magic!H:H,1,0)),IF(ISERROR(VLOOKUP(F107,Magic!T:T,1,0)),"N","Y"),"Y")</f>
        <v>N</v>
      </c>
      <c r="F107" s="13">
        <v>106</v>
      </c>
    </row>
    <row r="108" spans="1:6" x14ac:dyDescent="0.25">
      <c r="A108" s="16">
        <v>42746</v>
      </c>
      <c r="B108" s="13" t="s">
        <v>30</v>
      </c>
      <c r="C108" s="13">
        <v>45</v>
      </c>
      <c r="D108" s="13">
        <v>3.7</v>
      </c>
      <c r="E108" s="13" t="str">
        <f>IF(ISERROR(VLOOKUP(F108,Magic!H:H,1,0)),IF(ISERROR(VLOOKUP(F108,Magic!T:T,1,0)),"N","Y"),"Y")</f>
        <v>N</v>
      </c>
      <c r="F108" s="13">
        <v>107</v>
      </c>
    </row>
    <row r="109" spans="1:6" x14ac:dyDescent="0.25">
      <c r="A109" s="16">
        <v>42746</v>
      </c>
      <c r="B109" s="13" t="s">
        <v>27</v>
      </c>
      <c r="C109" s="13">
        <v>101</v>
      </c>
      <c r="D109" s="13">
        <v>538.9</v>
      </c>
      <c r="E109" s="13" t="str">
        <f>IF(ISERROR(VLOOKUP(F109,Magic!H:H,1,0)),IF(ISERROR(VLOOKUP(F109,Magic!T:T,1,0)),"N","Y"),"Y")</f>
        <v>N</v>
      </c>
      <c r="F109" s="13">
        <v>108</v>
      </c>
    </row>
    <row r="110" spans="1:6" x14ac:dyDescent="0.25">
      <c r="A110" s="16">
        <v>42746</v>
      </c>
      <c r="B110" s="13" t="s">
        <v>28</v>
      </c>
      <c r="C110" s="13">
        <v>103</v>
      </c>
      <c r="D110" s="13">
        <v>1268.25</v>
      </c>
      <c r="E110" s="13" t="str">
        <f>IF(ISERROR(VLOOKUP(F110,Magic!H:H,1,0)),IF(ISERROR(VLOOKUP(F110,Magic!T:T,1,0)),"N","Y"),"Y")</f>
        <v>N</v>
      </c>
      <c r="F110" s="13">
        <v>109</v>
      </c>
    </row>
    <row r="111" spans="1:6" x14ac:dyDescent="0.25">
      <c r="A111" s="1">
        <v>42746</v>
      </c>
      <c r="B111" t="s">
        <v>35</v>
      </c>
      <c r="C111">
        <v>104</v>
      </c>
      <c r="D111">
        <v>5.05</v>
      </c>
      <c r="E111" s="24" t="str">
        <f>IF(ISERROR(VLOOKUP(F111,Magic!H:H,1,0)),IF(ISERROR(VLOOKUP(F111,Magic!T:T,1,0)),"N","Y"),"Y")</f>
        <v>N</v>
      </c>
      <c r="F111">
        <v>110</v>
      </c>
    </row>
    <row r="112" spans="1:6" x14ac:dyDescent="0.25">
      <c r="A112" s="16">
        <v>42746</v>
      </c>
      <c r="B112" s="13" t="s">
        <v>35</v>
      </c>
      <c r="C112" s="13">
        <v>104</v>
      </c>
      <c r="D112" s="13">
        <v>547.9</v>
      </c>
      <c r="E112" s="13" t="str">
        <f>IF(ISERROR(VLOOKUP(F112,Magic!H:H,1,0)),IF(ISERROR(VLOOKUP(F112,Magic!T:T,1,0)),"N","Y"),"Y")</f>
        <v>N</v>
      </c>
      <c r="F112" s="13">
        <v>111</v>
      </c>
    </row>
    <row r="113" spans="1:6" x14ac:dyDescent="0.25">
      <c r="A113" s="1">
        <v>42746</v>
      </c>
      <c r="B113" t="s">
        <v>171</v>
      </c>
      <c r="C113">
        <v>104</v>
      </c>
      <c r="D113">
        <v>2.15</v>
      </c>
      <c r="E113" s="24" t="str">
        <f>IF(ISERROR(VLOOKUP(F113,Magic!H:H,1,0)),IF(ISERROR(VLOOKUP(F113,Magic!T:T,1,0)),"N","Y"),"Y")</f>
        <v>N</v>
      </c>
      <c r="F113">
        <v>112</v>
      </c>
    </row>
    <row r="114" spans="1:6" x14ac:dyDescent="0.25">
      <c r="A114" s="16">
        <v>42747</v>
      </c>
      <c r="B114" s="13" t="s">
        <v>142</v>
      </c>
      <c r="C114" s="13">
        <v>38</v>
      </c>
      <c r="D114" s="13">
        <v>1425</v>
      </c>
      <c r="E114" s="13" t="str">
        <f>IF(ISERROR(VLOOKUP(F114,Magic!H:H,1,0)),IF(ISERROR(VLOOKUP(F114,Magic!T:T,1,0)),"N","Y"),"Y")</f>
        <v>N</v>
      </c>
      <c r="F114" s="13">
        <v>113</v>
      </c>
    </row>
    <row r="115" spans="1:6" x14ac:dyDescent="0.25">
      <c r="A115" s="16">
        <v>42747</v>
      </c>
      <c r="B115" s="13" t="s">
        <v>29</v>
      </c>
      <c r="C115" s="13">
        <v>35</v>
      </c>
      <c r="D115" s="13">
        <v>880</v>
      </c>
      <c r="E115" s="13" t="str">
        <f>IF(ISERROR(VLOOKUP(F115,Magic!H:H,1,0)),IF(ISERROR(VLOOKUP(F115,Magic!T:T,1,0)),"N","Y"),"Y")</f>
        <v>N</v>
      </c>
      <c r="F115" s="13">
        <v>114</v>
      </c>
    </row>
    <row r="116" spans="1:6" x14ac:dyDescent="0.25">
      <c r="A116" s="16">
        <v>42747</v>
      </c>
      <c r="B116" s="13" t="s">
        <v>82</v>
      </c>
      <c r="C116" s="13">
        <v>35</v>
      </c>
      <c r="D116" s="13">
        <v>0.65</v>
      </c>
      <c r="E116" s="13" t="str">
        <f>IF(ISERROR(VLOOKUP(F116,Magic!H:H,1,0)),IF(ISERROR(VLOOKUP(F116,Magic!T:T,1,0)),"N","Y"),"Y")</f>
        <v>N</v>
      </c>
      <c r="F116" s="13">
        <v>115</v>
      </c>
    </row>
    <row r="117" spans="1:6" x14ac:dyDescent="0.25">
      <c r="A117" s="16">
        <v>42747</v>
      </c>
      <c r="B117" s="13" t="s">
        <v>31</v>
      </c>
      <c r="C117" s="13">
        <v>37</v>
      </c>
      <c r="D117" s="13">
        <v>408.6</v>
      </c>
      <c r="E117" s="13" t="str">
        <f>IF(ISERROR(VLOOKUP(F117,Magic!H:H,1,0)),IF(ISERROR(VLOOKUP(F117,Magic!T:T,1,0)),"N","Y"),"Y")</f>
        <v>N</v>
      </c>
      <c r="F117" s="13">
        <v>116</v>
      </c>
    </row>
    <row r="118" spans="1:6" x14ac:dyDescent="0.25">
      <c r="A118" s="16">
        <v>42747</v>
      </c>
      <c r="B118" s="13" t="s">
        <v>81</v>
      </c>
      <c r="C118" s="13">
        <v>41</v>
      </c>
      <c r="D118" s="13">
        <v>408.25</v>
      </c>
      <c r="E118" s="13" t="str">
        <f>IF(ISERROR(VLOOKUP(F118,Magic!H:H,1,0)),IF(ISERROR(VLOOKUP(F118,Magic!T:T,1,0)),"N","Y"),"Y")</f>
        <v>N</v>
      </c>
      <c r="F118" s="13">
        <v>117</v>
      </c>
    </row>
    <row r="119" spans="1:6" x14ac:dyDescent="0.25">
      <c r="A119" s="16">
        <v>42747</v>
      </c>
      <c r="B119" s="13" t="s">
        <v>24</v>
      </c>
      <c r="C119" s="13">
        <v>43</v>
      </c>
      <c r="D119" s="13">
        <v>437.65</v>
      </c>
      <c r="E119" s="13" t="str">
        <f>IF(ISERROR(VLOOKUP(F119,Magic!H:H,1,0)),IF(ISERROR(VLOOKUP(F119,Magic!T:T,1,0)),"N","Y"),"Y")</f>
        <v>N</v>
      </c>
      <c r="F119" s="13">
        <v>118</v>
      </c>
    </row>
    <row r="120" spans="1:6" x14ac:dyDescent="0.25">
      <c r="A120" s="16">
        <v>42747</v>
      </c>
      <c r="B120" s="13" t="s">
        <v>27</v>
      </c>
      <c r="C120" s="13">
        <v>101</v>
      </c>
      <c r="D120" s="13">
        <v>744.45</v>
      </c>
      <c r="E120" s="13" t="str">
        <f>IF(ISERROR(VLOOKUP(F120,Magic!H:H,1,0)),IF(ISERROR(VLOOKUP(F120,Magic!T:T,1,0)),"N","Y"),"Y")</f>
        <v>N</v>
      </c>
      <c r="F120" s="13">
        <v>119</v>
      </c>
    </row>
    <row r="121" spans="1:6" x14ac:dyDescent="0.25">
      <c r="A121" s="16">
        <v>42747</v>
      </c>
      <c r="B121" s="13" t="s">
        <v>28</v>
      </c>
      <c r="C121" s="13">
        <v>103</v>
      </c>
      <c r="D121" s="13">
        <v>1102.8</v>
      </c>
      <c r="E121" s="13" t="str">
        <f>IF(ISERROR(VLOOKUP(F121,Magic!H:H,1,0)),IF(ISERROR(VLOOKUP(F121,Magic!T:T,1,0)),"N","Y"),"Y")</f>
        <v>N</v>
      </c>
      <c r="F121" s="13">
        <v>120</v>
      </c>
    </row>
    <row r="122" spans="1:6" x14ac:dyDescent="0.25">
      <c r="A122" s="16">
        <v>42747</v>
      </c>
      <c r="B122" s="13" t="s">
        <v>60</v>
      </c>
      <c r="C122" s="13">
        <v>201</v>
      </c>
      <c r="D122" s="13">
        <v>441.2</v>
      </c>
      <c r="E122" s="13" t="str">
        <f>IF(ISERROR(VLOOKUP(F122,Magic!H:H,1,0)),IF(ISERROR(VLOOKUP(F122,Magic!T:T,1,0)),"N","Y"),"Y")</f>
        <v>N</v>
      </c>
      <c r="F122" s="13">
        <v>121</v>
      </c>
    </row>
    <row r="123" spans="1:6" x14ac:dyDescent="0.25">
      <c r="A123" s="16">
        <v>42747</v>
      </c>
      <c r="B123" s="13" t="s">
        <v>60</v>
      </c>
      <c r="C123" s="13">
        <v>201</v>
      </c>
      <c r="D123" s="13">
        <v>853.25</v>
      </c>
      <c r="E123" s="13" t="str">
        <f>IF(ISERROR(VLOOKUP(F123,Magic!H:H,1,0)),IF(ISERROR(VLOOKUP(F123,Magic!T:T,1,0)),"N","Y"),"Y")</f>
        <v>N</v>
      </c>
      <c r="F123" s="13">
        <v>122</v>
      </c>
    </row>
    <row r="124" spans="1:6" x14ac:dyDescent="0.25">
      <c r="A124" s="16">
        <v>42750</v>
      </c>
      <c r="B124" s="13" t="s">
        <v>28</v>
      </c>
      <c r="C124" s="13">
        <v>103</v>
      </c>
      <c r="D124" s="13">
        <v>967.85</v>
      </c>
      <c r="E124" s="13" t="str">
        <f>IF(ISERROR(VLOOKUP(F124,Magic!H:H,1,0)),IF(ISERROR(VLOOKUP(F124,Magic!T:T,1,0)),"N","Y"),"Y")</f>
        <v>N</v>
      </c>
      <c r="F124" s="13">
        <v>123</v>
      </c>
    </row>
    <row r="125" spans="1:6" x14ac:dyDescent="0.25">
      <c r="A125" s="16">
        <v>42748</v>
      </c>
      <c r="B125" s="13" t="s">
        <v>57</v>
      </c>
      <c r="C125" s="13">
        <v>35</v>
      </c>
      <c r="D125" s="13">
        <v>1.05</v>
      </c>
      <c r="E125" s="13" t="str">
        <f>IF(ISERROR(VLOOKUP(F125,Magic!H:H,1,0)),IF(ISERROR(VLOOKUP(F125,Magic!T:T,1,0)),"N","Y"),"Y")</f>
        <v>N</v>
      </c>
      <c r="F125" s="13">
        <v>124</v>
      </c>
    </row>
    <row r="126" spans="1:6" x14ac:dyDescent="0.25">
      <c r="A126" s="16">
        <v>42748</v>
      </c>
      <c r="B126" s="13" t="s">
        <v>31</v>
      </c>
      <c r="C126" s="13">
        <v>37</v>
      </c>
      <c r="D126" s="13">
        <v>1064.9000000000001</v>
      </c>
      <c r="E126" s="13" t="str">
        <f>IF(ISERROR(VLOOKUP(F126,Magic!H:H,1,0)),IF(ISERROR(VLOOKUP(F126,Magic!T:T,1,0)),"N","Y"),"Y")</f>
        <v>N</v>
      </c>
      <c r="F126" s="13">
        <v>125</v>
      </c>
    </row>
    <row r="127" spans="1:6" x14ac:dyDescent="0.25">
      <c r="A127" s="16">
        <v>42748</v>
      </c>
      <c r="B127" s="13" t="s">
        <v>26</v>
      </c>
      <c r="C127" s="13">
        <v>38</v>
      </c>
      <c r="D127" s="13">
        <v>10</v>
      </c>
      <c r="E127" s="13" t="s">
        <v>71</v>
      </c>
      <c r="F127" s="13">
        <v>126</v>
      </c>
    </row>
    <row r="128" spans="1:6" x14ac:dyDescent="0.25">
      <c r="A128" s="16">
        <v>42748</v>
      </c>
      <c r="B128" s="13" t="s">
        <v>81</v>
      </c>
      <c r="C128" s="13">
        <v>41</v>
      </c>
      <c r="D128" s="13">
        <v>683.9</v>
      </c>
      <c r="E128" s="13" t="str">
        <f>IF(ISERROR(VLOOKUP(F128,Magic!H:H,1,0)),IF(ISERROR(VLOOKUP(F128,Magic!T:T,1,0)),"N","Y"),"Y")</f>
        <v>N</v>
      </c>
      <c r="F128" s="13">
        <v>127</v>
      </c>
    </row>
    <row r="129" spans="1:6" x14ac:dyDescent="0.25">
      <c r="A129" s="16">
        <v>42748</v>
      </c>
      <c r="B129" s="13" t="s">
        <v>24</v>
      </c>
      <c r="C129" s="13">
        <v>43</v>
      </c>
      <c r="D129" s="13">
        <v>934</v>
      </c>
      <c r="E129" s="13" t="str">
        <f>IF(ISERROR(VLOOKUP(F129,Magic!H:H,1,0)),IF(ISERROR(VLOOKUP(F129,Magic!T:T,1,0)),"N","Y"),"Y")</f>
        <v>N</v>
      </c>
      <c r="F129" s="13">
        <v>128</v>
      </c>
    </row>
    <row r="130" spans="1:6" x14ac:dyDescent="0.25">
      <c r="A130" s="16">
        <v>42748</v>
      </c>
      <c r="B130" s="13" t="s">
        <v>25</v>
      </c>
      <c r="C130" s="13">
        <v>44</v>
      </c>
      <c r="D130" s="13">
        <v>295.2</v>
      </c>
      <c r="E130" s="13" t="str">
        <f>IF(ISERROR(VLOOKUP(F130,Magic!H:H,1,0)),IF(ISERROR(VLOOKUP(F130,Magic!T:T,1,0)),"N","Y"),"Y")</f>
        <v>N</v>
      </c>
      <c r="F130" s="13">
        <v>129</v>
      </c>
    </row>
    <row r="131" spans="1:6" x14ac:dyDescent="0.25">
      <c r="A131" s="16">
        <v>42748</v>
      </c>
      <c r="B131" s="13" t="s">
        <v>25</v>
      </c>
      <c r="C131" s="13">
        <v>44</v>
      </c>
      <c r="D131" s="13">
        <v>669.95</v>
      </c>
      <c r="E131" s="13" t="str">
        <f>IF(ISERROR(VLOOKUP(F131,Magic!H:H,1,0)),IF(ISERROR(VLOOKUP(F131,Magic!T:T,1,0)),"N","Y"),"Y")</f>
        <v>N</v>
      </c>
      <c r="F131" s="13">
        <v>130</v>
      </c>
    </row>
    <row r="132" spans="1:6" x14ac:dyDescent="0.25">
      <c r="A132" s="16">
        <v>42748</v>
      </c>
      <c r="B132" s="13" t="s">
        <v>30</v>
      </c>
      <c r="C132" s="13">
        <v>45</v>
      </c>
      <c r="D132" s="13">
        <v>835</v>
      </c>
      <c r="E132" s="13" t="str">
        <f>IF(ISERROR(VLOOKUP(F132,Magic!H:H,1,0)),IF(ISERROR(VLOOKUP(F132,Magic!T:T,1,0)),"N","Y"),"Y")</f>
        <v>N</v>
      </c>
      <c r="F132" s="13">
        <v>131</v>
      </c>
    </row>
    <row r="133" spans="1:6" x14ac:dyDescent="0.25">
      <c r="A133" s="16">
        <v>42748</v>
      </c>
      <c r="B133" s="13" t="s">
        <v>30</v>
      </c>
      <c r="C133" s="13">
        <v>45</v>
      </c>
      <c r="D133" s="13">
        <v>549.04999999999995</v>
      </c>
      <c r="E133" s="13" t="str">
        <f>IF(ISERROR(VLOOKUP(F133,Magic!H:H,1,0)),IF(ISERROR(VLOOKUP(F133,Magic!T:T,1,0)),"N","Y"),"Y")</f>
        <v>N</v>
      </c>
      <c r="F133" s="13">
        <v>132</v>
      </c>
    </row>
    <row r="134" spans="1:6" x14ac:dyDescent="0.25">
      <c r="A134" s="16">
        <v>42748</v>
      </c>
      <c r="B134" s="13" t="s">
        <v>27</v>
      </c>
      <c r="C134" s="13">
        <v>101</v>
      </c>
      <c r="D134" s="13">
        <v>733.25</v>
      </c>
      <c r="E134" s="13" t="str">
        <f>IF(ISERROR(VLOOKUP(F134,Magic!H:H,1,0)),IF(ISERROR(VLOOKUP(F134,Magic!T:T,1,0)),"N","Y"),"Y")</f>
        <v>N</v>
      </c>
      <c r="F134" s="13">
        <v>133</v>
      </c>
    </row>
    <row r="135" spans="1:6" x14ac:dyDescent="0.25">
      <c r="A135" s="16">
        <v>42748</v>
      </c>
      <c r="B135" s="13" t="s">
        <v>28</v>
      </c>
      <c r="C135" s="13">
        <v>103</v>
      </c>
      <c r="D135" s="13">
        <v>1290.2</v>
      </c>
      <c r="E135" s="13" t="str">
        <f>IF(ISERROR(VLOOKUP(F135,Magic!H:H,1,0)),IF(ISERROR(VLOOKUP(F135,Magic!T:T,1,0)),"N","Y"),"Y")</f>
        <v>N</v>
      </c>
      <c r="F135" s="13">
        <v>134</v>
      </c>
    </row>
    <row r="136" spans="1:6" x14ac:dyDescent="0.25">
      <c r="A136" s="16">
        <v>42748</v>
      </c>
      <c r="B136" s="13" t="s">
        <v>212</v>
      </c>
      <c r="C136" s="13">
        <v>38</v>
      </c>
      <c r="D136" s="13">
        <v>11.9</v>
      </c>
      <c r="E136" s="13" t="s">
        <v>71</v>
      </c>
      <c r="F136" s="13">
        <v>135</v>
      </c>
    </row>
    <row r="137" spans="1:6" x14ac:dyDescent="0.25">
      <c r="A137" s="16">
        <v>42749</v>
      </c>
      <c r="B137" s="13" t="s">
        <v>29</v>
      </c>
      <c r="C137" s="13">
        <v>35</v>
      </c>
      <c r="D137" s="13">
        <v>625</v>
      </c>
      <c r="E137" s="13" t="str">
        <f>IF(ISERROR(VLOOKUP(F137,Magic!H:H,1,0)),IF(ISERROR(VLOOKUP(F137,Magic!T:T,1,0)),"N","Y"),"Y")</f>
        <v>N</v>
      </c>
      <c r="F137" s="13">
        <v>136</v>
      </c>
    </row>
    <row r="138" spans="1:6" x14ac:dyDescent="0.25">
      <c r="A138" s="16">
        <v>42749</v>
      </c>
      <c r="B138" s="13" t="s">
        <v>29</v>
      </c>
      <c r="C138" s="13">
        <v>35</v>
      </c>
      <c r="D138" s="13">
        <v>900</v>
      </c>
      <c r="E138" s="13" t="str">
        <f>IF(ISERROR(VLOOKUP(F138,Magic!H:H,1,0)),IF(ISERROR(VLOOKUP(F138,Magic!T:T,1,0)),"N","Y"),"Y")</f>
        <v>N</v>
      </c>
      <c r="F138" s="13">
        <v>137</v>
      </c>
    </row>
    <row r="139" spans="1:6" x14ac:dyDescent="0.25">
      <c r="A139" s="16">
        <v>42749</v>
      </c>
      <c r="B139" s="13" t="s">
        <v>26</v>
      </c>
      <c r="C139" s="13">
        <v>38</v>
      </c>
      <c r="D139" s="13">
        <v>1200</v>
      </c>
      <c r="E139" s="13" t="str">
        <f>IF(ISERROR(VLOOKUP(F139,Magic!H:H,1,0)),IF(ISERROR(VLOOKUP(F139,Magic!T:T,1,0)),"N","Y"),"Y")</f>
        <v>N</v>
      </c>
      <c r="F139" s="13">
        <v>138</v>
      </c>
    </row>
    <row r="140" spans="1:6" x14ac:dyDescent="0.25">
      <c r="A140" s="16">
        <v>42749</v>
      </c>
      <c r="B140" s="13" t="s">
        <v>30</v>
      </c>
      <c r="C140" s="13">
        <v>45</v>
      </c>
      <c r="D140" s="13">
        <v>1040</v>
      </c>
      <c r="E140" s="13" t="str">
        <f>IF(ISERROR(VLOOKUP(F140,Magic!H:H,1,0)),IF(ISERROR(VLOOKUP(F140,Magic!T:T,1,0)),"N","Y"),"Y")</f>
        <v>N</v>
      </c>
      <c r="F140" s="13">
        <v>139</v>
      </c>
    </row>
    <row r="141" spans="1:6" x14ac:dyDescent="0.25">
      <c r="A141" s="16">
        <v>42749</v>
      </c>
      <c r="B141" s="13" t="s">
        <v>202</v>
      </c>
      <c r="C141" s="13">
        <v>103</v>
      </c>
      <c r="D141" s="13">
        <v>1105</v>
      </c>
      <c r="E141" s="13" t="str">
        <f>IF(ISERROR(VLOOKUP(F141,Magic!H:H,1,0)),IF(ISERROR(VLOOKUP(F141,Magic!T:T,1,0)),"N","Y"),"Y")</f>
        <v>N</v>
      </c>
      <c r="F141" s="13">
        <v>140</v>
      </c>
    </row>
    <row r="142" spans="1:6" x14ac:dyDescent="0.25">
      <c r="A142" s="16">
        <v>42749</v>
      </c>
      <c r="B142" s="13" t="s">
        <v>124</v>
      </c>
      <c r="C142" s="13">
        <v>103</v>
      </c>
      <c r="D142" s="13">
        <v>30.85</v>
      </c>
      <c r="E142" s="13" t="str">
        <f>IF(ISERROR(VLOOKUP(F142,Magic!H:H,1,0)),IF(ISERROR(VLOOKUP(F142,Magic!T:T,1,0)),"N","Y"),"Y")</f>
        <v>N</v>
      </c>
      <c r="F142" s="13">
        <v>141</v>
      </c>
    </row>
    <row r="143" spans="1:6" x14ac:dyDescent="0.25">
      <c r="A143" s="16">
        <v>42751</v>
      </c>
      <c r="B143" s="13" t="s">
        <v>26</v>
      </c>
      <c r="C143" s="13">
        <v>38</v>
      </c>
      <c r="D143" s="13">
        <v>12.7</v>
      </c>
      <c r="E143" s="13" t="str">
        <f>IF(ISERROR(VLOOKUP(F143,Magic!H:H,1,0)),IF(ISERROR(VLOOKUP(F143,Magic!T:T,1,0)),"N","Y"),"Y")</f>
        <v>N</v>
      </c>
      <c r="F143" s="13">
        <v>142</v>
      </c>
    </row>
    <row r="144" spans="1:6" x14ac:dyDescent="0.25">
      <c r="A144" s="16">
        <v>42751</v>
      </c>
      <c r="B144" s="13" t="s">
        <v>29</v>
      </c>
      <c r="C144" s="13">
        <v>35</v>
      </c>
      <c r="D144" s="13">
        <v>470</v>
      </c>
      <c r="E144" s="13" t="str">
        <f>IF(ISERROR(VLOOKUP(F144,Magic!H:H,1,0)),IF(ISERROR(VLOOKUP(F144,Magic!T:T,1,0)),"N","Y"),"Y")</f>
        <v>N</v>
      </c>
      <c r="F144" s="13">
        <v>143</v>
      </c>
    </row>
    <row r="145" spans="1:6" x14ac:dyDescent="0.25">
      <c r="A145" s="16">
        <v>42751</v>
      </c>
      <c r="B145" s="13" t="s">
        <v>82</v>
      </c>
      <c r="C145" s="13">
        <v>35</v>
      </c>
      <c r="D145" s="13">
        <v>29.35</v>
      </c>
      <c r="E145" s="13" t="str">
        <f>IF(ISERROR(VLOOKUP(F145,Magic!H:H,1,0)),IF(ISERROR(VLOOKUP(F145,Magic!T:T,1,0)),"N","Y"),"Y")</f>
        <v>N</v>
      </c>
      <c r="F145" s="13">
        <v>144</v>
      </c>
    </row>
    <row r="146" spans="1:6" x14ac:dyDescent="0.25">
      <c r="A146" s="16">
        <v>42751</v>
      </c>
      <c r="B146" s="13" t="s">
        <v>82</v>
      </c>
      <c r="C146" s="13">
        <v>35</v>
      </c>
      <c r="D146" s="13">
        <v>544.75</v>
      </c>
      <c r="E146" s="13" t="str">
        <f>IF(ISERROR(VLOOKUP(F146,Magic!H:H,1,0)),IF(ISERROR(VLOOKUP(F146,Magic!T:T,1,0)),"N","Y"),"Y")</f>
        <v>N</v>
      </c>
      <c r="F146" s="13">
        <v>145</v>
      </c>
    </row>
    <row r="147" spans="1:6" x14ac:dyDescent="0.25">
      <c r="A147" s="16">
        <v>42751</v>
      </c>
      <c r="B147" s="13" t="s">
        <v>82</v>
      </c>
      <c r="C147" s="13">
        <v>35</v>
      </c>
      <c r="D147" s="13">
        <v>2.85</v>
      </c>
      <c r="E147" s="13" t="str">
        <f>IF(ISERROR(VLOOKUP(F147,Magic!H:H,1,0)),IF(ISERROR(VLOOKUP(F147,Magic!T:T,1,0)),"N","Y"),"Y")</f>
        <v>N</v>
      </c>
      <c r="F147" s="13">
        <v>146</v>
      </c>
    </row>
    <row r="148" spans="1:6" x14ac:dyDescent="0.25">
      <c r="A148" s="16">
        <v>42751</v>
      </c>
      <c r="B148" s="13" t="s">
        <v>146</v>
      </c>
      <c r="C148" s="13">
        <v>37</v>
      </c>
      <c r="D148" s="13">
        <v>524.04999999999995</v>
      </c>
      <c r="E148" s="13" t="str">
        <f>IF(ISERROR(VLOOKUP(F148,Magic!H:H,1,0)),IF(ISERROR(VLOOKUP(F148,Magic!T:T,1,0)),"N","Y"),"Y")</f>
        <v>N</v>
      </c>
      <c r="F148" s="13">
        <v>147</v>
      </c>
    </row>
    <row r="149" spans="1:6" x14ac:dyDescent="0.25">
      <c r="A149" s="16">
        <v>42751</v>
      </c>
      <c r="B149" s="13" t="s">
        <v>146</v>
      </c>
      <c r="C149" s="13">
        <v>37</v>
      </c>
      <c r="D149" s="13">
        <v>428.65</v>
      </c>
      <c r="E149" s="13" t="str">
        <f>IF(ISERROR(VLOOKUP(F149,Magic!H:H,1,0)),IF(ISERROR(VLOOKUP(F149,Magic!T:T,1,0)),"N","Y"),"Y")</f>
        <v>N</v>
      </c>
      <c r="F149" s="13">
        <v>148</v>
      </c>
    </row>
    <row r="150" spans="1:6" x14ac:dyDescent="0.25">
      <c r="A150" s="16">
        <v>42751</v>
      </c>
      <c r="B150" s="13" t="s">
        <v>146</v>
      </c>
      <c r="C150" s="13">
        <v>37</v>
      </c>
      <c r="D150" s="13">
        <v>588.5</v>
      </c>
      <c r="E150" s="13" t="str">
        <f>IF(ISERROR(VLOOKUP(F150,Magic!H:H,1,0)),IF(ISERROR(VLOOKUP(F150,Magic!T:T,1,0)),"N","Y"),"Y")</f>
        <v>N</v>
      </c>
      <c r="F150" s="13">
        <v>149</v>
      </c>
    </row>
    <row r="151" spans="1:6" x14ac:dyDescent="0.25">
      <c r="A151" s="16">
        <v>42751</v>
      </c>
      <c r="B151" s="13" t="s">
        <v>26</v>
      </c>
      <c r="C151" s="13">
        <v>38</v>
      </c>
      <c r="D151" s="13">
        <v>851.15</v>
      </c>
      <c r="E151" s="13" t="str">
        <f>IF(ISERROR(VLOOKUP(F151,Magic!H:H,1,0)),IF(ISERROR(VLOOKUP(F151,Magic!T:T,1,0)),"N","Y"),"Y")</f>
        <v>N</v>
      </c>
      <c r="F151" s="13">
        <v>150</v>
      </c>
    </row>
    <row r="152" spans="1:6" x14ac:dyDescent="0.25">
      <c r="A152" s="16">
        <v>42751</v>
      </c>
      <c r="B152" s="13" t="s">
        <v>26</v>
      </c>
      <c r="C152" s="13">
        <v>38</v>
      </c>
      <c r="D152" s="13">
        <v>1418.8</v>
      </c>
      <c r="E152" s="13" t="str">
        <f>IF(ISERROR(VLOOKUP(F152,Magic!H:H,1,0)),IF(ISERROR(VLOOKUP(F152,Magic!T:T,1,0)),"N","Y"),"Y")</f>
        <v>N</v>
      </c>
      <c r="F152" s="13">
        <v>151</v>
      </c>
    </row>
    <row r="153" spans="1:6" x14ac:dyDescent="0.25">
      <c r="A153" s="16">
        <v>42751</v>
      </c>
      <c r="B153" s="13" t="s">
        <v>26</v>
      </c>
      <c r="C153" s="13">
        <v>38</v>
      </c>
      <c r="D153" s="13">
        <v>858.4</v>
      </c>
      <c r="E153" s="13" t="str">
        <f>IF(ISERROR(VLOOKUP(F153,Magic!H:H,1,0)),IF(ISERROR(VLOOKUP(F153,Magic!T:T,1,0)),"N","Y"),"Y")</f>
        <v>N</v>
      </c>
      <c r="F153" s="13">
        <v>152</v>
      </c>
    </row>
    <row r="154" spans="1:6" x14ac:dyDescent="0.25">
      <c r="A154" s="16">
        <v>42751</v>
      </c>
      <c r="B154" s="13" t="s">
        <v>81</v>
      </c>
      <c r="C154" s="13">
        <v>41</v>
      </c>
      <c r="D154" s="13">
        <v>244.6</v>
      </c>
      <c r="E154" s="13" t="str">
        <f>IF(ISERROR(VLOOKUP(F154,Magic!H:H,1,0)),IF(ISERROR(VLOOKUP(F154,Magic!T:T,1,0)),"N","Y"),"Y")</f>
        <v>N</v>
      </c>
      <c r="F154" s="13">
        <v>153</v>
      </c>
    </row>
    <row r="155" spans="1:6" x14ac:dyDescent="0.25">
      <c r="A155" s="16">
        <v>42751</v>
      </c>
      <c r="B155" s="13" t="s">
        <v>24</v>
      </c>
      <c r="C155" s="13">
        <v>43</v>
      </c>
      <c r="D155" s="13">
        <v>800</v>
      </c>
      <c r="E155" s="13" t="str">
        <f>IF(ISERROR(VLOOKUP(F155,Magic!H:H,1,0)),IF(ISERROR(VLOOKUP(F155,Magic!T:T,1,0)),"N","Y"),"Y")</f>
        <v>N</v>
      </c>
      <c r="F155" s="13">
        <v>154</v>
      </c>
    </row>
    <row r="156" spans="1:6" x14ac:dyDescent="0.25">
      <c r="A156" s="16">
        <v>42751</v>
      </c>
      <c r="B156" s="13" t="s">
        <v>24</v>
      </c>
      <c r="C156" s="13">
        <v>43</v>
      </c>
      <c r="D156" s="13">
        <v>387.2</v>
      </c>
      <c r="E156" s="13" t="str">
        <f>IF(ISERROR(VLOOKUP(F156,Magic!H:H,1,0)),IF(ISERROR(VLOOKUP(F156,Magic!T:T,1,0)),"N","Y"),"Y")</f>
        <v>N</v>
      </c>
      <c r="F156" s="13">
        <v>155</v>
      </c>
    </row>
    <row r="157" spans="1:6" x14ac:dyDescent="0.25">
      <c r="A157" s="16">
        <v>42751</v>
      </c>
      <c r="B157" s="13" t="s">
        <v>24</v>
      </c>
      <c r="C157" s="13">
        <v>43</v>
      </c>
      <c r="D157" s="13">
        <v>648.54999999999995</v>
      </c>
      <c r="E157" s="13" t="str">
        <f>IF(ISERROR(VLOOKUP(F157,Magic!H:H,1,0)),IF(ISERROR(VLOOKUP(F157,Magic!T:T,1,0)),"N","Y"),"Y")</f>
        <v>N</v>
      </c>
      <c r="F157" s="13">
        <v>156</v>
      </c>
    </row>
    <row r="158" spans="1:6" x14ac:dyDescent="0.25">
      <c r="A158" s="16">
        <v>42751</v>
      </c>
      <c r="B158" s="13" t="s">
        <v>25</v>
      </c>
      <c r="C158" s="13">
        <v>44</v>
      </c>
      <c r="D158" s="13">
        <v>310.39999999999998</v>
      </c>
      <c r="E158" s="13" t="str">
        <f>IF(ISERROR(VLOOKUP(F158,Magic!H:H,1,0)),IF(ISERROR(VLOOKUP(F158,Magic!T:T,1,0)),"N","Y"),"Y")</f>
        <v>N</v>
      </c>
      <c r="F158" s="13">
        <v>157</v>
      </c>
    </row>
    <row r="159" spans="1:6" x14ac:dyDescent="0.25">
      <c r="A159" s="16">
        <v>42751</v>
      </c>
      <c r="B159" s="13" t="s">
        <v>25</v>
      </c>
      <c r="C159" s="13">
        <v>44</v>
      </c>
      <c r="D159" s="13">
        <v>207.45</v>
      </c>
      <c r="E159" s="13" t="str">
        <f>IF(ISERROR(VLOOKUP(F159,Magic!H:H,1,0)),IF(ISERROR(VLOOKUP(F159,Magic!T:T,1,0)),"N","Y"),"Y")</f>
        <v>N</v>
      </c>
      <c r="F159" s="13">
        <v>158</v>
      </c>
    </row>
    <row r="160" spans="1:6" x14ac:dyDescent="0.25">
      <c r="A160" s="16">
        <v>42751</v>
      </c>
      <c r="B160" s="13" t="s">
        <v>25</v>
      </c>
      <c r="C160" s="13">
        <v>44</v>
      </c>
      <c r="D160" s="13">
        <v>382.95</v>
      </c>
      <c r="E160" s="13" t="str">
        <f>IF(ISERROR(VLOOKUP(F160,Magic!H:H,1,0)),IF(ISERROR(VLOOKUP(F160,Magic!T:T,1,0)),"N","Y"),"Y")</f>
        <v>N</v>
      </c>
      <c r="F160" s="13">
        <v>159</v>
      </c>
    </row>
    <row r="161" spans="1:6" x14ac:dyDescent="0.25">
      <c r="A161" s="16">
        <v>42751</v>
      </c>
      <c r="B161" s="13" t="s">
        <v>30</v>
      </c>
      <c r="C161" s="13">
        <v>45</v>
      </c>
      <c r="D161" s="13">
        <v>484.25</v>
      </c>
      <c r="E161" s="13" t="str">
        <f>IF(ISERROR(VLOOKUP(F161,Magic!H:H,1,0)),IF(ISERROR(VLOOKUP(F161,Magic!T:T,1,0)),"N","Y"),"Y")</f>
        <v>N</v>
      </c>
      <c r="F161" s="13">
        <v>160</v>
      </c>
    </row>
    <row r="162" spans="1:6" x14ac:dyDescent="0.25">
      <c r="A162" s="16">
        <v>42751</v>
      </c>
      <c r="B162" s="13" t="s">
        <v>30</v>
      </c>
      <c r="C162" s="13">
        <v>45</v>
      </c>
      <c r="D162" s="13">
        <v>582.04999999999995</v>
      </c>
      <c r="E162" s="13" t="str">
        <f>IF(ISERROR(VLOOKUP(F162,Magic!H:H,1,0)),IF(ISERROR(VLOOKUP(F162,Magic!T:T,1,0)),"N","Y"),"Y")</f>
        <v>N</v>
      </c>
      <c r="F162" s="13">
        <v>161</v>
      </c>
    </row>
    <row r="163" spans="1:6" x14ac:dyDescent="0.25">
      <c r="A163" s="16">
        <v>42751</v>
      </c>
      <c r="B163" s="13" t="s">
        <v>30</v>
      </c>
      <c r="C163" s="13">
        <v>45</v>
      </c>
      <c r="D163" s="13">
        <v>3.6</v>
      </c>
      <c r="E163" s="13" t="str">
        <f>IF(ISERROR(VLOOKUP(F163,Magic!H:H,1,0)),IF(ISERROR(VLOOKUP(F163,Magic!T:T,1,0)),"N","Y"),"Y")</f>
        <v>N</v>
      </c>
      <c r="F163" s="13">
        <v>162</v>
      </c>
    </row>
    <row r="164" spans="1:6" x14ac:dyDescent="0.25">
      <c r="A164" s="16">
        <v>42751</v>
      </c>
      <c r="B164" s="13" t="s">
        <v>27</v>
      </c>
      <c r="C164" s="13">
        <v>101</v>
      </c>
      <c r="D164" s="13">
        <v>521.85</v>
      </c>
      <c r="E164" s="13" t="str">
        <f>IF(ISERROR(VLOOKUP(F164,Magic!H:H,1,0)),IF(ISERROR(VLOOKUP(F164,Magic!T:T,1,0)),"N","Y"),"Y")</f>
        <v>N</v>
      </c>
      <c r="F164" s="13">
        <v>163</v>
      </c>
    </row>
    <row r="165" spans="1:6" x14ac:dyDescent="0.25">
      <c r="A165" s="16">
        <v>42751</v>
      </c>
      <c r="B165" s="13" t="s">
        <v>27</v>
      </c>
      <c r="C165" s="13">
        <v>101</v>
      </c>
      <c r="D165" s="13">
        <v>483.95</v>
      </c>
      <c r="E165" s="13" t="str">
        <f>IF(ISERROR(VLOOKUP(F165,Magic!H:H,1,0)),IF(ISERROR(VLOOKUP(F165,Magic!T:T,1,0)),"N","Y"),"Y")</f>
        <v>N</v>
      </c>
      <c r="F165" s="13">
        <v>164</v>
      </c>
    </row>
    <row r="166" spans="1:6" x14ac:dyDescent="0.25">
      <c r="A166" s="16">
        <v>42751</v>
      </c>
      <c r="B166" s="13" t="s">
        <v>27</v>
      </c>
      <c r="C166" s="13">
        <v>101</v>
      </c>
      <c r="D166" s="13">
        <v>130.85</v>
      </c>
      <c r="E166" s="13" t="str">
        <f>IF(ISERROR(VLOOKUP(F166,Magic!H:H,1,0)),IF(ISERROR(VLOOKUP(F166,Magic!T:T,1,0)),"N","Y"),"Y")</f>
        <v>N</v>
      </c>
      <c r="F166" s="13">
        <v>165</v>
      </c>
    </row>
    <row r="167" spans="1:6" x14ac:dyDescent="0.25">
      <c r="A167" s="16">
        <v>42751</v>
      </c>
      <c r="B167" s="13" t="s">
        <v>28</v>
      </c>
      <c r="C167" s="13">
        <v>103</v>
      </c>
      <c r="D167" s="13">
        <v>437.2</v>
      </c>
      <c r="E167" s="13" t="str">
        <f>IF(ISERROR(VLOOKUP(F167,Magic!H:H,1,0)),IF(ISERROR(VLOOKUP(F167,Magic!T:T,1,0)),"N","Y"),"Y")</f>
        <v>N</v>
      </c>
      <c r="F167" s="13">
        <v>166</v>
      </c>
    </row>
    <row r="168" spans="1:6" x14ac:dyDescent="0.25">
      <c r="A168" s="16">
        <v>42751</v>
      </c>
      <c r="B168" s="13" t="s">
        <v>55</v>
      </c>
      <c r="C168" s="13">
        <v>104</v>
      </c>
      <c r="D168" s="13">
        <v>877.05</v>
      </c>
      <c r="E168" s="13" t="str">
        <f>IF(ISERROR(VLOOKUP(F168,Magic!H:H,1,0)),IF(ISERROR(VLOOKUP(F168,Magic!T:T,1,0)),"N","Y"),"Y")</f>
        <v>N</v>
      </c>
      <c r="F168" s="13">
        <v>167</v>
      </c>
    </row>
    <row r="169" spans="1:6" x14ac:dyDescent="0.25">
      <c r="A169" s="16">
        <v>42751</v>
      </c>
      <c r="B169" s="13" t="s">
        <v>55</v>
      </c>
      <c r="C169" s="13">
        <v>104</v>
      </c>
      <c r="D169" s="13">
        <v>387.35</v>
      </c>
      <c r="E169" s="13" t="str">
        <f>IF(ISERROR(VLOOKUP(F169,Magic!H:H,1,0)),IF(ISERROR(VLOOKUP(F169,Magic!T:T,1,0)),"N","Y"),"Y")</f>
        <v>N</v>
      </c>
      <c r="F169" s="13">
        <v>168</v>
      </c>
    </row>
    <row r="170" spans="1:6" x14ac:dyDescent="0.25">
      <c r="A170" s="16">
        <v>42751</v>
      </c>
      <c r="B170" s="13" t="s">
        <v>55</v>
      </c>
      <c r="C170" s="13">
        <v>104</v>
      </c>
      <c r="D170" s="13">
        <v>662.65</v>
      </c>
      <c r="E170" s="13" t="str">
        <f>IF(ISERROR(VLOOKUP(F170,Magic!H:H,1,0)),IF(ISERROR(VLOOKUP(F170,Magic!T:T,1,0)),"N","Y"),"Y")</f>
        <v>N</v>
      </c>
      <c r="F170" s="13">
        <v>169</v>
      </c>
    </row>
    <row r="171" spans="1:6" x14ac:dyDescent="0.25">
      <c r="A171" s="16">
        <v>42751</v>
      </c>
      <c r="B171" s="13" t="s">
        <v>55</v>
      </c>
      <c r="C171" s="13">
        <v>104</v>
      </c>
      <c r="D171" s="13">
        <v>392</v>
      </c>
      <c r="E171" s="13" t="str">
        <f>IF(ISERROR(VLOOKUP(F171,Magic!H:H,1,0)),IF(ISERROR(VLOOKUP(F171,Magic!T:T,1,0)),"N","Y"),"Y")</f>
        <v>N</v>
      </c>
      <c r="F171" s="13">
        <v>170</v>
      </c>
    </row>
    <row r="172" spans="1:6" x14ac:dyDescent="0.25">
      <c r="A172" s="16">
        <v>42751</v>
      </c>
      <c r="B172" s="13" t="s">
        <v>60</v>
      </c>
      <c r="C172" s="13">
        <v>201</v>
      </c>
      <c r="D172" s="13">
        <v>500</v>
      </c>
      <c r="E172" s="13" t="str">
        <f>IF(ISERROR(VLOOKUP(F172,Magic!H:H,1,0)),IF(ISERROR(VLOOKUP(F172,Magic!T:T,1,0)),"N","Y"),"Y")</f>
        <v>N</v>
      </c>
      <c r="F172" s="13">
        <v>171</v>
      </c>
    </row>
    <row r="173" spans="1:6" x14ac:dyDescent="0.25">
      <c r="A173" s="16">
        <v>42751</v>
      </c>
      <c r="B173" s="13" t="s">
        <v>60</v>
      </c>
      <c r="C173" s="13">
        <v>201</v>
      </c>
      <c r="D173" s="13">
        <v>951.3</v>
      </c>
      <c r="E173" s="13" t="str">
        <f>IF(ISERROR(VLOOKUP(F173,Magic!H:H,1,0)),IF(ISERROR(VLOOKUP(F173,Magic!T:T,1,0)),"N","Y"),"Y")</f>
        <v>N</v>
      </c>
      <c r="F173" s="13">
        <v>172</v>
      </c>
    </row>
    <row r="174" spans="1:6" x14ac:dyDescent="0.25">
      <c r="A174" s="16">
        <v>42751</v>
      </c>
      <c r="B174" s="13" t="s">
        <v>60</v>
      </c>
      <c r="C174" s="13">
        <v>201</v>
      </c>
      <c r="D174" s="13">
        <v>478.45</v>
      </c>
      <c r="E174" s="13" t="str">
        <f>IF(ISERROR(VLOOKUP(F174,Magic!H:H,1,0)),IF(ISERROR(VLOOKUP(F174,Magic!T:T,1,0)),"N","Y"),"Y")</f>
        <v>N</v>
      </c>
      <c r="F174" s="13">
        <v>173</v>
      </c>
    </row>
    <row r="175" spans="1:6" x14ac:dyDescent="0.25">
      <c r="A175" s="16">
        <v>42751</v>
      </c>
      <c r="B175" s="13" t="s">
        <v>60</v>
      </c>
      <c r="C175" s="13">
        <v>201</v>
      </c>
      <c r="D175" s="13">
        <v>92.65</v>
      </c>
      <c r="E175" s="13" t="str">
        <f>IF(ISERROR(VLOOKUP(F175,Magic!H:H,1,0)),IF(ISERROR(VLOOKUP(F175,Magic!T:T,1,0)),"N","Y"),"Y")</f>
        <v>N</v>
      </c>
      <c r="F175" s="13">
        <v>174</v>
      </c>
    </row>
    <row r="176" spans="1:6" x14ac:dyDescent="0.25">
      <c r="A176" s="16">
        <v>42752</v>
      </c>
      <c r="B176" s="13" t="s">
        <v>29</v>
      </c>
      <c r="C176" s="13">
        <v>35</v>
      </c>
      <c r="D176" s="13">
        <v>655</v>
      </c>
      <c r="E176" s="13" t="str">
        <f>IF(ISERROR(VLOOKUP(F176,Magic!H:H,1,0)),IF(ISERROR(VLOOKUP(F176,Magic!T:T,1,0)),"N","Y"),"Y")</f>
        <v>N</v>
      </c>
      <c r="F176" s="13">
        <v>175</v>
      </c>
    </row>
    <row r="177" spans="1:6" x14ac:dyDescent="0.25">
      <c r="A177" s="16">
        <v>42752</v>
      </c>
      <c r="B177" s="13" t="s">
        <v>57</v>
      </c>
      <c r="C177" s="13">
        <v>35</v>
      </c>
      <c r="D177" s="13">
        <v>2.6</v>
      </c>
      <c r="E177" s="13" t="str">
        <f>IF(ISERROR(VLOOKUP(F177,Magic!H:H,1,0)),IF(ISERROR(VLOOKUP(F177,Magic!T:T,1,0)),"N","Y"),"Y")</f>
        <v>N</v>
      </c>
      <c r="F177" s="13">
        <v>176</v>
      </c>
    </row>
    <row r="178" spans="1:6" x14ac:dyDescent="0.25">
      <c r="A178" s="16">
        <v>42752</v>
      </c>
      <c r="B178" s="13" t="s">
        <v>31</v>
      </c>
      <c r="C178" s="13">
        <v>37</v>
      </c>
      <c r="D178" s="13">
        <v>449.05</v>
      </c>
      <c r="E178" s="13" t="str">
        <f>IF(ISERROR(VLOOKUP(F178,Magic!H:H,1,0)),IF(ISERROR(VLOOKUP(F178,Magic!T:T,1,0)),"N","Y"),"Y")</f>
        <v>N</v>
      </c>
      <c r="F178" s="13">
        <v>177</v>
      </c>
    </row>
    <row r="179" spans="1:6" x14ac:dyDescent="0.25">
      <c r="A179" s="16">
        <v>42752</v>
      </c>
      <c r="B179" s="13" t="s">
        <v>26</v>
      </c>
      <c r="C179" s="13">
        <v>38</v>
      </c>
      <c r="D179" s="13">
        <v>953.5</v>
      </c>
      <c r="E179" s="13" t="str">
        <f>IF(ISERROR(VLOOKUP(F179,Magic!H:H,1,0)),IF(ISERROR(VLOOKUP(F179,Magic!T:T,1,0)),"N","Y"),"Y")</f>
        <v>N</v>
      </c>
      <c r="F179" s="13">
        <v>178</v>
      </c>
    </row>
    <row r="180" spans="1:6" x14ac:dyDescent="0.25">
      <c r="A180" s="16">
        <v>42752</v>
      </c>
      <c r="B180" s="13" t="s">
        <v>81</v>
      </c>
      <c r="C180" s="13">
        <v>41</v>
      </c>
      <c r="D180" s="13">
        <v>384.15</v>
      </c>
      <c r="E180" s="13" t="str">
        <f>IF(ISERROR(VLOOKUP(F180,Magic!H:H,1,0)),IF(ISERROR(VLOOKUP(F180,Magic!T:T,1,0)),"N","Y"),"Y")</f>
        <v>N</v>
      </c>
      <c r="F180" s="13">
        <v>179</v>
      </c>
    </row>
    <row r="181" spans="1:6" x14ac:dyDescent="0.25">
      <c r="A181" s="16">
        <v>42752</v>
      </c>
      <c r="B181" s="13" t="s">
        <v>24</v>
      </c>
      <c r="C181" s="13">
        <v>43</v>
      </c>
      <c r="D181" s="13">
        <v>604.45000000000005</v>
      </c>
      <c r="E181" s="13" t="str">
        <f>IF(ISERROR(VLOOKUP(F181,Magic!H:H,1,0)),IF(ISERROR(VLOOKUP(F181,Magic!T:T,1,0)),"N","Y"),"Y")</f>
        <v>N</v>
      </c>
      <c r="F181" s="13">
        <v>180</v>
      </c>
    </row>
    <row r="182" spans="1:6" x14ac:dyDescent="0.25">
      <c r="A182" s="16">
        <v>42752</v>
      </c>
      <c r="B182" s="13" t="s">
        <v>25</v>
      </c>
      <c r="C182" s="13">
        <v>44</v>
      </c>
      <c r="D182" s="13">
        <v>543.54999999999995</v>
      </c>
      <c r="E182" s="13" t="str">
        <f>IF(ISERROR(VLOOKUP(F182,Magic!H:H,1,0)),IF(ISERROR(VLOOKUP(F182,Magic!T:T,1,0)),"N","Y"),"Y")</f>
        <v>N</v>
      </c>
      <c r="F182" s="13">
        <v>181</v>
      </c>
    </row>
    <row r="183" spans="1:6" x14ac:dyDescent="0.25">
      <c r="A183" s="16">
        <v>42752</v>
      </c>
      <c r="B183" s="13" t="s">
        <v>30</v>
      </c>
      <c r="C183" s="13">
        <v>45</v>
      </c>
      <c r="D183" s="13">
        <v>738.85</v>
      </c>
      <c r="E183" s="13" t="str">
        <f>IF(ISERROR(VLOOKUP(F183,Magic!H:H,1,0)),IF(ISERROR(VLOOKUP(F183,Magic!T:T,1,0)),"N","Y"),"Y")</f>
        <v>N</v>
      </c>
      <c r="F183" s="13">
        <v>182</v>
      </c>
    </row>
    <row r="184" spans="1:6" x14ac:dyDescent="0.25">
      <c r="A184" s="16">
        <v>42752</v>
      </c>
      <c r="B184" s="13" t="s">
        <v>27</v>
      </c>
      <c r="C184" s="13">
        <v>101</v>
      </c>
      <c r="D184" s="13">
        <v>440</v>
      </c>
      <c r="E184" s="13" t="str">
        <f>IF(ISERROR(VLOOKUP(F184,Magic!H:H,1,0)),IF(ISERROR(VLOOKUP(F184,Magic!T:T,1,0)),"N","Y"),"Y")</f>
        <v>N</v>
      </c>
      <c r="F184" s="13">
        <v>183</v>
      </c>
    </row>
    <row r="185" spans="1:6" x14ac:dyDescent="0.25">
      <c r="A185" s="16">
        <v>42752</v>
      </c>
      <c r="B185" s="13" t="s">
        <v>240</v>
      </c>
      <c r="C185" s="13">
        <v>103</v>
      </c>
      <c r="D185" s="13">
        <v>705</v>
      </c>
      <c r="E185" s="13" t="str">
        <f>IF(ISERROR(VLOOKUP(F185,Magic!H:H,1,0)),IF(ISERROR(VLOOKUP(F185,Magic!T:T,1,0)),"N","Y"),"Y")</f>
        <v>N</v>
      </c>
      <c r="F185" s="13">
        <v>184</v>
      </c>
    </row>
    <row r="186" spans="1:6" x14ac:dyDescent="0.25">
      <c r="A186" s="16">
        <v>42752</v>
      </c>
      <c r="B186" s="13" t="s">
        <v>35</v>
      </c>
      <c r="C186" s="13">
        <v>104</v>
      </c>
      <c r="D186" s="13">
        <v>90.85</v>
      </c>
      <c r="E186" s="13" t="str">
        <f>IF(ISERROR(VLOOKUP(F186,Magic!H:H,1,0)),IF(ISERROR(VLOOKUP(F186,Magic!T:T,1,0)),"N","Y"),"Y")</f>
        <v>N</v>
      </c>
      <c r="F186" s="13">
        <v>185</v>
      </c>
    </row>
    <row r="187" spans="1:6" x14ac:dyDescent="0.25">
      <c r="A187" s="16">
        <v>42752</v>
      </c>
      <c r="B187" s="13" t="s">
        <v>35</v>
      </c>
      <c r="C187" s="13">
        <v>104</v>
      </c>
      <c r="D187" s="13">
        <v>592</v>
      </c>
      <c r="E187" s="13" t="str">
        <f>IF(ISERROR(VLOOKUP(F187,Magic!H:H,1,0)),IF(ISERROR(VLOOKUP(F187,Magic!T:T,1,0)),"N","Y"),"Y")</f>
        <v>N</v>
      </c>
      <c r="F187" s="13">
        <v>186</v>
      </c>
    </row>
    <row r="188" spans="1:6" x14ac:dyDescent="0.25">
      <c r="A188" s="16">
        <v>42752</v>
      </c>
      <c r="B188" s="13" t="s">
        <v>35</v>
      </c>
      <c r="C188" s="13">
        <v>104</v>
      </c>
      <c r="D188" s="13">
        <v>180</v>
      </c>
      <c r="E188" s="13" t="str">
        <f>IF(ISERROR(VLOOKUP(F188,Magic!H:H,1,0)),IF(ISERROR(VLOOKUP(F188,Magic!T:T,1,0)),"N","Y"),"Y")</f>
        <v>N</v>
      </c>
      <c r="F188" s="13">
        <v>187</v>
      </c>
    </row>
    <row r="189" spans="1:6" x14ac:dyDescent="0.25">
      <c r="A189" s="16">
        <v>42752</v>
      </c>
      <c r="B189" s="13" t="s">
        <v>35</v>
      </c>
      <c r="C189" s="13">
        <v>104</v>
      </c>
      <c r="D189" s="13">
        <v>309.8</v>
      </c>
      <c r="E189" s="13" t="str">
        <f>IF(ISERROR(VLOOKUP(F189,Magic!H:H,1,0)),IF(ISERROR(VLOOKUP(F189,Magic!T:T,1,0)),"N","Y"),"Y")</f>
        <v>N</v>
      </c>
      <c r="F189" s="13">
        <v>188</v>
      </c>
    </row>
    <row r="190" spans="1:6" x14ac:dyDescent="0.25">
      <c r="A190" s="16">
        <v>42752</v>
      </c>
      <c r="B190" s="13" t="s">
        <v>124</v>
      </c>
      <c r="C190" s="13">
        <v>103</v>
      </c>
      <c r="D190" s="13">
        <v>27.75</v>
      </c>
      <c r="E190" s="13" t="str">
        <f>IF(ISERROR(VLOOKUP(F190,Magic!H:H,1,0)),IF(ISERROR(VLOOKUP(F190,Magic!T:T,1,0)),"N","Y"),"Y")</f>
        <v>N</v>
      </c>
      <c r="F190" s="13">
        <v>189</v>
      </c>
    </row>
    <row r="191" spans="1:6" x14ac:dyDescent="0.25">
      <c r="A191" s="16">
        <v>42751</v>
      </c>
      <c r="B191" s="13" t="s">
        <v>244</v>
      </c>
      <c r="C191" s="13">
        <v>41</v>
      </c>
      <c r="D191" s="13">
        <v>728.55</v>
      </c>
      <c r="E191" s="13" t="str">
        <f>IF(ISERROR(VLOOKUP(F191,Magic!H:H,1,0)),IF(ISERROR(VLOOKUP(F191,Magic!T:T,1,0)),"N","Y"),"Y")</f>
        <v>N</v>
      </c>
      <c r="F191" s="13">
        <v>190</v>
      </c>
    </row>
    <row r="192" spans="1:6" x14ac:dyDescent="0.25">
      <c r="A192" s="16">
        <v>42751</v>
      </c>
      <c r="B192" s="13" t="s">
        <v>244</v>
      </c>
      <c r="C192" s="13">
        <v>41</v>
      </c>
      <c r="D192" s="13">
        <v>528.85</v>
      </c>
      <c r="E192" s="13" t="str">
        <f>IF(ISERROR(VLOOKUP(F192,Magic!H:H,1,0)),IF(ISERROR(VLOOKUP(F192,Magic!T:T,1,0)),"N","Y"),"Y")</f>
        <v>N</v>
      </c>
      <c r="F192" s="13">
        <v>191</v>
      </c>
    </row>
    <row r="193" spans="1:6" x14ac:dyDescent="0.25">
      <c r="A193" s="16">
        <v>42753</v>
      </c>
      <c r="B193" s="13" t="s">
        <v>29</v>
      </c>
      <c r="C193" s="13">
        <v>35</v>
      </c>
      <c r="D193" s="13">
        <v>725</v>
      </c>
      <c r="E193" s="13" t="str">
        <f>IF(ISERROR(VLOOKUP(F193,Magic!H:H,1,0)),IF(ISERROR(VLOOKUP(F193,Magic!T:T,1,0)),"N","Y"),"Y")</f>
        <v>N</v>
      </c>
      <c r="F193" s="13">
        <v>192</v>
      </c>
    </row>
    <row r="194" spans="1:6" x14ac:dyDescent="0.25">
      <c r="A194" s="16">
        <v>42753</v>
      </c>
      <c r="B194" s="13" t="s">
        <v>57</v>
      </c>
      <c r="C194" s="13">
        <v>35</v>
      </c>
      <c r="D194" s="13">
        <v>3.8</v>
      </c>
      <c r="E194" s="13" t="str">
        <f>IF(ISERROR(VLOOKUP(F194,Magic!H:H,1,0)),IF(ISERROR(VLOOKUP(F194,Magic!T:T,1,0)),"N","Y"),"Y")</f>
        <v>N</v>
      </c>
      <c r="F194" s="13">
        <v>193</v>
      </c>
    </row>
    <row r="195" spans="1:6" x14ac:dyDescent="0.25">
      <c r="A195" s="16">
        <v>42753</v>
      </c>
      <c r="B195" s="13" t="s">
        <v>31</v>
      </c>
      <c r="C195" s="13">
        <v>37</v>
      </c>
      <c r="D195" s="13">
        <v>10</v>
      </c>
      <c r="E195" s="13" t="str">
        <f>IF(ISERROR(VLOOKUP(F195,Magic!H:H,1,0)),IF(ISERROR(VLOOKUP(F195,Magic!T:T,1,0)),"N","Y"),"Y")</f>
        <v>N</v>
      </c>
      <c r="F195" s="13">
        <v>194</v>
      </c>
    </row>
    <row r="196" spans="1:6" x14ac:dyDescent="0.25">
      <c r="A196" s="16">
        <v>42753</v>
      </c>
      <c r="B196" s="13" t="s">
        <v>31</v>
      </c>
      <c r="C196" s="13">
        <v>37</v>
      </c>
      <c r="D196" s="13">
        <v>459</v>
      </c>
      <c r="E196" s="13" t="str">
        <f>IF(ISERROR(VLOOKUP(F196,Magic!H:H,1,0)),IF(ISERROR(VLOOKUP(F196,Magic!T:T,1,0)),"N","Y"),"Y")</f>
        <v>N</v>
      </c>
      <c r="F196" s="13">
        <v>195</v>
      </c>
    </row>
    <row r="197" spans="1:6" x14ac:dyDescent="0.25">
      <c r="A197" s="16">
        <v>42753</v>
      </c>
      <c r="B197" s="13" t="s">
        <v>81</v>
      </c>
      <c r="C197" s="13">
        <v>41</v>
      </c>
      <c r="D197" s="13">
        <v>599.04999999999995</v>
      </c>
      <c r="E197" s="13" t="str">
        <f>IF(ISERROR(VLOOKUP(F197,Magic!H:H,1,0)),IF(ISERROR(VLOOKUP(F197,Magic!T:T,1,0)),"N","Y"),"Y")</f>
        <v>N</v>
      </c>
      <c r="F197" s="13">
        <v>196</v>
      </c>
    </row>
    <row r="198" spans="1:6" x14ac:dyDescent="0.25">
      <c r="A198" s="16">
        <v>42753</v>
      </c>
      <c r="B198" s="13" t="s">
        <v>24</v>
      </c>
      <c r="C198" s="13">
        <v>43</v>
      </c>
      <c r="D198" s="13">
        <v>547.29999999999995</v>
      </c>
      <c r="E198" s="13" t="str">
        <f>IF(ISERROR(VLOOKUP(F198,Magic!H:H,1,0)),IF(ISERROR(VLOOKUP(F198,Magic!T:T,1,0)),"N","Y"),"Y")</f>
        <v>N</v>
      </c>
      <c r="F198" s="13">
        <v>197</v>
      </c>
    </row>
    <row r="199" spans="1:6" x14ac:dyDescent="0.25">
      <c r="A199" s="16">
        <v>42753</v>
      </c>
      <c r="B199" s="13" t="s">
        <v>25</v>
      </c>
      <c r="C199" s="13">
        <v>44</v>
      </c>
      <c r="D199" s="13">
        <v>412.9</v>
      </c>
      <c r="E199" s="13" t="str">
        <f>IF(ISERROR(VLOOKUP(F199,Magic!H:H,1,0)),IF(ISERROR(VLOOKUP(F199,Magic!T:T,1,0)),"N","Y"),"Y")</f>
        <v>N</v>
      </c>
      <c r="F199" s="13">
        <v>198</v>
      </c>
    </row>
    <row r="200" spans="1:6" x14ac:dyDescent="0.25">
      <c r="A200" s="16">
        <v>42753</v>
      </c>
      <c r="B200" s="13" t="s">
        <v>27</v>
      </c>
      <c r="C200" s="13">
        <v>101</v>
      </c>
      <c r="D200" s="13">
        <v>616</v>
      </c>
      <c r="E200" s="13" t="str">
        <f>IF(ISERROR(VLOOKUP(F200,Magic!H:H,1,0)),IF(ISERROR(VLOOKUP(F200,Magic!T:T,1,0)),"N","Y"),"Y")</f>
        <v>N</v>
      </c>
      <c r="F200" s="13">
        <v>199</v>
      </c>
    </row>
    <row r="201" spans="1:6" x14ac:dyDescent="0.25">
      <c r="A201" s="16">
        <v>42753</v>
      </c>
      <c r="B201" s="13" t="s">
        <v>28</v>
      </c>
      <c r="C201" s="13">
        <v>103</v>
      </c>
      <c r="D201" s="13">
        <v>912</v>
      </c>
      <c r="E201" s="13" t="str">
        <f>IF(ISERROR(VLOOKUP(F201,Magic!H:H,1,0)),IF(ISERROR(VLOOKUP(F201,Magic!T:T,1,0)),"N","Y"),"Y")</f>
        <v>N</v>
      </c>
      <c r="F201" s="13">
        <v>200</v>
      </c>
    </row>
    <row r="202" spans="1:6" x14ac:dyDescent="0.25">
      <c r="A202" s="16">
        <v>42753</v>
      </c>
      <c r="B202" s="13" t="s">
        <v>60</v>
      </c>
      <c r="C202" s="13">
        <v>201</v>
      </c>
      <c r="D202" s="13">
        <v>287.64999999999998</v>
      </c>
      <c r="E202" s="13" t="str">
        <f>IF(ISERROR(VLOOKUP(F202,Magic!H:H,1,0)),IF(ISERROR(VLOOKUP(F202,Magic!T:T,1,0)),"N","Y"),"Y")</f>
        <v>N</v>
      </c>
      <c r="F202" s="13">
        <v>201</v>
      </c>
    </row>
    <row r="203" spans="1:6" x14ac:dyDescent="0.25">
      <c r="A203" s="16">
        <v>42753</v>
      </c>
      <c r="B203" s="13" t="s">
        <v>60</v>
      </c>
      <c r="C203" s="13">
        <v>201</v>
      </c>
      <c r="D203" s="13">
        <v>508.95</v>
      </c>
      <c r="E203" s="13" t="str">
        <f>IF(ISERROR(VLOOKUP(F203,Magic!H:H,1,0)),IF(ISERROR(VLOOKUP(F203,Magic!T:T,1,0)),"N","Y"),"Y")</f>
        <v>N</v>
      </c>
      <c r="F203" s="13">
        <v>202</v>
      </c>
    </row>
    <row r="204" spans="1:6" x14ac:dyDescent="0.25">
      <c r="A204" s="16">
        <v>42754</v>
      </c>
      <c r="B204" s="13" t="s">
        <v>29</v>
      </c>
      <c r="C204" s="13">
        <v>35</v>
      </c>
      <c r="D204" s="13">
        <v>1130</v>
      </c>
      <c r="E204" s="13" t="str">
        <f>IF(ISERROR(VLOOKUP(F204,Magic!H:H,1,0)),IF(ISERROR(VLOOKUP(F204,Magic!T:T,1,0)),"N","Y"),"Y")</f>
        <v>N</v>
      </c>
      <c r="F204" s="13">
        <v>203</v>
      </c>
    </row>
    <row r="205" spans="1:6" x14ac:dyDescent="0.25">
      <c r="A205" s="16">
        <v>42754</v>
      </c>
      <c r="B205" s="13" t="s">
        <v>82</v>
      </c>
      <c r="C205" s="13">
        <v>35</v>
      </c>
      <c r="D205" s="13">
        <v>3.35</v>
      </c>
      <c r="E205" s="13" t="str">
        <f>IF(ISERROR(VLOOKUP(F205,Magic!H:H,1,0)),IF(ISERROR(VLOOKUP(F205,Magic!T:T,1,0)),"N","Y"),"Y")</f>
        <v>N</v>
      </c>
      <c r="F205" s="13">
        <v>204</v>
      </c>
    </row>
    <row r="206" spans="1:6" x14ac:dyDescent="0.25">
      <c r="A206" s="16">
        <v>42754</v>
      </c>
      <c r="B206" s="13" t="s">
        <v>31</v>
      </c>
      <c r="C206" s="13">
        <v>37</v>
      </c>
      <c r="D206" s="13">
        <v>204.3</v>
      </c>
      <c r="E206" s="13" t="str">
        <f>IF(ISERROR(VLOOKUP(F206,Magic!H:H,1,0)),IF(ISERROR(VLOOKUP(F206,Magic!T:T,1,0)),"N","Y"),"Y")</f>
        <v>N</v>
      </c>
      <c r="F206" s="13">
        <v>205</v>
      </c>
    </row>
    <row r="207" spans="1:6" x14ac:dyDescent="0.25">
      <c r="A207" s="16">
        <v>42754</v>
      </c>
      <c r="B207" s="13" t="s">
        <v>26</v>
      </c>
      <c r="C207" s="13">
        <v>38</v>
      </c>
      <c r="D207" s="13">
        <v>952.2</v>
      </c>
      <c r="E207" s="13" t="str">
        <f>IF(ISERROR(VLOOKUP(F207,Magic!H:H,1,0)),IF(ISERROR(VLOOKUP(F207,Magic!T:T,1,0)),"N","Y"),"Y")</f>
        <v>N</v>
      </c>
      <c r="F207" s="13">
        <v>206</v>
      </c>
    </row>
    <row r="208" spans="1:6" x14ac:dyDescent="0.25">
      <c r="A208" s="16">
        <v>42754</v>
      </c>
      <c r="B208" s="13" t="s">
        <v>81</v>
      </c>
      <c r="C208" s="13">
        <v>41</v>
      </c>
      <c r="D208" s="13">
        <v>638.04999999999995</v>
      </c>
      <c r="E208" s="13" t="str">
        <f>IF(ISERROR(VLOOKUP(F208,Magic!H:H,1,0)),IF(ISERROR(VLOOKUP(F208,Magic!T:T,1,0)),"N","Y"),"Y")</f>
        <v>N</v>
      </c>
      <c r="F208" s="13">
        <v>207</v>
      </c>
    </row>
    <row r="209" spans="1:6" x14ac:dyDescent="0.25">
      <c r="A209" s="16">
        <v>42754</v>
      </c>
      <c r="B209" s="13" t="s">
        <v>24</v>
      </c>
      <c r="C209" s="13">
        <v>43</v>
      </c>
      <c r="D209" s="13">
        <v>648.15</v>
      </c>
      <c r="E209" s="13" t="str">
        <f>IF(ISERROR(VLOOKUP(F209,Magic!H:H,1,0)),IF(ISERROR(VLOOKUP(F209,Magic!T:T,1,0)),"N","Y"),"Y")</f>
        <v>N</v>
      </c>
      <c r="F209" s="13">
        <v>208</v>
      </c>
    </row>
    <row r="210" spans="1:6" x14ac:dyDescent="0.25">
      <c r="A210" s="16">
        <v>42754</v>
      </c>
      <c r="B210" s="13" t="s">
        <v>25</v>
      </c>
      <c r="C210" s="13">
        <v>44</v>
      </c>
      <c r="D210" s="13">
        <v>336.95</v>
      </c>
      <c r="E210" s="13" t="str">
        <f>IF(ISERROR(VLOOKUP(F210,Magic!H:H,1,0)),IF(ISERROR(VLOOKUP(F210,Magic!T:T,1,0)),"N","Y"),"Y")</f>
        <v>N</v>
      </c>
      <c r="F210" s="13">
        <v>209</v>
      </c>
    </row>
    <row r="211" spans="1:6" x14ac:dyDescent="0.25">
      <c r="A211" s="16">
        <v>42754</v>
      </c>
      <c r="B211" s="13" t="s">
        <v>30</v>
      </c>
      <c r="C211" s="13">
        <v>45</v>
      </c>
      <c r="D211" s="13">
        <v>635.9</v>
      </c>
      <c r="E211" s="13" t="str">
        <f>IF(ISERROR(VLOOKUP(F211,Magic!H:H,1,0)),IF(ISERROR(VLOOKUP(F211,Magic!T:T,1,0)),"N","Y"),"Y")</f>
        <v>N</v>
      </c>
      <c r="F211" s="13">
        <v>210</v>
      </c>
    </row>
    <row r="212" spans="1:6" x14ac:dyDescent="0.25">
      <c r="A212" s="16">
        <v>42754</v>
      </c>
      <c r="B212" s="13" t="s">
        <v>27</v>
      </c>
      <c r="C212" s="13">
        <v>101</v>
      </c>
      <c r="D212" s="13">
        <v>476.2</v>
      </c>
      <c r="E212" s="13" t="str">
        <f>IF(ISERROR(VLOOKUP(F212,Magic!H:H,1,0)),IF(ISERROR(VLOOKUP(F212,Magic!T:T,1,0)),"N","Y"),"Y")</f>
        <v>N</v>
      </c>
      <c r="F212" s="13">
        <v>211</v>
      </c>
    </row>
    <row r="213" spans="1:6" x14ac:dyDescent="0.25">
      <c r="A213" s="16">
        <v>42754</v>
      </c>
      <c r="B213" s="13" t="s">
        <v>28</v>
      </c>
      <c r="C213" s="13">
        <v>103</v>
      </c>
      <c r="D213" s="13">
        <v>1229.9000000000001</v>
      </c>
      <c r="E213" s="13" t="str">
        <f>IF(ISERROR(VLOOKUP(F213,Magic!H:H,1,0)),IF(ISERROR(VLOOKUP(F213,Magic!T:T,1,0)),"N","Y"),"Y")</f>
        <v>N</v>
      </c>
      <c r="F213" s="13">
        <v>212</v>
      </c>
    </row>
    <row r="214" spans="1:6" x14ac:dyDescent="0.25">
      <c r="A214" s="16">
        <v>42754</v>
      </c>
      <c r="B214" s="13" t="s">
        <v>35</v>
      </c>
      <c r="C214" s="13">
        <v>104</v>
      </c>
      <c r="D214" s="13">
        <v>859.4</v>
      </c>
      <c r="E214" s="13" t="str">
        <f>IF(ISERROR(VLOOKUP(F214,Magic!H:H,1,0)),IF(ISERROR(VLOOKUP(F214,Magic!T:T,1,0)),"N","Y"),"Y")</f>
        <v>N</v>
      </c>
      <c r="F214" s="13">
        <v>213</v>
      </c>
    </row>
    <row r="215" spans="1:6" x14ac:dyDescent="0.25">
      <c r="A215" s="16">
        <v>42754</v>
      </c>
      <c r="B215" s="13" t="s">
        <v>267</v>
      </c>
      <c r="C215" s="13">
        <v>201</v>
      </c>
      <c r="D215" s="13">
        <v>477.8</v>
      </c>
      <c r="E215" s="13" t="str">
        <f>IF(ISERROR(VLOOKUP(F215,Magic!H:H,1,0)),IF(ISERROR(VLOOKUP(F215,Magic!T:T,1,0)),"N","Y"),"Y")</f>
        <v>N</v>
      </c>
      <c r="F215" s="13">
        <v>214</v>
      </c>
    </row>
    <row r="216" spans="1:6" x14ac:dyDescent="0.25">
      <c r="A216" s="16">
        <v>42758</v>
      </c>
      <c r="B216" s="13" t="s">
        <v>26</v>
      </c>
      <c r="C216" s="13">
        <v>38</v>
      </c>
      <c r="D216" s="13">
        <v>695.65</v>
      </c>
      <c r="E216" s="13" t="str">
        <f>IF(ISERROR(VLOOKUP(F216,Magic!H:H,1,0)),IF(ISERROR(VLOOKUP(F216,Magic!T:T,1,0)),"N","Y"),"Y")</f>
        <v>N</v>
      </c>
      <c r="F216" s="13">
        <v>215</v>
      </c>
    </row>
    <row r="217" spans="1:6" x14ac:dyDescent="0.25">
      <c r="A217" s="16">
        <v>42755</v>
      </c>
      <c r="B217" s="13" t="s">
        <v>29</v>
      </c>
      <c r="C217" s="13">
        <v>35</v>
      </c>
      <c r="D217" s="13">
        <v>540</v>
      </c>
      <c r="E217" s="13" t="str">
        <f>IF(ISERROR(VLOOKUP(F217,Magic!H:H,1,0)),IF(ISERROR(VLOOKUP(F217,Magic!T:T,1,0)),"N","Y"),"Y")</f>
        <v>N</v>
      </c>
      <c r="F217" s="13">
        <v>216</v>
      </c>
    </row>
    <row r="218" spans="1:6" x14ac:dyDescent="0.25">
      <c r="A218" s="16">
        <v>42755</v>
      </c>
      <c r="B218" s="13" t="s">
        <v>57</v>
      </c>
      <c r="C218" s="13">
        <v>35</v>
      </c>
      <c r="D218" s="13">
        <v>3.15</v>
      </c>
      <c r="E218" s="13" t="str">
        <f>IF(ISERROR(VLOOKUP(F218,Magic!H:H,1,0)),IF(ISERROR(VLOOKUP(F218,Magic!T:T,1,0)),"N","Y"),"Y")</f>
        <v>N</v>
      </c>
      <c r="F218" s="13">
        <v>217</v>
      </c>
    </row>
    <row r="219" spans="1:6" x14ac:dyDescent="0.25">
      <c r="A219" s="16">
        <v>42755</v>
      </c>
      <c r="B219" s="13" t="s">
        <v>31</v>
      </c>
      <c r="C219" s="13">
        <v>37</v>
      </c>
      <c r="D219" s="13">
        <v>603.35</v>
      </c>
      <c r="E219" s="13" t="str">
        <f>IF(ISERROR(VLOOKUP(F219,Magic!H:H,1,0)),IF(ISERROR(VLOOKUP(F219,Magic!T:T,1,0)),"N","Y"),"Y")</f>
        <v>N</v>
      </c>
      <c r="F219" s="13">
        <v>218</v>
      </c>
    </row>
    <row r="220" spans="1:6" x14ac:dyDescent="0.25">
      <c r="A220" s="16">
        <v>42755</v>
      </c>
      <c r="B220" s="13" t="s">
        <v>26</v>
      </c>
      <c r="C220" s="13">
        <v>38</v>
      </c>
      <c r="D220" s="13">
        <v>1331.45</v>
      </c>
      <c r="E220" s="13" t="str">
        <f>IF(ISERROR(VLOOKUP(F220,Magic!H:H,1,0)),IF(ISERROR(VLOOKUP(F220,Magic!T:T,1,0)),"N","Y"),"Y")</f>
        <v>N</v>
      </c>
      <c r="F220" s="13">
        <v>219</v>
      </c>
    </row>
    <row r="221" spans="1:6" x14ac:dyDescent="0.25">
      <c r="A221" s="16">
        <v>42755</v>
      </c>
      <c r="B221" s="13" t="s">
        <v>81</v>
      </c>
      <c r="C221" s="13">
        <v>41</v>
      </c>
      <c r="D221" s="13">
        <v>757.3</v>
      </c>
      <c r="E221" s="13" t="str">
        <f>IF(ISERROR(VLOOKUP(F221,Magic!H:H,1,0)),IF(ISERROR(VLOOKUP(F221,Magic!T:T,1,0)),"N","Y"),"Y")</f>
        <v>N</v>
      </c>
      <c r="F221" s="13">
        <v>220</v>
      </c>
    </row>
    <row r="222" spans="1:6" x14ac:dyDescent="0.25">
      <c r="A222" s="16">
        <v>42755</v>
      </c>
      <c r="B222" s="13" t="s">
        <v>24</v>
      </c>
      <c r="C222" s="13">
        <v>43</v>
      </c>
      <c r="D222" s="13">
        <v>759.05</v>
      </c>
      <c r="E222" s="13" t="str">
        <f>IF(ISERROR(VLOOKUP(F222,Magic!H:H,1,0)),IF(ISERROR(VLOOKUP(F222,Magic!T:T,1,0)),"N","Y"),"Y")</f>
        <v>N</v>
      </c>
      <c r="F222" s="13">
        <v>221</v>
      </c>
    </row>
    <row r="223" spans="1:6" x14ac:dyDescent="0.25">
      <c r="A223" s="16">
        <v>42755</v>
      </c>
      <c r="B223" s="13" t="s">
        <v>25</v>
      </c>
      <c r="C223" s="13">
        <v>44</v>
      </c>
      <c r="D223" s="13">
        <v>681.2</v>
      </c>
      <c r="E223" s="13" t="str">
        <f>IF(ISERROR(VLOOKUP(F223,Magic!H:H,1,0)),IF(ISERROR(VLOOKUP(F223,Magic!T:T,1,0)),"N","Y"),"Y")</f>
        <v>N</v>
      </c>
      <c r="F223" s="13">
        <v>222</v>
      </c>
    </row>
    <row r="224" spans="1:6" x14ac:dyDescent="0.25">
      <c r="A224" s="16">
        <v>42755</v>
      </c>
      <c r="B224" s="13" t="s">
        <v>30</v>
      </c>
      <c r="C224" s="13">
        <v>45</v>
      </c>
      <c r="D224" s="13">
        <v>444.3</v>
      </c>
      <c r="E224" s="13" t="str">
        <f>IF(ISERROR(VLOOKUP(F224,Magic!H:H,1,0)),IF(ISERROR(VLOOKUP(F224,Magic!T:T,1,0)),"N","Y"),"Y")</f>
        <v>N</v>
      </c>
      <c r="F224" s="13">
        <v>223</v>
      </c>
    </row>
    <row r="225" spans="1:6" x14ac:dyDescent="0.25">
      <c r="A225" s="16">
        <v>42755</v>
      </c>
      <c r="B225" s="13" t="s">
        <v>30</v>
      </c>
      <c r="C225" s="13">
        <v>45</v>
      </c>
      <c r="D225" s="13">
        <v>1073.2</v>
      </c>
      <c r="E225" s="13" t="str">
        <f>IF(ISERROR(VLOOKUP(F225,Magic!H:H,1,0)),IF(ISERROR(VLOOKUP(F225,Magic!T:T,1,0)),"N","Y"),"Y")</f>
        <v>N</v>
      </c>
      <c r="F225" s="13">
        <v>224</v>
      </c>
    </row>
    <row r="226" spans="1:6" x14ac:dyDescent="0.25">
      <c r="A226" s="16">
        <v>42755</v>
      </c>
      <c r="B226" s="13" t="s">
        <v>27</v>
      </c>
      <c r="C226" s="13">
        <v>101</v>
      </c>
      <c r="D226" s="13">
        <v>780.85</v>
      </c>
      <c r="E226" s="13" t="str">
        <f>IF(ISERROR(VLOOKUP(F226,Magic!H:H,1,0)),IF(ISERROR(VLOOKUP(F226,Magic!T:T,1,0)),"N","Y"),"Y")</f>
        <v>N</v>
      </c>
      <c r="F226" s="13">
        <v>225</v>
      </c>
    </row>
    <row r="227" spans="1:6" x14ac:dyDescent="0.25">
      <c r="A227" s="16">
        <v>42755</v>
      </c>
      <c r="B227" s="13" t="s">
        <v>28</v>
      </c>
      <c r="C227" s="13">
        <v>103</v>
      </c>
      <c r="D227" s="13">
        <v>860</v>
      </c>
      <c r="E227" s="13" t="str">
        <f>IF(ISERROR(VLOOKUP(F227,Magic!H:H,1,0)),IF(ISERROR(VLOOKUP(F227,Magic!T:T,1,0)),"N","Y"),"Y")</f>
        <v>N</v>
      </c>
      <c r="F227" s="13">
        <v>226</v>
      </c>
    </row>
    <row r="228" spans="1:6" x14ac:dyDescent="0.25">
      <c r="A228" s="1">
        <v>42755</v>
      </c>
      <c r="B228" t="s">
        <v>35</v>
      </c>
      <c r="C228">
        <v>104</v>
      </c>
      <c r="D228">
        <v>610</v>
      </c>
      <c r="E228" t="str">
        <f>IF(ISERROR(VLOOKUP(F228,Magic!H:H,1,0)),IF(ISERROR(VLOOKUP(F228,Magic!T:T,1,0)),"N","Y"),"Y")</f>
        <v>N</v>
      </c>
      <c r="F228">
        <v>227</v>
      </c>
    </row>
    <row r="229" spans="1:6" x14ac:dyDescent="0.25">
      <c r="A229" s="1">
        <v>42755</v>
      </c>
      <c r="B229" t="s">
        <v>35</v>
      </c>
      <c r="C229">
        <v>104</v>
      </c>
      <c r="D229">
        <v>250.8</v>
      </c>
      <c r="E229" t="str">
        <f>IF(ISERROR(VLOOKUP(F229,Magic!H:H,1,0)),IF(ISERROR(VLOOKUP(F229,Magic!T:T,1,0)),"N","Y"),"Y")</f>
        <v>N</v>
      </c>
      <c r="F229">
        <v>228</v>
      </c>
    </row>
    <row r="230" spans="1:6" x14ac:dyDescent="0.25">
      <c r="A230" s="16">
        <v>42755</v>
      </c>
      <c r="B230" s="13" t="s">
        <v>35</v>
      </c>
      <c r="C230" s="13">
        <v>104</v>
      </c>
      <c r="D230" s="13">
        <v>974.1</v>
      </c>
      <c r="E230" s="13" t="str">
        <f>IF(ISERROR(VLOOKUP(F230,Magic!H:H,1,0)),IF(ISERROR(VLOOKUP(F230,Magic!T:T,1,0)),"N","Y"),"Y")</f>
        <v>N</v>
      </c>
      <c r="F230" s="13">
        <v>229</v>
      </c>
    </row>
    <row r="231" spans="1:6" x14ac:dyDescent="0.25">
      <c r="A231" s="1">
        <v>42755</v>
      </c>
      <c r="B231" t="s">
        <v>35</v>
      </c>
      <c r="C231">
        <v>104</v>
      </c>
      <c r="D231">
        <v>578.5</v>
      </c>
      <c r="E231" t="str">
        <f>IF(ISERROR(VLOOKUP(F231,Magic!H:H,1,0)),IF(ISERROR(VLOOKUP(F231,Magic!T:T,1,0)),"N","Y"),"Y")</f>
        <v>N</v>
      </c>
      <c r="F231">
        <v>230</v>
      </c>
    </row>
    <row r="232" spans="1:6" x14ac:dyDescent="0.25">
      <c r="A232" s="16">
        <v>42755</v>
      </c>
      <c r="B232" s="13" t="s">
        <v>60</v>
      </c>
      <c r="C232" s="13">
        <v>201</v>
      </c>
      <c r="D232" s="13">
        <v>808</v>
      </c>
      <c r="E232" s="13" t="str">
        <f>IF(ISERROR(VLOOKUP(F232,Magic!H:H,1,0)),IF(ISERROR(VLOOKUP(F232,Magic!T:T,1,0)),"N","Y"),"Y")</f>
        <v>N</v>
      </c>
      <c r="F232" s="13">
        <v>231</v>
      </c>
    </row>
    <row r="233" spans="1:6" x14ac:dyDescent="0.25">
      <c r="A233" s="16">
        <v>42756</v>
      </c>
      <c r="B233" s="13" t="s">
        <v>29</v>
      </c>
      <c r="C233" s="13">
        <v>35</v>
      </c>
      <c r="D233" s="13">
        <v>560</v>
      </c>
      <c r="E233" s="13" t="str">
        <f>IF(ISERROR(VLOOKUP(F233,Magic!H:H,1,0)),IF(ISERROR(VLOOKUP(F233,Magic!T:T,1,0)),"N","Y"),"Y")</f>
        <v>N</v>
      </c>
      <c r="F233" s="13">
        <v>232</v>
      </c>
    </row>
    <row r="234" spans="1:6" x14ac:dyDescent="0.25">
      <c r="A234" s="16">
        <v>42756</v>
      </c>
      <c r="B234" s="13" t="s">
        <v>26</v>
      </c>
      <c r="C234" s="13">
        <v>38</v>
      </c>
      <c r="D234" s="13">
        <v>865</v>
      </c>
      <c r="E234" s="13" t="str">
        <f>IF(ISERROR(VLOOKUP(F234,Magic!H:H,1,0)),IF(ISERROR(VLOOKUP(F234,Magic!T:T,1,0)),"N","Y"),"Y")</f>
        <v>N</v>
      </c>
      <c r="F234" s="13">
        <v>233</v>
      </c>
    </row>
    <row r="235" spans="1:6" x14ac:dyDescent="0.25">
      <c r="A235" s="16">
        <v>42756</v>
      </c>
      <c r="B235" s="13" t="s">
        <v>28</v>
      </c>
      <c r="C235" s="13">
        <v>103</v>
      </c>
      <c r="D235" s="13">
        <v>803.2</v>
      </c>
      <c r="E235" s="13" t="str">
        <f>IF(ISERROR(VLOOKUP(F235,Magic!H:H,1,0)),IF(ISERROR(VLOOKUP(F235,Magic!T:T,1,0)),"N","Y"),"Y")</f>
        <v>N</v>
      </c>
      <c r="F235" s="13">
        <v>234</v>
      </c>
    </row>
    <row r="236" spans="1:6" x14ac:dyDescent="0.25">
      <c r="A236" s="16">
        <v>42757</v>
      </c>
      <c r="B236" s="13" t="s">
        <v>30</v>
      </c>
      <c r="C236" s="13">
        <v>45</v>
      </c>
      <c r="D236" s="13">
        <v>620</v>
      </c>
      <c r="E236" s="13" t="str">
        <f>IF(ISERROR(VLOOKUP(F236,Magic!H:H,1,0)),IF(ISERROR(VLOOKUP(F236,Magic!T:T,1,0)),"N","Y"),"Y")</f>
        <v>N</v>
      </c>
      <c r="F236" s="13">
        <v>235</v>
      </c>
    </row>
    <row r="237" spans="1:6" x14ac:dyDescent="0.25">
      <c r="A237" s="16">
        <v>42757</v>
      </c>
      <c r="B237" s="13" t="s">
        <v>30</v>
      </c>
      <c r="C237" s="13">
        <v>45</v>
      </c>
      <c r="D237" s="13">
        <v>760</v>
      </c>
      <c r="E237" s="13" t="str">
        <f>IF(ISERROR(VLOOKUP(F237,Magic!H:H,1,0)),IF(ISERROR(VLOOKUP(F237,Magic!T:T,1,0)),"N","Y"),"Y")</f>
        <v>N</v>
      </c>
      <c r="F237" s="13">
        <v>236</v>
      </c>
    </row>
    <row r="238" spans="1:6" x14ac:dyDescent="0.25">
      <c r="A238" s="16">
        <v>42758</v>
      </c>
      <c r="B238" s="13" t="s">
        <v>29</v>
      </c>
      <c r="C238" s="13">
        <v>35</v>
      </c>
      <c r="D238" s="13">
        <v>505</v>
      </c>
      <c r="E238" s="13" t="str">
        <f>IF(ISERROR(VLOOKUP(F238,Magic!H:H,1,0)),IF(ISERROR(VLOOKUP(F238,Magic!T:T,1,0)),"N","Y"),"Y")</f>
        <v>N</v>
      </c>
      <c r="F238" s="13">
        <v>237</v>
      </c>
    </row>
    <row r="239" spans="1:6" x14ac:dyDescent="0.25">
      <c r="A239" s="16">
        <v>42758</v>
      </c>
      <c r="B239" s="13" t="s">
        <v>57</v>
      </c>
      <c r="C239" s="13">
        <v>35</v>
      </c>
      <c r="D239" s="13">
        <v>319.25</v>
      </c>
      <c r="E239" s="13" t="str">
        <f>IF(ISERROR(VLOOKUP(F239,Magic!H:H,1,0)),IF(ISERROR(VLOOKUP(F239,Magic!T:T,1,0)),"N","Y"),"Y")</f>
        <v>N</v>
      </c>
      <c r="F239" s="13">
        <v>238</v>
      </c>
    </row>
    <row r="240" spans="1:6" x14ac:dyDescent="0.25">
      <c r="A240" s="16">
        <v>42758</v>
      </c>
      <c r="B240" s="13" t="s">
        <v>57</v>
      </c>
      <c r="C240" s="13">
        <v>35</v>
      </c>
      <c r="D240" s="13">
        <v>3.7</v>
      </c>
      <c r="E240" s="13" t="str">
        <f>IF(ISERROR(VLOOKUP(F240,Magic!H:H,1,0)),IF(ISERROR(VLOOKUP(F240,Magic!T:T,1,0)),"N","Y"),"Y")</f>
        <v>N</v>
      </c>
      <c r="F240" s="13">
        <v>239</v>
      </c>
    </row>
    <row r="241" spans="1:6" x14ac:dyDescent="0.25">
      <c r="A241" s="16">
        <v>42758</v>
      </c>
      <c r="B241" s="13" t="s">
        <v>57</v>
      </c>
      <c r="C241" s="13">
        <v>35</v>
      </c>
      <c r="D241" s="13">
        <v>3.7</v>
      </c>
      <c r="E241" s="13" t="str">
        <f>IF(ISERROR(VLOOKUP(F241,Magic!H:H,1,0)),IF(ISERROR(VLOOKUP(F241,Magic!T:T,1,0)),"N","Y"),"Y")</f>
        <v>N</v>
      </c>
      <c r="F241" s="13">
        <v>240</v>
      </c>
    </row>
    <row r="242" spans="1:6" x14ac:dyDescent="0.25">
      <c r="A242" s="16">
        <v>42758</v>
      </c>
      <c r="B242" s="13" t="s">
        <v>31</v>
      </c>
      <c r="C242" s="13">
        <v>37</v>
      </c>
      <c r="D242" s="13">
        <v>463.9</v>
      </c>
      <c r="E242" s="13" t="str">
        <f>IF(ISERROR(VLOOKUP(F242,Magic!H:H,1,0)),IF(ISERROR(VLOOKUP(F242,Magic!T:T,1,0)),"N","Y"),"Y")</f>
        <v>N</v>
      </c>
      <c r="F242" s="13">
        <v>241</v>
      </c>
    </row>
    <row r="243" spans="1:6" x14ac:dyDescent="0.25">
      <c r="A243" s="16">
        <v>42758</v>
      </c>
      <c r="B243" s="13" t="s">
        <v>31</v>
      </c>
      <c r="C243" s="13">
        <v>37</v>
      </c>
      <c r="D243" s="13">
        <v>907.8</v>
      </c>
      <c r="E243" s="13" t="str">
        <f>IF(ISERROR(VLOOKUP(F243,Magic!H:H,1,0)),IF(ISERROR(VLOOKUP(F243,Magic!T:T,1,0)),"N","Y"),"Y")</f>
        <v>N</v>
      </c>
      <c r="F243" s="13">
        <v>242</v>
      </c>
    </row>
    <row r="244" spans="1:6" x14ac:dyDescent="0.25">
      <c r="A244" s="16">
        <v>42758</v>
      </c>
      <c r="B244" s="13" t="s">
        <v>31</v>
      </c>
      <c r="C244" s="13">
        <v>37</v>
      </c>
      <c r="D244" s="13">
        <v>376.65</v>
      </c>
      <c r="E244" s="13" t="str">
        <f>IF(ISERROR(VLOOKUP(F244,Magic!H:H,1,0)),IF(ISERROR(VLOOKUP(F244,Magic!T:T,1,0)),"N","Y"),"Y")</f>
        <v>N</v>
      </c>
      <c r="F244" s="13">
        <v>243</v>
      </c>
    </row>
    <row r="245" spans="1:6" x14ac:dyDescent="0.25">
      <c r="A245" s="16">
        <v>42758</v>
      </c>
      <c r="B245" s="13" t="s">
        <v>26</v>
      </c>
      <c r="C245" s="13">
        <v>38</v>
      </c>
      <c r="D245" s="13">
        <v>3.5</v>
      </c>
      <c r="E245" s="13" t="str">
        <f>IF(ISERROR(VLOOKUP(F245,Magic!H:H,1,0)),IF(ISERROR(VLOOKUP(F245,Magic!T:T,1,0)),"N","Y"),"Y")</f>
        <v>N</v>
      </c>
      <c r="F245" s="13">
        <v>244</v>
      </c>
    </row>
    <row r="246" spans="1:6" x14ac:dyDescent="0.25">
      <c r="A246" s="16">
        <v>42758</v>
      </c>
      <c r="B246" s="13" t="s">
        <v>26</v>
      </c>
      <c r="C246" s="13">
        <v>38</v>
      </c>
      <c r="D246" s="13">
        <v>827.45</v>
      </c>
      <c r="E246" s="13" t="str">
        <f>IF(ISERROR(VLOOKUP(F246,Magic!H:H,1,0)),IF(ISERROR(VLOOKUP(F246,Magic!T:T,1,0)),"N","Y"),"Y")</f>
        <v>N</v>
      </c>
      <c r="F246" s="13">
        <v>245</v>
      </c>
    </row>
    <row r="247" spans="1:6" x14ac:dyDescent="0.25">
      <c r="A247" s="16">
        <v>42758</v>
      </c>
      <c r="B247" s="13" t="s">
        <v>26</v>
      </c>
      <c r="C247" s="13">
        <v>38</v>
      </c>
      <c r="D247" s="13">
        <v>725.85</v>
      </c>
      <c r="E247" s="13" t="str">
        <f>IF(ISERROR(VLOOKUP(F247,Magic!H:H,1,0)),IF(ISERROR(VLOOKUP(F247,Magic!T:T,1,0)),"N","Y"),"Y")</f>
        <v>N</v>
      </c>
      <c r="F247" s="13">
        <v>246</v>
      </c>
    </row>
    <row r="248" spans="1:6" x14ac:dyDescent="0.25">
      <c r="A248" s="16">
        <v>42758</v>
      </c>
      <c r="B248" s="13" t="s">
        <v>81</v>
      </c>
      <c r="C248" s="13">
        <v>41</v>
      </c>
      <c r="D248" s="13">
        <v>531.54999999999995</v>
      </c>
      <c r="E248" s="13" t="str">
        <f>IF(ISERROR(VLOOKUP(F248,Magic!H:H,1,0)),IF(ISERROR(VLOOKUP(F248,Magic!T:T,1,0)),"N","Y"),"Y")</f>
        <v>N</v>
      </c>
      <c r="F248" s="13">
        <v>247</v>
      </c>
    </row>
    <row r="249" spans="1:6" x14ac:dyDescent="0.25">
      <c r="A249" s="16">
        <v>42758</v>
      </c>
      <c r="B249" s="13" t="s">
        <v>81</v>
      </c>
      <c r="C249" s="13">
        <v>41</v>
      </c>
      <c r="D249" s="13">
        <v>204.25</v>
      </c>
      <c r="E249" s="13" t="str">
        <f>IF(ISERROR(VLOOKUP(F249,Magic!H:H,1,0)),IF(ISERROR(VLOOKUP(F249,Magic!T:T,1,0)),"N","Y"),"Y")</f>
        <v>N</v>
      </c>
      <c r="F249" s="13">
        <v>248</v>
      </c>
    </row>
    <row r="250" spans="1:6" x14ac:dyDescent="0.25">
      <c r="A250" s="16">
        <v>42758</v>
      </c>
      <c r="B250" s="13" t="s">
        <v>81</v>
      </c>
      <c r="C250" s="13">
        <v>41</v>
      </c>
      <c r="D250" s="13">
        <v>344.05</v>
      </c>
      <c r="E250" s="13" t="str">
        <f>IF(ISERROR(VLOOKUP(F250,Magic!H:H,1,0)),IF(ISERROR(VLOOKUP(F250,Magic!T:T,1,0)),"N","Y"),"Y")</f>
        <v>N</v>
      </c>
      <c r="F250" s="13">
        <v>249</v>
      </c>
    </row>
    <row r="251" spans="1:6" x14ac:dyDescent="0.25">
      <c r="A251" s="16">
        <v>42758</v>
      </c>
      <c r="B251" s="13" t="s">
        <v>24</v>
      </c>
      <c r="C251" s="13">
        <v>43</v>
      </c>
      <c r="D251" s="13">
        <v>527.79999999999995</v>
      </c>
      <c r="E251" s="13" t="str">
        <f>IF(ISERROR(VLOOKUP(F251,Magic!H:H,1,0)),IF(ISERROR(VLOOKUP(F251,Magic!T:T,1,0)),"N","Y"),"Y")</f>
        <v>N</v>
      </c>
      <c r="F251" s="13">
        <v>250</v>
      </c>
    </row>
    <row r="252" spans="1:6" x14ac:dyDescent="0.25">
      <c r="A252" s="16">
        <v>42758</v>
      </c>
      <c r="B252" s="13" t="s">
        <v>24</v>
      </c>
      <c r="C252" s="13">
        <v>43</v>
      </c>
      <c r="D252" s="13">
        <v>484.9</v>
      </c>
      <c r="E252" s="13" t="str">
        <f>IF(ISERROR(VLOOKUP(F252,Magic!H:H,1,0)),IF(ISERROR(VLOOKUP(F252,Magic!T:T,1,0)),"N","Y"),"Y")</f>
        <v>N</v>
      </c>
      <c r="F252" s="13">
        <v>251</v>
      </c>
    </row>
    <row r="253" spans="1:6" x14ac:dyDescent="0.25">
      <c r="A253" s="16">
        <v>42758</v>
      </c>
      <c r="B253" s="13" t="s">
        <v>24</v>
      </c>
      <c r="C253" s="13">
        <v>43</v>
      </c>
      <c r="D253" s="13">
        <v>372</v>
      </c>
      <c r="E253" s="13" t="str">
        <f>IF(ISERROR(VLOOKUP(F253,Magic!H:H,1,0)),IF(ISERROR(VLOOKUP(F253,Magic!T:T,1,0)),"N","Y"),"Y")</f>
        <v>N</v>
      </c>
      <c r="F253" s="13">
        <v>252</v>
      </c>
    </row>
    <row r="254" spans="1:6" x14ac:dyDescent="0.25">
      <c r="A254" s="16">
        <v>42758</v>
      </c>
      <c r="B254" s="13" t="s">
        <v>25</v>
      </c>
      <c r="C254" s="13">
        <v>44</v>
      </c>
      <c r="D254" s="13">
        <v>416.9</v>
      </c>
      <c r="E254" s="13" t="str">
        <f>IF(ISERROR(VLOOKUP(F254,Magic!H:H,1,0)),IF(ISERROR(VLOOKUP(F254,Magic!T:T,1,0)),"N","Y"),"Y")</f>
        <v>N</v>
      </c>
      <c r="F254" s="13">
        <v>253</v>
      </c>
    </row>
    <row r="255" spans="1:6" x14ac:dyDescent="0.25">
      <c r="A255" s="16">
        <v>42758</v>
      </c>
      <c r="B255" s="13" t="s">
        <v>25</v>
      </c>
      <c r="C255" s="13">
        <v>44</v>
      </c>
      <c r="D255" s="13">
        <v>118.85</v>
      </c>
      <c r="E255" s="13" t="str">
        <f>IF(ISERROR(VLOOKUP(F255,Magic!H:H,1,0)),IF(ISERROR(VLOOKUP(F255,Magic!T:T,1,0)),"N","Y"),"Y")</f>
        <v>N</v>
      </c>
      <c r="F255" s="13">
        <v>254</v>
      </c>
    </row>
    <row r="256" spans="1:6" x14ac:dyDescent="0.25">
      <c r="A256" s="16">
        <v>42758</v>
      </c>
      <c r="B256" s="13" t="s">
        <v>25</v>
      </c>
      <c r="C256" s="13">
        <v>44</v>
      </c>
      <c r="D256" s="13">
        <v>381.55</v>
      </c>
      <c r="E256" s="13" t="str">
        <f>IF(ISERROR(VLOOKUP(F256,Magic!H:H,1,0)),IF(ISERROR(VLOOKUP(F256,Magic!T:T,1,0)),"N","Y"),"Y")</f>
        <v>N</v>
      </c>
      <c r="F256" s="13">
        <v>255</v>
      </c>
    </row>
    <row r="257" spans="1:6" x14ac:dyDescent="0.25">
      <c r="A257" s="16">
        <v>42758</v>
      </c>
      <c r="B257" s="13" t="s">
        <v>30</v>
      </c>
      <c r="C257" s="13">
        <v>45</v>
      </c>
      <c r="D257" s="13">
        <v>1.7</v>
      </c>
      <c r="E257" s="13" t="str">
        <f>IF(ISERROR(VLOOKUP(F257,Magic!H:H,1,0)),IF(ISERROR(VLOOKUP(F257,Magic!T:T,1,0)),"N","Y"),"Y")</f>
        <v>N</v>
      </c>
      <c r="F257" s="13">
        <v>256</v>
      </c>
    </row>
    <row r="258" spans="1:6" x14ac:dyDescent="0.25">
      <c r="A258" s="16">
        <v>42758</v>
      </c>
      <c r="B258" s="13" t="s">
        <v>30</v>
      </c>
      <c r="C258" s="13">
        <v>45</v>
      </c>
      <c r="D258" s="13">
        <v>3.8</v>
      </c>
      <c r="E258" s="13" t="str">
        <f>IF(ISERROR(VLOOKUP(F258,Magic!H:H,1,0)),IF(ISERROR(VLOOKUP(F258,Magic!T:T,1,0)),"N","Y"),"Y")</f>
        <v>N</v>
      </c>
      <c r="F258" s="13">
        <v>257</v>
      </c>
    </row>
    <row r="259" spans="1:6" x14ac:dyDescent="0.25">
      <c r="A259" s="16">
        <v>42758</v>
      </c>
      <c r="B259" s="13" t="s">
        <v>27</v>
      </c>
      <c r="C259" s="13">
        <v>101</v>
      </c>
      <c r="D259" s="13">
        <v>609.29999999999995</v>
      </c>
      <c r="E259" s="13" t="str">
        <f>IF(ISERROR(VLOOKUP(F259,Magic!H:H,1,0)),IF(ISERROR(VLOOKUP(F259,Magic!T:T,1,0)),"N","Y"),"Y")</f>
        <v>N</v>
      </c>
      <c r="F259" s="13">
        <v>258</v>
      </c>
    </row>
    <row r="260" spans="1:6" x14ac:dyDescent="0.25">
      <c r="A260" s="16">
        <v>42758</v>
      </c>
      <c r="B260" s="13" t="s">
        <v>27</v>
      </c>
      <c r="C260" s="13">
        <v>101</v>
      </c>
      <c r="D260" s="13">
        <v>589.45000000000005</v>
      </c>
      <c r="E260" s="13" t="str">
        <f>IF(ISERROR(VLOOKUP(F260,Magic!H:H,1,0)),IF(ISERROR(VLOOKUP(F260,Magic!T:T,1,0)),"N","Y"),"Y")</f>
        <v>N</v>
      </c>
      <c r="F260" s="13">
        <v>259</v>
      </c>
    </row>
    <row r="261" spans="1:6" x14ac:dyDescent="0.25">
      <c r="A261" s="16">
        <v>42758</v>
      </c>
      <c r="B261" s="13" t="s">
        <v>27</v>
      </c>
      <c r="C261" s="13">
        <v>101</v>
      </c>
      <c r="D261" s="13">
        <v>295.45</v>
      </c>
      <c r="E261" s="13" t="str">
        <f>IF(ISERROR(VLOOKUP(F261,Magic!H:H,1,0)),IF(ISERROR(VLOOKUP(F261,Magic!T:T,1,0)),"N","Y"),"Y")</f>
        <v>N</v>
      </c>
      <c r="F261" s="13">
        <v>260</v>
      </c>
    </row>
    <row r="262" spans="1:6" x14ac:dyDescent="0.25">
      <c r="A262" s="16">
        <v>42758</v>
      </c>
      <c r="B262" s="13" t="s">
        <v>28</v>
      </c>
      <c r="C262" s="13">
        <v>103</v>
      </c>
      <c r="D262" s="13">
        <v>485.45</v>
      </c>
      <c r="E262" s="13" t="str">
        <f>IF(ISERROR(VLOOKUP(F262,Magic!H:H,1,0)),IF(ISERROR(VLOOKUP(F262,Magic!T:T,1,0)),"N","Y"),"Y")</f>
        <v>N</v>
      </c>
      <c r="F262" s="13">
        <v>261</v>
      </c>
    </row>
    <row r="263" spans="1:6" x14ac:dyDescent="0.25">
      <c r="A263" s="16">
        <v>42758</v>
      </c>
      <c r="B263" s="13" t="s">
        <v>28</v>
      </c>
      <c r="C263" s="13">
        <v>103</v>
      </c>
      <c r="D263" s="13">
        <v>1221.75</v>
      </c>
      <c r="E263" s="13" t="str">
        <f>IF(ISERROR(VLOOKUP(F263,Magic!H:H,1,0)),IF(ISERROR(VLOOKUP(F263,Magic!T:T,1,0)),"N","Y"),"Y")</f>
        <v>N</v>
      </c>
      <c r="F263" s="13">
        <v>262</v>
      </c>
    </row>
    <row r="264" spans="1:6" x14ac:dyDescent="0.25">
      <c r="A264" s="16">
        <v>42758</v>
      </c>
      <c r="B264" s="13" t="s">
        <v>60</v>
      </c>
      <c r="C264" s="13">
        <v>201</v>
      </c>
      <c r="D264" s="13">
        <v>481.7</v>
      </c>
      <c r="E264" s="13" t="str">
        <f>IF(ISERROR(VLOOKUP(F264,Magic!H:H,1,0)),IF(ISERROR(VLOOKUP(F264,Magic!T:T,1,0)),"N","Y"),"Y")</f>
        <v>N</v>
      </c>
      <c r="F264" s="13">
        <v>263</v>
      </c>
    </row>
    <row r="265" spans="1:6" x14ac:dyDescent="0.25">
      <c r="A265" s="16">
        <v>42758</v>
      </c>
      <c r="B265" s="13" t="s">
        <v>60</v>
      </c>
      <c r="C265" s="13">
        <v>201</v>
      </c>
      <c r="D265" s="13">
        <v>244.7</v>
      </c>
      <c r="E265" s="13" t="str">
        <f>IF(ISERROR(VLOOKUP(F265,Magic!H:H,1,0)),IF(ISERROR(VLOOKUP(F265,Magic!T:T,1,0)),"N","Y"),"Y")</f>
        <v>N</v>
      </c>
      <c r="F265" s="13">
        <v>264</v>
      </c>
    </row>
    <row r="266" spans="1:6" x14ac:dyDescent="0.25">
      <c r="A266" s="16">
        <v>42758</v>
      </c>
      <c r="B266" s="13" t="s">
        <v>60</v>
      </c>
      <c r="C266" s="13">
        <v>201</v>
      </c>
      <c r="D266" s="13">
        <v>869.2</v>
      </c>
      <c r="E266" s="13" t="str">
        <f>IF(ISERROR(VLOOKUP(F266,Magic!H:H,1,0)),IF(ISERROR(VLOOKUP(F266,Magic!T:T,1,0)),"N","Y"),"Y")</f>
        <v>N</v>
      </c>
      <c r="F266" s="13">
        <v>265</v>
      </c>
    </row>
    <row r="267" spans="1:6" x14ac:dyDescent="0.25">
      <c r="A267" s="16">
        <v>42759</v>
      </c>
      <c r="B267" s="13" t="s">
        <v>29</v>
      </c>
      <c r="C267" s="13">
        <v>35</v>
      </c>
      <c r="D267" s="13">
        <v>530</v>
      </c>
      <c r="E267" s="13" t="str">
        <f>IF(ISERROR(VLOOKUP(F267,Magic!H:H,1,0)),IF(ISERROR(VLOOKUP(F267,Magic!T:T,1,0)),"N","Y"),"Y")</f>
        <v>N</v>
      </c>
      <c r="F267" s="13">
        <v>266</v>
      </c>
    </row>
    <row r="268" spans="1:6" x14ac:dyDescent="0.25">
      <c r="A268" s="16">
        <v>42759</v>
      </c>
      <c r="B268" s="13" t="s">
        <v>82</v>
      </c>
      <c r="C268" s="13">
        <v>35</v>
      </c>
      <c r="D268" s="13">
        <v>9.15</v>
      </c>
      <c r="E268" s="13" t="str">
        <f>IF(ISERROR(VLOOKUP(F268,Magic!H:H,1,0)),IF(ISERROR(VLOOKUP(F268,Magic!T:T,1,0)),"N","Y"),"Y")</f>
        <v>N</v>
      </c>
      <c r="F268" s="13">
        <v>267</v>
      </c>
    </row>
    <row r="269" spans="1:6" x14ac:dyDescent="0.25">
      <c r="A269" s="16">
        <v>42759</v>
      </c>
      <c r="B269" s="13" t="s">
        <v>146</v>
      </c>
      <c r="C269" s="13">
        <v>37</v>
      </c>
      <c r="D269" s="13">
        <v>568.6</v>
      </c>
      <c r="E269" s="13" t="str">
        <f>IF(ISERROR(VLOOKUP(F269,Magic!H:H,1,0)),IF(ISERROR(VLOOKUP(F269,Magic!T:T,1,0)),"N","Y"),"Y")</f>
        <v>N</v>
      </c>
      <c r="F269" s="13">
        <v>268</v>
      </c>
    </row>
    <row r="270" spans="1:6" x14ac:dyDescent="0.25">
      <c r="A270" s="16">
        <v>42759</v>
      </c>
      <c r="B270" s="13" t="s">
        <v>26</v>
      </c>
      <c r="C270" s="13">
        <v>38</v>
      </c>
      <c r="D270" s="13">
        <v>560</v>
      </c>
      <c r="E270" s="13" t="str">
        <f>IF(ISERROR(VLOOKUP(F270,Magic!H:H,1,0)),IF(ISERROR(VLOOKUP(F270,Magic!T:T,1,0)),"N","Y"),"Y")</f>
        <v>N</v>
      </c>
      <c r="F270" s="13">
        <v>269</v>
      </c>
    </row>
    <row r="271" spans="1:6" x14ac:dyDescent="0.25">
      <c r="A271" s="16">
        <v>42759</v>
      </c>
      <c r="B271" s="13" t="s">
        <v>81</v>
      </c>
      <c r="C271" s="13">
        <v>41</v>
      </c>
      <c r="D271" s="13">
        <v>424.1</v>
      </c>
      <c r="E271" s="13" t="str">
        <f>IF(ISERROR(VLOOKUP(F271,Magic!H:H,1,0)),IF(ISERROR(VLOOKUP(F271,Magic!T:T,1,0)),"N","Y"),"Y")</f>
        <v>N</v>
      </c>
      <c r="F271" s="13">
        <v>270</v>
      </c>
    </row>
    <row r="272" spans="1:6" x14ac:dyDescent="0.25">
      <c r="A272" s="16">
        <v>42759</v>
      </c>
      <c r="B272" s="13" t="s">
        <v>24</v>
      </c>
      <c r="C272" s="13">
        <v>43</v>
      </c>
      <c r="D272" s="13">
        <v>409</v>
      </c>
      <c r="E272" s="13" t="str">
        <f>IF(ISERROR(VLOOKUP(F272,Magic!H:H,1,0)),IF(ISERROR(VLOOKUP(F272,Magic!T:T,1,0)),"N","Y"),"Y")</f>
        <v>N</v>
      </c>
      <c r="F272" s="13">
        <v>271</v>
      </c>
    </row>
    <row r="273" spans="1:6" x14ac:dyDescent="0.25">
      <c r="A273" s="16">
        <v>42759</v>
      </c>
      <c r="B273" s="13" t="s">
        <v>25</v>
      </c>
      <c r="C273" s="13">
        <v>44</v>
      </c>
      <c r="D273" s="13">
        <v>490.6</v>
      </c>
      <c r="E273" s="13" t="str">
        <f>IF(ISERROR(VLOOKUP(F273,Magic!H:H,1,0)),IF(ISERROR(VLOOKUP(F273,Magic!T:T,1,0)),"N","Y"),"Y")</f>
        <v>N</v>
      </c>
      <c r="F273" s="13">
        <v>272</v>
      </c>
    </row>
    <row r="274" spans="1:6" x14ac:dyDescent="0.25">
      <c r="A274" s="16">
        <v>42759</v>
      </c>
      <c r="B274" s="13" t="s">
        <v>123</v>
      </c>
      <c r="C274" s="13">
        <v>45</v>
      </c>
      <c r="D274" s="13">
        <v>640</v>
      </c>
      <c r="E274" s="13" t="str">
        <f>IF(ISERROR(VLOOKUP(F274,Magic!H:H,1,0)),IF(ISERROR(VLOOKUP(F274,Magic!T:T,1,0)),"N","Y"),"Y")</f>
        <v>N</v>
      </c>
      <c r="F274" s="13">
        <v>273</v>
      </c>
    </row>
    <row r="275" spans="1:6" x14ac:dyDescent="0.25">
      <c r="A275" s="16">
        <v>42759</v>
      </c>
      <c r="B275" s="13" t="s">
        <v>30</v>
      </c>
      <c r="C275" s="13">
        <v>45</v>
      </c>
      <c r="D275" s="13">
        <v>543.79999999999995</v>
      </c>
      <c r="E275" s="13" t="str">
        <f>IF(ISERROR(VLOOKUP(F275,Magic!H:H,1,0)),IF(ISERROR(VLOOKUP(F275,Magic!T:T,1,0)),"N","Y"),"Y")</f>
        <v>N</v>
      </c>
      <c r="F275" s="13">
        <v>274</v>
      </c>
    </row>
    <row r="276" spans="1:6" x14ac:dyDescent="0.25">
      <c r="A276" s="16">
        <v>42759</v>
      </c>
      <c r="B276" s="13" t="s">
        <v>27</v>
      </c>
      <c r="C276" s="13">
        <v>101</v>
      </c>
      <c r="D276" s="13">
        <v>349.65</v>
      </c>
      <c r="E276" s="13" t="str">
        <f>IF(ISERROR(VLOOKUP(F276,Magic!H:H,1,0)),IF(ISERROR(VLOOKUP(F276,Magic!T:T,1,0)),"N","Y"),"Y")</f>
        <v>N</v>
      </c>
      <c r="F276" s="13">
        <v>275</v>
      </c>
    </row>
    <row r="277" spans="1:6" x14ac:dyDescent="0.25">
      <c r="A277" s="16">
        <v>42759</v>
      </c>
      <c r="B277" s="13" t="s">
        <v>28</v>
      </c>
      <c r="C277" s="13">
        <v>103</v>
      </c>
      <c r="D277" s="13">
        <v>1090.9000000000001</v>
      </c>
      <c r="E277" s="13" t="str">
        <f>IF(ISERROR(VLOOKUP(F277,Magic!H:H,1,0)),IF(ISERROR(VLOOKUP(F277,Magic!T:T,1,0)),"N","Y"),"Y")</f>
        <v>N</v>
      </c>
      <c r="F277" s="13">
        <v>276</v>
      </c>
    </row>
    <row r="278" spans="1:6" x14ac:dyDescent="0.25">
      <c r="A278" s="16">
        <v>42760</v>
      </c>
      <c r="B278" s="13" t="s">
        <v>29</v>
      </c>
      <c r="C278" s="13">
        <v>35</v>
      </c>
      <c r="D278" s="13">
        <v>970</v>
      </c>
      <c r="E278" s="13" t="str">
        <f>IF(ISERROR(VLOOKUP(F278,Magic!H:H,1,0)),IF(ISERROR(VLOOKUP(F278,Magic!T:T,1,0)),"N","Y"),"Y")</f>
        <v>N</v>
      </c>
      <c r="F278" s="13">
        <v>277</v>
      </c>
    </row>
    <row r="279" spans="1:6" x14ac:dyDescent="0.25">
      <c r="A279" s="16">
        <v>42760</v>
      </c>
      <c r="B279" s="13" t="s">
        <v>82</v>
      </c>
      <c r="C279" s="13">
        <v>35</v>
      </c>
      <c r="D279" s="13">
        <v>0.9</v>
      </c>
      <c r="E279" s="13" t="str">
        <f>IF(ISERROR(VLOOKUP(F279,Magic!H:H,1,0)),IF(ISERROR(VLOOKUP(F279,Magic!T:T,1,0)),"N","Y"),"Y")</f>
        <v>N</v>
      </c>
      <c r="F279" s="13">
        <v>278</v>
      </c>
    </row>
    <row r="280" spans="1:6" x14ac:dyDescent="0.25">
      <c r="A280" s="16">
        <v>42760</v>
      </c>
      <c r="B280" s="13" t="s">
        <v>146</v>
      </c>
      <c r="C280" s="13">
        <v>37</v>
      </c>
      <c r="D280" s="13">
        <v>455.2</v>
      </c>
      <c r="E280" s="13" t="str">
        <f>IF(ISERROR(VLOOKUP(F280,Magic!H:H,1,0)),IF(ISERROR(VLOOKUP(F280,Magic!T:T,1,0)),"N","Y"),"Y")</f>
        <v>N</v>
      </c>
      <c r="F280" s="13">
        <v>279</v>
      </c>
    </row>
    <row r="281" spans="1:6" x14ac:dyDescent="0.25">
      <c r="A281" s="16">
        <v>42760</v>
      </c>
      <c r="B281" s="13" t="s">
        <v>26</v>
      </c>
      <c r="C281" s="13">
        <v>38</v>
      </c>
      <c r="D281" s="13">
        <v>45.35</v>
      </c>
      <c r="E281" s="13" t="str">
        <f>IF(ISERROR(VLOOKUP(F281,Magic!H:H,1,0)),IF(ISERROR(VLOOKUP(F281,Magic!T:T,1,0)),"N","Y"),"Y")</f>
        <v>N</v>
      </c>
      <c r="F281" s="13">
        <v>280</v>
      </c>
    </row>
    <row r="282" spans="1:6" x14ac:dyDescent="0.25">
      <c r="A282" s="16">
        <v>42760</v>
      </c>
      <c r="B282" s="13" t="s">
        <v>24</v>
      </c>
      <c r="C282" s="13">
        <v>43</v>
      </c>
      <c r="D282" s="13">
        <v>392.55</v>
      </c>
      <c r="E282" s="13" t="str">
        <f>IF(ISERROR(VLOOKUP(F282,Magic!H:H,1,0)),IF(ISERROR(VLOOKUP(F282,Magic!T:T,1,0)),"N","Y"),"Y")</f>
        <v>N</v>
      </c>
      <c r="F282" s="13">
        <v>281</v>
      </c>
    </row>
    <row r="283" spans="1:6" x14ac:dyDescent="0.25">
      <c r="A283" s="16">
        <v>42760</v>
      </c>
      <c r="B283" s="13" t="s">
        <v>25</v>
      </c>
      <c r="C283" s="13">
        <v>44</v>
      </c>
      <c r="D283" s="13">
        <v>440.45</v>
      </c>
      <c r="E283" s="13" t="str">
        <f>IF(ISERROR(VLOOKUP(F283,Magic!H:H,1,0)),IF(ISERROR(VLOOKUP(F283,Magic!T:T,1,0)),"N","Y"),"Y")</f>
        <v>N</v>
      </c>
      <c r="F283" s="13">
        <v>282</v>
      </c>
    </row>
    <row r="284" spans="1:6" x14ac:dyDescent="0.25">
      <c r="A284" s="16">
        <v>42760</v>
      </c>
      <c r="B284" s="13" t="s">
        <v>30</v>
      </c>
      <c r="C284" s="13">
        <v>45</v>
      </c>
      <c r="D284" s="13">
        <v>2.2000000000000002</v>
      </c>
      <c r="E284" s="13" t="str">
        <f>IF(ISERROR(VLOOKUP(F284,Magic!H:H,1,0)),IF(ISERROR(VLOOKUP(F284,Magic!T:T,1,0)),"N","Y"),"Y")</f>
        <v>N</v>
      </c>
      <c r="F284" s="13">
        <v>283</v>
      </c>
    </row>
    <row r="285" spans="1:6" x14ac:dyDescent="0.25">
      <c r="A285" s="16">
        <v>42760</v>
      </c>
      <c r="B285" s="13" t="s">
        <v>27</v>
      </c>
      <c r="C285" s="13">
        <v>101</v>
      </c>
      <c r="D285" s="13">
        <v>370.5</v>
      </c>
      <c r="E285" s="13" t="str">
        <f>IF(ISERROR(VLOOKUP(F285,Magic!H:H,1,0)),IF(ISERROR(VLOOKUP(F285,Magic!T:T,1,0)),"N","Y"),"Y")</f>
        <v>N</v>
      </c>
      <c r="F285" s="13">
        <v>284</v>
      </c>
    </row>
    <row r="286" spans="1:6" x14ac:dyDescent="0.25">
      <c r="A286" s="16">
        <v>42760</v>
      </c>
      <c r="B286" s="13" t="s">
        <v>28</v>
      </c>
      <c r="C286" s="13">
        <v>103</v>
      </c>
      <c r="D286" s="13">
        <v>1017.05</v>
      </c>
      <c r="E286" s="13" t="str">
        <f>IF(ISERROR(VLOOKUP(F286,Magic!H:H,1,0)),IF(ISERROR(VLOOKUP(F286,Magic!T:T,1,0)),"N","Y"),"Y")</f>
        <v>N</v>
      </c>
      <c r="F286" s="13">
        <v>285</v>
      </c>
    </row>
    <row r="287" spans="1:6" x14ac:dyDescent="0.25">
      <c r="A287" s="16">
        <v>42760</v>
      </c>
      <c r="B287" s="13" t="s">
        <v>60</v>
      </c>
      <c r="C287" s="13">
        <v>201</v>
      </c>
      <c r="D287" s="13">
        <v>531.29999999999995</v>
      </c>
      <c r="E287" s="13" t="str">
        <f>IF(ISERROR(VLOOKUP(F287,Magic!H:H,1,0)),IF(ISERROR(VLOOKUP(F287,Magic!T:T,1,0)),"N","Y"),"Y")</f>
        <v>N</v>
      </c>
      <c r="F287" s="13">
        <v>286</v>
      </c>
    </row>
    <row r="288" spans="1:6" x14ac:dyDescent="0.25">
      <c r="A288" s="16">
        <v>42760</v>
      </c>
      <c r="B288" s="13" t="s">
        <v>60</v>
      </c>
      <c r="C288" s="13">
        <v>201</v>
      </c>
      <c r="D288" s="13">
        <v>417.1</v>
      </c>
      <c r="E288" s="13" t="str">
        <f>IF(ISERROR(VLOOKUP(F288,Magic!H:H,1,0)),IF(ISERROR(VLOOKUP(F288,Magic!T:T,1,0)),"N","Y"),"Y")</f>
        <v>N</v>
      </c>
      <c r="F288" s="13">
        <v>287</v>
      </c>
    </row>
    <row r="289" spans="1:6" x14ac:dyDescent="0.25">
      <c r="A289" s="16">
        <v>42764</v>
      </c>
      <c r="B289" s="13" t="s">
        <v>30</v>
      </c>
      <c r="C289" s="13">
        <v>45</v>
      </c>
      <c r="D289" s="13">
        <v>360</v>
      </c>
      <c r="E289" s="13" t="str">
        <f>IF(ISERROR(VLOOKUP(F289,Magic!H:H,1,0)),IF(ISERROR(VLOOKUP(F289,Magic!T:T,1,0)),"N","Y"),"Y")</f>
        <v>N</v>
      </c>
      <c r="F289" s="13">
        <v>288</v>
      </c>
    </row>
    <row r="290" spans="1:6" x14ac:dyDescent="0.25">
      <c r="A290" s="16">
        <v>42762</v>
      </c>
      <c r="B290" s="13" t="s">
        <v>29</v>
      </c>
      <c r="C290" s="13">
        <v>35</v>
      </c>
      <c r="D290" s="13">
        <v>550</v>
      </c>
      <c r="E290" s="13" t="str">
        <f>IF(ISERROR(VLOOKUP(F290,Magic!H:H,1,0)),IF(ISERROR(VLOOKUP(F290,Magic!T:T,1,0)),"N","Y"),"Y")</f>
        <v>N</v>
      </c>
      <c r="F290" s="13">
        <v>289</v>
      </c>
    </row>
    <row r="291" spans="1:6" x14ac:dyDescent="0.25">
      <c r="A291" s="16">
        <v>42762</v>
      </c>
      <c r="B291" s="13" t="s">
        <v>31</v>
      </c>
      <c r="C291" s="13">
        <v>37</v>
      </c>
      <c r="D291" s="13">
        <v>744.25</v>
      </c>
      <c r="E291" s="13" t="str">
        <f>IF(ISERROR(VLOOKUP(F291,Magic!H:H,1,0)),IF(ISERROR(VLOOKUP(F291,Magic!T:T,1,0)),"N","Y"),"Y")</f>
        <v>N</v>
      </c>
      <c r="F291" s="13">
        <v>290</v>
      </c>
    </row>
    <row r="292" spans="1:6" x14ac:dyDescent="0.25">
      <c r="A292" s="16">
        <v>42762</v>
      </c>
      <c r="B292" s="13" t="s">
        <v>31</v>
      </c>
      <c r="C292" s="13">
        <v>37</v>
      </c>
      <c r="D292" s="13">
        <v>244.55</v>
      </c>
      <c r="E292" s="13" t="str">
        <f>IF(ISERROR(VLOOKUP(F292,Magic!H:H,1,0)),IF(ISERROR(VLOOKUP(F292,Magic!T:T,1,0)),"N","Y"),"Y")</f>
        <v>N</v>
      </c>
      <c r="F292" s="13">
        <v>291</v>
      </c>
    </row>
    <row r="293" spans="1:6" x14ac:dyDescent="0.25">
      <c r="A293" s="16">
        <v>42762</v>
      </c>
      <c r="B293" s="13" t="s">
        <v>26</v>
      </c>
      <c r="C293" s="13">
        <v>38</v>
      </c>
      <c r="D293" s="13">
        <v>100</v>
      </c>
      <c r="E293" s="13" t="str">
        <f>IF(ISERROR(VLOOKUP(F293,Magic!H:H,1,0)),IF(ISERROR(VLOOKUP(F293,Magic!T:T,1,0)),"N","Y"),"Y")</f>
        <v>N</v>
      </c>
      <c r="F293" s="13">
        <v>292</v>
      </c>
    </row>
    <row r="294" spans="1:6" x14ac:dyDescent="0.25">
      <c r="A294" s="16">
        <v>42762</v>
      </c>
      <c r="B294" s="13" t="s">
        <v>26</v>
      </c>
      <c r="C294" s="13">
        <v>38</v>
      </c>
      <c r="D294" s="13">
        <v>159.6</v>
      </c>
      <c r="E294" s="13" t="str">
        <f>IF(ISERROR(VLOOKUP(F294,Magic!H:H,1,0)),IF(ISERROR(VLOOKUP(F294,Magic!T:T,1,0)),"N","Y"),"Y")</f>
        <v>N</v>
      </c>
      <c r="F294" s="13">
        <v>293</v>
      </c>
    </row>
    <row r="295" spans="1:6" x14ac:dyDescent="0.25">
      <c r="A295" s="16">
        <v>42762</v>
      </c>
      <c r="B295" s="13" t="s">
        <v>26</v>
      </c>
      <c r="C295" s="13">
        <v>38</v>
      </c>
      <c r="D295" s="13">
        <v>861</v>
      </c>
      <c r="E295" s="13" t="str">
        <f>IF(ISERROR(VLOOKUP(F295,Magic!H:H,1,0)),IF(ISERROR(VLOOKUP(F295,Magic!T:T,1,0)),"N","Y"),"Y")</f>
        <v>N</v>
      </c>
      <c r="F295" s="13">
        <v>294</v>
      </c>
    </row>
    <row r="296" spans="1:6" x14ac:dyDescent="0.25">
      <c r="A296" s="16">
        <v>42762</v>
      </c>
      <c r="B296" s="13" t="s">
        <v>81</v>
      </c>
      <c r="C296" s="13">
        <v>41</v>
      </c>
      <c r="D296" s="13">
        <v>624.35</v>
      </c>
      <c r="E296" s="13" t="str">
        <f>IF(ISERROR(VLOOKUP(F296,Magic!H:H,1,0)),IF(ISERROR(VLOOKUP(F296,Magic!T:T,1,0)),"N","Y"),"Y")</f>
        <v>N</v>
      </c>
      <c r="F296" s="13">
        <v>295</v>
      </c>
    </row>
    <row r="297" spans="1:6" x14ac:dyDescent="0.25">
      <c r="A297" s="16">
        <v>42762</v>
      </c>
      <c r="B297" s="13" t="s">
        <v>81</v>
      </c>
      <c r="C297" s="13">
        <v>41</v>
      </c>
      <c r="D297" s="13">
        <v>844.3</v>
      </c>
      <c r="E297" s="13" t="str">
        <f>IF(ISERROR(VLOOKUP(F297,Magic!H:H,1,0)),IF(ISERROR(VLOOKUP(F297,Magic!T:T,1,0)),"N","Y"),"Y")</f>
        <v>N</v>
      </c>
      <c r="F297" s="13">
        <v>296</v>
      </c>
    </row>
    <row r="298" spans="1:6" x14ac:dyDescent="0.25">
      <c r="A298" s="16">
        <v>42762</v>
      </c>
      <c r="B298" s="13" t="s">
        <v>24</v>
      </c>
      <c r="C298" s="13">
        <v>43</v>
      </c>
      <c r="D298" s="13">
        <v>751.2</v>
      </c>
      <c r="E298" s="13" t="str">
        <f>IF(ISERROR(VLOOKUP(F298,Magic!H:H,1,0)),IF(ISERROR(VLOOKUP(F298,Magic!T:T,1,0)),"N","Y"),"Y")</f>
        <v>N</v>
      </c>
      <c r="F298" s="13">
        <v>297</v>
      </c>
    </row>
    <row r="299" spans="1:6" x14ac:dyDescent="0.25">
      <c r="A299" s="16">
        <v>42762</v>
      </c>
      <c r="B299" s="13" t="s">
        <v>25</v>
      </c>
      <c r="C299" s="13">
        <v>44</v>
      </c>
      <c r="D299" s="13">
        <v>510.4</v>
      </c>
      <c r="E299" s="13" t="str">
        <f>IF(ISERROR(VLOOKUP(F299,Magic!H:H,1,0)),IF(ISERROR(VLOOKUP(F299,Magic!T:T,1,0)),"N","Y"),"Y")</f>
        <v>N</v>
      </c>
      <c r="F299" s="13">
        <v>298</v>
      </c>
    </row>
    <row r="300" spans="1:6" x14ac:dyDescent="0.25">
      <c r="A300" s="16">
        <v>42762</v>
      </c>
      <c r="B300" s="13" t="s">
        <v>30</v>
      </c>
      <c r="C300" s="13">
        <v>45</v>
      </c>
      <c r="D300" s="13">
        <v>449.9</v>
      </c>
      <c r="E300" s="13" t="str">
        <f>IF(ISERROR(VLOOKUP(F300,Magic!H:H,1,0)),IF(ISERROR(VLOOKUP(F300,Magic!T:T,1,0)),"N","Y"),"Y")</f>
        <v>N</v>
      </c>
      <c r="F300" s="13">
        <v>299</v>
      </c>
    </row>
    <row r="301" spans="1:6" x14ac:dyDescent="0.25">
      <c r="A301" s="16">
        <v>42762</v>
      </c>
      <c r="B301" s="13" t="s">
        <v>27</v>
      </c>
      <c r="C301" s="13">
        <v>101</v>
      </c>
      <c r="D301" s="13">
        <v>917.2</v>
      </c>
      <c r="E301" s="13" t="str">
        <f>IF(ISERROR(VLOOKUP(F301,Magic!H:H,1,0)),IF(ISERROR(VLOOKUP(F301,Magic!T:T,1,0)),"N","Y"),"Y")</f>
        <v>N</v>
      </c>
      <c r="F301" s="13">
        <v>300</v>
      </c>
    </row>
    <row r="302" spans="1:6" x14ac:dyDescent="0.25">
      <c r="A302" s="16">
        <v>42762</v>
      </c>
      <c r="B302" s="13" t="s">
        <v>202</v>
      </c>
      <c r="C302" s="13">
        <v>103</v>
      </c>
      <c r="D302" s="13">
        <v>855</v>
      </c>
      <c r="E302" s="13" t="str">
        <f>IF(ISERROR(VLOOKUP(F302,Magic!H:H,1,0)),IF(ISERROR(VLOOKUP(F302,Magic!T:T,1,0)),"N","Y"),"Y")</f>
        <v>N</v>
      </c>
      <c r="F302" s="13">
        <v>301</v>
      </c>
    </row>
    <row r="303" spans="1:6" x14ac:dyDescent="0.25">
      <c r="A303" s="16">
        <v>42762</v>
      </c>
      <c r="B303" s="13" t="s">
        <v>267</v>
      </c>
      <c r="C303" s="13">
        <v>201</v>
      </c>
      <c r="D303" s="13">
        <v>504.65</v>
      </c>
      <c r="E303" s="13" t="str">
        <f>IF(ISERROR(VLOOKUP(F303,Magic!H:H,1,0)),IF(ISERROR(VLOOKUP(F303,Magic!T:T,1,0)),"N","Y"),"Y")</f>
        <v>N</v>
      </c>
      <c r="F303" s="13">
        <v>302</v>
      </c>
    </row>
    <row r="304" spans="1:6" x14ac:dyDescent="0.25">
      <c r="A304" s="16">
        <v>42762</v>
      </c>
      <c r="B304" s="13" t="s">
        <v>355</v>
      </c>
      <c r="C304" s="13">
        <v>103</v>
      </c>
      <c r="D304" s="13">
        <v>4.8</v>
      </c>
      <c r="E304" s="13" t="str">
        <f>IF(ISERROR(VLOOKUP(F304,Magic!H:H,1,0)),IF(ISERROR(VLOOKUP(F304,Magic!T:T,1,0)),"N","Y"),"Y")</f>
        <v>N</v>
      </c>
      <c r="F304" s="13">
        <v>303</v>
      </c>
    </row>
    <row r="305" spans="1:6" x14ac:dyDescent="0.25">
      <c r="A305" s="16">
        <v>42763</v>
      </c>
      <c r="B305" s="13" t="s">
        <v>29</v>
      </c>
      <c r="C305" s="13">
        <v>35</v>
      </c>
      <c r="D305" s="13">
        <v>1125</v>
      </c>
      <c r="E305" s="13" t="str">
        <f>IF(ISERROR(VLOOKUP(F305,Magic!H:H,1,0)),IF(ISERROR(VLOOKUP(F305,Magic!T:T,1,0)),"N","Y"),"Y")</f>
        <v>N</v>
      </c>
      <c r="F305" s="13">
        <v>304</v>
      </c>
    </row>
    <row r="306" spans="1:6" x14ac:dyDescent="0.25">
      <c r="A306" s="16">
        <v>42763</v>
      </c>
      <c r="B306" s="13" t="s">
        <v>142</v>
      </c>
      <c r="C306" s="13">
        <v>38</v>
      </c>
      <c r="D306" s="13">
        <v>570</v>
      </c>
      <c r="E306" s="13" t="str">
        <f>IF(ISERROR(VLOOKUP(F306,Magic!H:H,1,0)),IF(ISERROR(VLOOKUP(F306,Magic!T:T,1,0)),"N","Y"),"Y")</f>
        <v>N</v>
      </c>
      <c r="F306" s="13">
        <v>305</v>
      </c>
    </row>
    <row r="307" spans="1:6" x14ac:dyDescent="0.25">
      <c r="A307" s="16">
        <v>42763</v>
      </c>
      <c r="B307" s="13" t="s">
        <v>26</v>
      </c>
      <c r="C307" s="13">
        <v>38</v>
      </c>
      <c r="D307" s="13">
        <v>689.25</v>
      </c>
      <c r="E307" s="13" t="str">
        <f>IF(ISERROR(VLOOKUP(F307,Magic!H:H,1,0)),IF(ISERROR(VLOOKUP(F307,Magic!T:T,1,0)),"N","Y"),"Y")</f>
        <v>N</v>
      </c>
      <c r="F307" s="13">
        <v>306</v>
      </c>
    </row>
    <row r="308" spans="1:6" x14ac:dyDescent="0.25">
      <c r="A308" s="16">
        <v>42763</v>
      </c>
      <c r="B308" s="13" t="s">
        <v>30</v>
      </c>
      <c r="C308" s="13">
        <v>45</v>
      </c>
      <c r="D308" s="13">
        <v>362.65</v>
      </c>
      <c r="E308" s="13" t="str">
        <f>IF(ISERROR(VLOOKUP(F308,Magic!H:H,1,0)),IF(ISERROR(VLOOKUP(F308,Magic!T:T,1,0)),"N","Y"),"Y")</f>
        <v>N</v>
      </c>
      <c r="F308" s="13">
        <v>307</v>
      </c>
    </row>
    <row r="309" spans="1:6" x14ac:dyDescent="0.25">
      <c r="A309" s="16">
        <v>42763</v>
      </c>
      <c r="B309" s="13" t="s">
        <v>28</v>
      </c>
      <c r="C309" s="13">
        <v>103</v>
      </c>
      <c r="D309" s="13">
        <v>1140</v>
      </c>
      <c r="E309" s="13" t="str">
        <f>IF(ISERROR(VLOOKUP(F309,Magic!H:H,1,0)),IF(ISERROR(VLOOKUP(F309,Magic!T:T,1,0)),"N","Y"),"Y")</f>
        <v>N</v>
      </c>
      <c r="F309" s="13">
        <v>308</v>
      </c>
    </row>
    <row r="310" spans="1:6" x14ac:dyDescent="0.25">
      <c r="A310" s="16">
        <v>42763</v>
      </c>
      <c r="B310" s="13" t="s">
        <v>124</v>
      </c>
      <c r="C310" s="13">
        <v>103</v>
      </c>
      <c r="D310" s="13">
        <v>28.5</v>
      </c>
      <c r="E310" s="13" t="str">
        <f>IF(ISERROR(VLOOKUP(F310,Magic!H:H,1,0)),IF(ISERROR(VLOOKUP(F310,Magic!T:T,1,0)),"N","Y"),"Y")</f>
        <v>N</v>
      </c>
      <c r="F310" s="13">
        <v>309</v>
      </c>
    </row>
    <row r="311" spans="1:6" x14ac:dyDescent="0.25">
      <c r="A311" s="16">
        <v>42764</v>
      </c>
      <c r="B311" s="13" t="s">
        <v>30</v>
      </c>
      <c r="C311" s="13">
        <v>45</v>
      </c>
      <c r="D311" s="13">
        <v>515</v>
      </c>
      <c r="E311" s="13" t="str">
        <f>IF(ISERROR(VLOOKUP(F311,Magic!H:H,1,0)),IF(ISERROR(VLOOKUP(F311,Magic!T:T,1,0)),"N","Y"),"Y")</f>
        <v>N</v>
      </c>
      <c r="F311" s="13">
        <v>310</v>
      </c>
    </row>
    <row r="312" spans="1:6" x14ac:dyDescent="0.25">
      <c r="A312" s="16">
        <v>42764</v>
      </c>
      <c r="B312" s="13" t="s">
        <v>28</v>
      </c>
      <c r="C312" s="13">
        <v>103</v>
      </c>
      <c r="D312" s="13">
        <v>871.05</v>
      </c>
      <c r="E312" s="13" t="str">
        <f>IF(ISERROR(VLOOKUP(F312,Magic!H:H,1,0)),IF(ISERROR(VLOOKUP(F312,Magic!T:T,1,0)),"N","Y"),"Y")</f>
        <v>N</v>
      </c>
      <c r="F312" s="13">
        <v>311</v>
      </c>
    </row>
    <row r="313" spans="1:6" x14ac:dyDescent="0.25">
      <c r="A313" s="16">
        <v>42762</v>
      </c>
      <c r="B313" s="13" t="s">
        <v>362</v>
      </c>
      <c r="C313" s="13">
        <v>43</v>
      </c>
      <c r="D313" s="13">
        <v>100</v>
      </c>
      <c r="E313" s="13" t="str">
        <f>IF(ISERROR(VLOOKUP(F313,Magic!H:H,1,0)),IF(ISERROR(VLOOKUP(F313,Magic!T:T,1,0)),"N","Y"),"Y")</f>
        <v>N</v>
      </c>
      <c r="F313" s="13">
        <v>312</v>
      </c>
    </row>
    <row r="314" spans="1:6" x14ac:dyDescent="0.25">
      <c r="A314" s="16">
        <v>42765</v>
      </c>
      <c r="B314" s="13" t="s">
        <v>29</v>
      </c>
      <c r="C314" s="13">
        <v>35</v>
      </c>
      <c r="D314" s="13">
        <v>620</v>
      </c>
      <c r="E314" s="13" t="str">
        <f>IF(ISERROR(VLOOKUP(F314,Magic!H:H,1,0)),IF(ISERROR(VLOOKUP(F314,Magic!T:T,1,0)),"N","Y"),"Y")</f>
        <v>N</v>
      </c>
      <c r="F314" s="13">
        <v>313</v>
      </c>
    </row>
    <row r="315" spans="1:6" x14ac:dyDescent="0.25">
      <c r="A315" s="16">
        <v>42765</v>
      </c>
      <c r="B315" s="13" t="s">
        <v>57</v>
      </c>
      <c r="C315" s="13">
        <v>35</v>
      </c>
      <c r="D315" s="13">
        <v>3.25</v>
      </c>
      <c r="E315" s="13" t="str">
        <f>IF(ISERROR(VLOOKUP(F315,Magic!H:H,1,0)),IF(ISERROR(VLOOKUP(F315,Magic!T:T,1,0)),"N","Y"),"Y")</f>
        <v>N</v>
      </c>
      <c r="F315" s="13">
        <v>314</v>
      </c>
    </row>
    <row r="316" spans="1:6" x14ac:dyDescent="0.25">
      <c r="A316" s="16">
        <v>42765</v>
      </c>
      <c r="B316" s="13" t="s">
        <v>57</v>
      </c>
      <c r="C316" s="13">
        <v>35</v>
      </c>
      <c r="D316" s="13">
        <v>4.25</v>
      </c>
      <c r="E316" s="13" t="str">
        <f>IF(ISERROR(VLOOKUP(F316,Magic!H:H,1,0)),IF(ISERROR(VLOOKUP(F316,Magic!T:T,1,0)),"N","Y"),"Y")</f>
        <v>N</v>
      </c>
      <c r="F316" s="13">
        <v>315</v>
      </c>
    </row>
    <row r="317" spans="1:6" x14ac:dyDescent="0.25">
      <c r="A317" s="16">
        <v>42765</v>
      </c>
      <c r="B317" s="13" t="s">
        <v>82</v>
      </c>
      <c r="C317" s="13">
        <v>35</v>
      </c>
      <c r="D317" s="13">
        <v>219.8</v>
      </c>
      <c r="E317" s="13" t="str">
        <f>IF(ISERROR(VLOOKUP(F317,Magic!H:H,1,0)),IF(ISERROR(VLOOKUP(F317,Magic!T:T,1,0)),"N","Y"),"Y")</f>
        <v>N</v>
      </c>
      <c r="F317" s="13">
        <v>316</v>
      </c>
    </row>
    <row r="318" spans="1:6" x14ac:dyDescent="0.25">
      <c r="A318" s="16">
        <v>42765</v>
      </c>
      <c r="B318" s="13" t="s">
        <v>57</v>
      </c>
      <c r="C318" s="13">
        <v>35</v>
      </c>
      <c r="D318" s="13">
        <v>2.4500000000000002</v>
      </c>
      <c r="E318" s="13" t="str">
        <f>IF(ISERROR(VLOOKUP(F318,Magic!H:H,1,0)),IF(ISERROR(VLOOKUP(F318,Magic!T:T,1,0)),"N","Y"),"Y")</f>
        <v>N</v>
      </c>
      <c r="F318" s="13">
        <v>317</v>
      </c>
    </row>
    <row r="319" spans="1:6" x14ac:dyDescent="0.25">
      <c r="A319" s="16">
        <v>42765</v>
      </c>
      <c r="B319" s="13" t="s">
        <v>31</v>
      </c>
      <c r="C319" s="13">
        <v>37</v>
      </c>
      <c r="D319" s="13">
        <v>176.85</v>
      </c>
      <c r="E319" s="13" t="str">
        <f>IF(ISERROR(VLOOKUP(F319,Magic!H:H,1,0)),IF(ISERROR(VLOOKUP(F319,Magic!T:T,1,0)),"N","Y"),"Y")</f>
        <v>N</v>
      </c>
      <c r="F319" s="13">
        <v>318</v>
      </c>
    </row>
    <row r="320" spans="1:6" x14ac:dyDescent="0.25">
      <c r="A320" s="16">
        <v>42765</v>
      </c>
      <c r="B320" s="13" t="s">
        <v>31</v>
      </c>
      <c r="C320" s="13">
        <v>37</v>
      </c>
      <c r="D320" s="13">
        <v>717.65</v>
      </c>
      <c r="E320" s="13" t="str">
        <f>IF(ISERROR(VLOOKUP(F320,Magic!H:H,1,0)),IF(ISERROR(VLOOKUP(F320,Magic!T:T,1,0)),"N","Y"),"Y")</f>
        <v>N</v>
      </c>
      <c r="F320" s="13">
        <v>319</v>
      </c>
    </row>
    <row r="321" spans="1:6" x14ac:dyDescent="0.25">
      <c r="A321" s="16">
        <v>42765</v>
      </c>
      <c r="B321" s="13" t="s">
        <v>31</v>
      </c>
      <c r="C321" s="13">
        <v>37</v>
      </c>
      <c r="D321" s="13">
        <v>634.20000000000005</v>
      </c>
      <c r="E321" s="13" t="str">
        <f>IF(ISERROR(VLOOKUP(F321,Magic!H:H,1,0)),IF(ISERROR(VLOOKUP(F321,Magic!T:T,1,0)),"N","Y"),"Y")</f>
        <v>N</v>
      </c>
      <c r="F321" s="13">
        <v>320</v>
      </c>
    </row>
    <row r="322" spans="1:6" x14ac:dyDescent="0.25">
      <c r="A322" s="16">
        <v>42765</v>
      </c>
      <c r="B322" s="13" t="s">
        <v>81</v>
      </c>
      <c r="C322" s="13">
        <v>41</v>
      </c>
      <c r="D322" s="13">
        <v>719.25</v>
      </c>
      <c r="E322" s="13" t="str">
        <f>IF(ISERROR(VLOOKUP(F322,Magic!H:H,1,0)),IF(ISERROR(VLOOKUP(F322,Magic!T:T,1,0)),"N","Y"),"Y")</f>
        <v>N</v>
      </c>
      <c r="F322" s="13">
        <v>321</v>
      </c>
    </row>
    <row r="323" spans="1:6" x14ac:dyDescent="0.25">
      <c r="A323" s="16">
        <v>42765</v>
      </c>
      <c r="B323" s="13" t="s">
        <v>81</v>
      </c>
      <c r="C323" s="13">
        <v>41</v>
      </c>
      <c r="D323" s="13">
        <v>317.7</v>
      </c>
      <c r="E323" s="13" t="str">
        <f>IF(ISERROR(VLOOKUP(F323,Magic!H:H,1,0)),IF(ISERROR(VLOOKUP(F323,Magic!T:T,1,0)),"N","Y"),"Y")</f>
        <v>N</v>
      </c>
      <c r="F323" s="13">
        <v>322</v>
      </c>
    </row>
    <row r="324" spans="1:6" x14ac:dyDescent="0.25">
      <c r="A324" s="16">
        <v>42765</v>
      </c>
      <c r="B324" s="13" t="s">
        <v>81</v>
      </c>
      <c r="C324" s="13">
        <v>41</v>
      </c>
      <c r="D324" s="13">
        <v>326.55</v>
      </c>
      <c r="E324" s="13" t="str">
        <f>IF(ISERROR(VLOOKUP(F324,Magic!H:H,1,0)),IF(ISERROR(VLOOKUP(F324,Magic!T:T,1,0)),"N","Y"),"Y")</f>
        <v>N</v>
      </c>
      <c r="F324" s="13">
        <v>323</v>
      </c>
    </row>
    <row r="325" spans="1:6" x14ac:dyDescent="0.25">
      <c r="A325" s="16">
        <v>42765</v>
      </c>
      <c r="B325" s="13" t="s">
        <v>24</v>
      </c>
      <c r="C325" s="13">
        <v>43</v>
      </c>
      <c r="D325" s="13">
        <v>247.8</v>
      </c>
      <c r="E325" s="13" t="str">
        <f>IF(ISERROR(VLOOKUP(F325,Magic!H:H,1,0)),IF(ISERROR(VLOOKUP(F325,Magic!T:T,1,0)),"N","Y"),"Y")</f>
        <v>N</v>
      </c>
      <c r="F325" s="13">
        <v>324</v>
      </c>
    </row>
    <row r="326" spans="1:6" x14ac:dyDescent="0.25">
      <c r="A326" s="16">
        <v>42765</v>
      </c>
      <c r="B326" s="13" t="s">
        <v>24</v>
      </c>
      <c r="C326" s="13">
        <v>43</v>
      </c>
      <c r="D326" s="13">
        <v>615.79999999999995</v>
      </c>
      <c r="E326" s="13" t="str">
        <f>IF(ISERROR(VLOOKUP(F326,Magic!H:H,1,0)),IF(ISERROR(VLOOKUP(F326,Magic!T:T,1,0)),"N","Y"),"Y")</f>
        <v>N</v>
      </c>
      <c r="F326" s="13">
        <v>325</v>
      </c>
    </row>
    <row r="327" spans="1:6" x14ac:dyDescent="0.25">
      <c r="A327" s="16">
        <v>42765</v>
      </c>
      <c r="B327" s="13" t="s">
        <v>24</v>
      </c>
      <c r="C327" s="13">
        <v>43</v>
      </c>
      <c r="D327" s="13">
        <v>828.95</v>
      </c>
      <c r="E327" s="13" t="str">
        <f>IF(ISERROR(VLOOKUP(F327,Magic!H:H,1,0)),IF(ISERROR(VLOOKUP(F327,Magic!T:T,1,0)),"N","Y"),"Y")</f>
        <v>N</v>
      </c>
      <c r="F327" s="13">
        <v>326</v>
      </c>
    </row>
    <row r="328" spans="1:6" x14ac:dyDescent="0.25">
      <c r="A328" s="16">
        <v>42765</v>
      </c>
      <c r="B328" s="13" t="s">
        <v>25</v>
      </c>
      <c r="C328" s="13">
        <v>44</v>
      </c>
      <c r="D328" s="13">
        <v>452.15</v>
      </c>
      <c r="E328" s="13" t="str">
        <f>IF(ISERROR(VLOOKUP(F328,Magic!H:H,1,0)),IF(ISERROR(VLOOKUP(F328,Magic!T:T,1,0)),"N","Y"),"Y")</f>
        <v>N</v>
      </c>
      <c r="F328" s="13">
        <v>327</v>
      </c>
    </row>
    <row r="329" spans="1:6" x14ac:dyDescent="0.25">
      <c r="A329" s="16">
        <v>42765</v>
      </c>
      <c r="B329" s="13" t="s">
        <v>25</v>
      </c>
      <c r="C329" s="13">
        <v>44</v>
      </c>
      <c r="D329" s="13">
        <v>305.39999999999998</v>
      </c>
      <c r="E329" s="13" t="str">
        <f>IF(ISERROR(VLOOKUP(F329,Magic!H:H,1,0)),IF(ISERROR(VLOOKUP(F329,Magic!T:T,1,0)),"N","Y"),"Y")</f>
        <v>N</v>
      </c>
      <c r="F329" s="13">
        <v>328</v>
      </c>
    </row>
    <row r="330" spans="1:6" x14ac:dyDescent="0.25">
      <c r="A330" s="16">
        <v>42765</v>
      </c>
      <c r="B330" s="13" t="s">
        <v>25</v>
      </c>
      <c r="C330" s="13">
        <v>44</v>
      </c>
      <c r="D330" s="13">
        <v>214.7</v>
      </c>
      <c r="E330" s="13" t="str">
        <f>IF(ISERROR(VLOOKUP(F330,Magic!H:H,1,0)),IF(ISERROR(VLOOKUP(F330,Magic!T:T,1,0)),"N","Y"),"Y")</f>
        <v>N</v>
      </c>
      <c r="F330" s="13">
        <v>329</v>
      </c>
    </row>
    <row r="331" spans="1:6" x14ac:dyDescent="0.25">
      <c r="A331" s="16">
        <v>42765</v>
      </c>
      <c r="B331" s="13" t="s">
        <v>30</v>
      </c>
      <c r="C331" s="13">
        <v>45</v>
      </c>
      <c r="D331" s="13">
        <v>557.70000000000005</v>
      </c>
      <c r="E331" s="13" t="str">
        <f>IF(ISERROR(VLOOKUP(F331,Magic!H:H,1,0)),IF(ISERROR(VLOOKUP(F331,Magic!T:T,1,0)),"N","Y"),"Y")</f>
        <v>N</v>
      </c>
      <c r="F331" s="13">
        <v>330</v>
      </c>
    </row>
    <row r="332" spans="1:6" x14ac:dyDescent="0.25">
      <c r="A332" s="16">
        <v>42765</v>
      </c>
      <c r="B332" s="13" t="s">
        <v>30</v>
      </c>
      <c r="C332" s="13">
        <v>45</v>
      </c>
      <c r="D332" s="13">
        <v>2.15</v>
      </c>
      <c r="E332" s="13" t="str">
        <f>IF(ISERROR(VLOOKUP(F332,Magic!H:H,1,0)),IF(ISERROR(VLOOKUP(F332,Magic!T:T,1,0)),"N","Y"),"Y")</f>
        <v>N</v>
      </c>
      <c r="F332" s="13">
        <v>331</v>
      </c>
    </row>
    <row r="333" spans="1:6" x14ac:dyDescent="0.25">
      <c r="A333" s="16">
        <v>42765</v>
      </c>
      <c r="B333" s="13" t="s">
        <v>30</v>
      </c>
      <c r="C333" s="13">
        <v>45</v>
      </c>
      <c r="D333" s="13">
        <v>4.8499999999999996</v>
      </c>
      <c r="E333" s="13" t="str">
        <f>IF(ISERROR(VLOOKUP(F333,Magic!H:H,1,0)),IF(ISERROR(VLOOKUP(F333,Magic!T:T,1,0)),"N","Y"),"Y")</f>
        <v>N</v>
      </c>
      <c r="F333" s="13">
        <v>332</v>
      </c>
    </row>
    <row r="334" spans="1:6" x14ac:dyDescent="0.25">
      <c r="A334" s="16">
        <v>42765</v>
      </c>
      <c r="B334" s="13" t="s">
        <v>27</v>
      </c>
      <c r="C334" s="13">
        <v>101</v>
      </c>
      <c r="D334" s="13">
        <v>509.25</v>
      </c>
      <c r="E334" s="13" t="str">
        <f>IF(ISERROR(VLOOKUP(F334,Magic!H:H,1,0)),IF(ISERROR(VLOOKUP(F334,Magic!T:T,1,0)),"N","Y"),"Y")</f>
        <v>N</v>
      </c>
      <c r="F334" s="13">
        <v>333</v>
      </c>
    </row>
    <row r="335" spans="1:6" x14ac:dyDescent="0.25">
      <c r="A335" s="16">
        <v>42765</v>
      </c>
      <c r="B335" s="13" t="s">
        <v>27</v>
      </c>
      <c r="C335" s="13">
        <v>101</v>
      </c>
      <c r="D335" s="13">
        <v>449.3</v>
      </c>
      <c r="E335" s="13" t="str">
        <f>IF(ISERROR(VLOOKUP(F335,Magic!H:H,1,0)),IF(ISERROR(VLOOKUP(F335,Magic!T:T,1,0)),"N","Y"),"Y")</f>
        <v>N</v>
      </c>
      <c r="F335" s="13">
        <v>334</v>
      </c>
    </row>
    <row r="336" spans="1:6" x14ac:dyDescent="0.25">
      <c r="A336" s="16">
        <v>42765</v>
      </c>
      <c r="B336" s="13" t="s">
        <v>27</v>
      </c>
      <c r="C336" s="13">
        <v>101</v>
      </c>
      <c r="D336" s="13">
        <v>334.45</v>
      </c>
      <c r="E336" s="13" t="str">
        <f>IF(ISERROR(VLOOKUP(F336,Magic!H:H,1,0)),IF(ISERROR(VLOOKUP(F336,Magic!T:T,1,0)),"N","Y"),"Y")</f>
        <v>N</v>
      </c>
      <c r="F336" s="13">
        <v>335</v>
      </c>
    </row>
    <row r="337" spans="1:6" x14ac:dyDescent="0.25">
      <c r="A337" s="16">
        <v>42765</v>
      </c>
      <c r="B337" s="13" t="s">
        <v>28</v>
      </c>
      <c r="C337" s="13">
        <v>103</v>
      </c>
      <c r="D337" s="13">
        <v>307</v>
      </c>
      <c r="E337" s="13" t="str">
        <f>IF(ISERROR(VLOOKUP(F337,Magic!H:H,1,0)),IF(ISERROR(VLOOKUP(F337,Magic!T:T,1,0)),"N","Y"),"Y")</f>
        <v>N</v>
      </c>
      <c r="F337" s="13">
        <v>336</v>
      </c>
    </row>
    <row r="338" spans="1:6" x14ac:dyDescent="0.25">
      <c r="A338" s="16">
        <v>42765</v>
      </c>
      <c r="B338" s="13" t="s">
        <v>60</v>
      </c>
      <c r="C338" s="13">
        <v>201</v>
      </c>
      <c r="D338" s="13">
        <v>372.85</v>
      </c>
      <c r="E338" s="13" t="str">
        <f>IF(ISERROR(VLOOKUP(F338,Magic!H:H,1,0)),IF(ISERROR(VLOOKUP(F338,Magic!T:T,1,0)),"N","Y"),"Y")</f>
        <v>N</v>
      </c>
      <c r="F338" s="13">
        <v>337</v>
      </c>
    </row>
    <row r="339" spans="1:6" x14ac:dyDescent="0.25">
      <c r="A339" s="16">
        <v>42765</v>
      </c>
      <c r="B339" s="13" t="s">
        <v>60</v>
      </c>
      <c r="C339" s="13">
        <v>201</v>
      </c>
      <c r="D339" s="13">
        <v>522.5</v>
      </c>
      <c r="E339" s="13" t="str">
        <f>IF(ISERROR(VLOOKUP(F339,Magic!H:H,1,0)),IF(ISERROR(VLOOKUP(F339,Magic!T:T,1,0)),"N","Y"),"Y")</f>
        <v>N</v>
      </c>
      <c r="F339" s="13">
        <v>338</v>
      </c>
    </row>
    <row r="340" spans="1:6" x14ac:dyDescent="0.25">
      <c r="A340" s="16">
        <v>42765</v>
      </c>
      <c r="B340" s="13" t="s">
        <v>60</v>
      </c>
      <c r="C340" s="13">
        <v>201</v>
      </c>
      <c r="D340" s="13">
        <v>1070.8499999999999</v>
      </c>
      <c r="E340" s="13" t="str">
        <f>IF(ISERROR(VLOOKUP(F340,Magic!H:H,1,0)),IF(ISERROR(VLOOKUP(F340,Magic!T:T,1,0)),"N","Y"),"Y")</f>
        <v>N</v>
      </c>
      <c r="F340" s="13">
        <v>339</v>
      </c>
    </row>
    <row r="341" spans="1:6" x14ac:dyDescent="0.25">
      <c r="A341" s="16">
        <v>42766</v>
      </c>
      <c r="B341" s="13" t="s">
        <v>29</v>
      </c>
      <c r="C341" s="13">
        <v>35</v>
      </c>
      <c r="D341" s="13">
        <v>630</v>
      </c>
      <c r="E341" s="13" t="str">
        <f>IF(ISERROR(VLOOKUP(F341,Magic!H:H,1,0)),IF(ISERROR(VLOOKUP(F341,Magic!T:T,1,0)),"N","Y"),"Y")</f>
        <v>N</v>
      </c>
      <c r="F341" s="13">
        <v>340</v>
      </c>
    </row>
    <row r="342" spans="1:6" x14ac:dyDescent="0.25">
      <c r="A342" s="16">
        <v>42766</v>
      </c>
      <c r="B342" s="13" t="s">
        <v>57</v>
      </c>
      <c r="C342" s="13">
        <v>35</v>
      </c>
      <c r="D342" s="13">
        <v>4.55</v>
      </c>
      <c r="E342" s="13" t="str">
        <f>IF(ISERROR(VLOOKUP(F342,Magic!H:H,1,0)),IF(ISERROR(VLOOKUP(F342,Magic!T:T,1,0)),"N","Y"),"Y")</f>
        <v>N</v>
      </c>
      <c r="F342" s="13">
        <v>341</v>
      </c>
    </row>
    <row r="343" spans="1:6" x14ac:dyDescent="0.25">
      <c r="A343" s="16">
        <v>42766</v>
      </c>
      <c r="B343" s="13" t="s">
        <v>146</v>
      </c>
      <c r="C343" s="13">
        <v>37</v>
      </c>
      <c r="D343" s="13">
        <v>174.6</v>
      </c>
      <c r="E343" s="13" t="str">
        <f>IF(ISERROR(VLOOKUP(F343,Magic!H:H,1,0)),IF(ISERROR(VLOOKUP(F343,Magic!T:T,1,0)),"N","Y"),"Y")</f>
        <v>N</v>
      </c>
      <c r="F343" s="13">
        <v>342</v>
      </c>
    </row>
    <row r="344" spans="1:6" x14ac:dyDescent="0.25">
      <c r="A344" s="16">
        <v>42766</v>
      </c>
      <c r="B344" s="13" t="s">
        <v>142</v>
      </c>
      <c r="C344" s="13">
        <v>38</v>
      </c>
      <c r="D344" s="13">
        <v>5</v>
      </c>
      <c r="E344" s="13" t="s">
        <v>71</v>
      </c>
      <c r="F344" s="13">
        <v>343</v>
      </c>
    </row>
    <row r="345" spans="1:6" x14ac:dyDescent="0.25">
      <c r="A345" s="16">
        <v>42766</v>
      </c>
      <c r="B345" s="13" t="s">
        <v>142</v>
      </c>
      <c r="C345" s="13">
        <v>38</v>
      </c>
      <c r="D345" s="13">
        <v>485</v>
      </c>
      <c r="E345" s="13" t="s">
        <v>71</v>
      </c>
      <c r="F345" s="13">
        <v>344</v>
      </c>
    </row>
    <row r="346" spans="1:6" x14ac:dyDescent="0.25">
      <c r="A346" s="16">
        <v>42766</v>
      </c>
      <c r="B346" s="13" t="s">
        <v>26</v>
      </c>
      <c r="C346" s="13">
        <v>38</v>
      </c>
      <c r="D346" s="13">
        <v>309.39999999999998</v>
      </c>
      <c r="E346" s="13" t="s">
        <v>71</v>
      </c>
      <c r="F346" s="13">
        <v>345</v>
      </c>
    </row>
    <row r="347" spans="1:6" x14ac:dyDescent="0.25">
      <c r="A347" s="16">
        <v>42766</v>
      </c>
      <c r="B347" s="13" t="s">
        <v>26</v>
      </c>
      <c r="C347" s="13">
        <v>38</v>
      </c>
      <c r="D347" s="13">
        <v>799.4</v>
      </c>
      <c r="E347" s="13" t="str">
        <f>IF(ISERROR(VLOOKUP(F347,Magic!H:H,1,0)),IF(ISERROR(VLOOKUP(F347,Magic!T:T,1,0)),"N","Y"),"Y")</f>
        <v>N</v>
      </c>
      <c r="F347" s="13">
        <v>345</v>
      </c>
    </row>
    <row r="348" spans="1:6" x14ac:dyDescent="0.25">
      <c r="A348" s="16">
        <v>42766</v>
      </c>
      <c r="B348" s="13" t="s">
        <v>142</v>
      </c>
      <c r="C348" s="13">
        <v>38</v>
      </c>
      <c r="D348" s="13">
        <v>1075</v>
      </c>
      <c r="E348" s="13" t="str">
        <f>IF(ISERROR(VLOOKUP(F348,Magic!H:H,1,0)),IF(ISERROR(VLOOKUP(F348,Magic!T:T,1,0)),"N","Y"),"Y")</f>
        <v>N</v>
      </c>
      <c r="F348" s="13">
        <v>346</v>
      </c>
    </row>
    <row r="349" spans="1:6" x14ac:dyDescent="0.25">
      <c r="A349" s="16">
        <v>42766</v>
      </c>
      <c r="B349" s="13" t="s">
        <v>142</v>
      </c>
      <c r="C349" s="13">
        <v>38</v>
      </c>
      <c r="D349" s="13">
        <v>855</v>
      </c>
      <c r="E349" s="13" t="str">
        <f>IF(ISERROR(VLOOKUP(F349,Magic!H:H,1,0)),IF(ISERROR(VLOOKUP(F349,Magic!T:T,1,0)),"N","Y"),"Y")</f>
        <v>N</v>
      </c>
      <c r="F349" s="13">
        <v>348</v>
      </c>
    </row>
    <row r="350" spans="1:6" x14ac:dyDescent="0.25">
      <c r="A350" s="16">
        <v>42766</v>
      </c>
      <c r="B350" s="13" t="s">
        <v>142</v>
      </c>
      <c r="C350" s="13">
        <v>38</v>
      </c>
      <c r="D350" s="13">
        <v>770</v>
      </c>
      <c r="E350" s="13" t="str">
        <f>IF(ISERROR(VLOOKUP(F350,Magic!H:H,1,0)),IF(ISERROR(VLOOKUP(F350,Magic!T:T,1,0)),"N","Y"),"Y")</f>
        <v>N</v>
      </c>
      <c r="F350" s="13">
        <v>349</v>
      </c>
    </row>
    <row r="351" spans="1:6" x14ac:dyDescent="0.25">
      <c r="A351" s="16">
        <v>42766</v>
      </c>
      <c r="B351" s="13" t="s">
        <v>81</v>
      </c>
      <c r="C351" s="13">
        <v>41</v>
      </c>
      <c r="D351" s="13">
        <v>240.45</v>
      </c>
      <c r="E351" s="13" t="str">
        <f>IF(ISERROR(VLOOKUP(F351,Magic!H:H,1,0)),IF(ISERROR(VLOOKUP(F351,Magic!T:T,1,0)),"N","Y"),"Y")</f>
        <v>N</v>
      </c>
      <c r="F351" s="13">
        <v>350</v>
      </c>
    </row>
    <row r="352" spans="1:6" x14ac:dyDescent="0.25">
      <c r="A352" s="16">
        <v>42766</v>
      </c>
      <c r="B352" s="13" t="s">
        <v>383</v>
      </c>
      <c r="C352" s="13">
        <v>43</v>
      </c>
      <c r="D352" s="13">
        <v>290.7</v>
      </c>
      <c r="E352" s="13" t="str">
        <f>IF(ISERROR(VLOOKUP(F352,Magic!H:H,1,0)),IF(ISERROR(VLOOKUP(F352,Magic!T:T,1,0)),"N","Y"),"Y")</f>
        <v>N</v>
      </c>
      <c r="F352" s="13">
        <v>351</v>
      </c>
    </row>
    <row r="353" spans="1:6" x14ac:dyDescent="0.25">
      <c r="A353" s="16">
        <v>42766</v>
      </c>
      <c r="B353" s="13" t="s">
        <v>25</v>
      </c>
      <c r="C353" s="13">
        <v>44</v>
      </c>
      <c r="D353" s="13">
        <v>259.85000000000002</v>
      </c>
      <c r="E353" s="13" t="str">
        <f>IF(ISERROR(VLOOKUP(F353,Magic!H:H,1,0)),IF(ISERROR(VLOOKUP(F353,Magic!T:T,1,0)),"N","Y"),"Y")</f>
        <v>N</v>
      </c>
      <c r="F353" s="13">
        <v>352</v>
      </c>
    </row>
    <row r="354" spans="1:6" x14ac:dyDescent="0.25">
      <c r="A354" s="16">
        <v>42766</v>
      </c>
      <c r="B354" s="13" t="s">
        <v>123</v>
      </c>
      <c r="C354" s="13">
        <v>45</v>
      </c>
      <c r="D354" s="13">
        <v>695</v>
      </c>
      <c r="E354" s="13" t="str">
        <f>IF(ISERROR(VLOOKUP(F354,Magic!H:H,1,0)),IF(ISERROR(VLOOKUP(F354,Magic!T:T,1,0)),"N","Y"),"Y")</f>
        <v>N</v>
      </c>
      <c r="F354" s="13">
        <v>353</v>
      </c>
    </row>
    <row r="355" spans="1:6" x14ac:dyDescent="0.25">
      <c r="A355" s="16">
        <v>42766</v>
      </c>
      <c r="B355" s="13" t="s">
        <v>27</v>
      </c>
      <c r="C355" s="13">
        <v>101</v>
      </c>
      <c r="D355" s="13">
        <v>442.3</v>
      </c>
      <c r="E355" s="13" t="str">
        <f>IF(ISERROR(VLOOKUP(F355,Magic!H:H,1,0)),IF(ISERROR(VLOOKUP(F355,Magic!T:T,1,0)),"N","Y"),"Y")</f>
        <v>N</v>
      </c>
      <c r="F355" s="13">
        <v>354</v>
      </c>
    </row>
    <row r="356" spans="1:6" x14ac:dyDescent="0.25">
      <c r="A356" s="16">
        <v>42766</v>
      </c>
      <c r="B356" s="13" t="s">
        <v>28</v>
      </c>
      <c r="C356" s="13">
        <v>103</v>
      </c>
      <c r="D356" s="13">
        <v>1038.25</v>
      </c>
      <c r="E356" s="13" t="str">
        <f>IF(ISERROR(VLOOKUP(F356,Magic!H:H,1,0)),IF(ISERROR(VLOOKUP(F356,Magic!T:T,1,0)),"N","Y"),"Y")</f>
        <v>N</v>
      </c>
      <c r="F356" s="13">
        <v>355</v>
      </c>
    </row>
    <row r="357" spans="1:6" x14ac:dyDescent="0.25">
      <c r="A357" s="16">
        <v>42766</v>
      </c>
      <c r="B357" s="13" t="s">
        <v>212</v>
      </c>
      <c r="C357" s="13">
        <v>38</v>
      </c>
      <c r="D357" s="13">
        <v>24.35</v>
      </c>
      <c r="E357" s="13" t="str">
        <f>IF(ISERROR(VLOOKUP(F357,Magic!H:H,1,0)),IF(ISERROR(VLOOKUP(F357,Magic!T:T,1,0)),"N","Y"),"Y")</f>
        <v>N</v>
      </c>
      <c r="F357" s="13">
        <v>356</v>
      </c>
    </row>
    <row r="358" spans="1:6" x14ac:dyDescent="0.25">
      <c r="A358" s="16">
        <v>42766</v>
      </c>
      <c r="B358" s="13" t="s">
        <v>142</v>
      </c>
      <c r="C358" s="13">
        <v>38</v>
      </c>
      <c r="D358" s="13">
        <v>5</v>
      </c>
      <c r="E358" s="13" t="s">
        <v>71</v>
      </c>
      <c r="F358" s="13">
        <v>347</v>
      </c>
    </row>
    <row r="359" spans="1:6" x14ac:dyDescent="0.25">
      <c r="A359" s="16">
        <v>42766</v>
      </c>
      <c r="B359" s="13" t="s">
        <v>212</v>
      </c>
      <c r="C359" s="13">
        <v>38</v>
      </c>
      <c r="D359" s="13">
        <v>14.5</v>
      </c>
      <c r="E359" s="13" t="s">
        <v>71</v>
      </c>
      <c r="F359" s="13">
        <v>357</v>
      </c>
    </row>
    <row r="360" spans="1:6" x14ac:dyDescent="0.25">
      <c r="A360" s="16">
        <v>42766</v>
      </c>
      <c r="B360" s="13" t="s">
        <v>212</v>
      </c>
      <c r="C360" s="13">
        <v>38</v>
      </c>
      <c r="D360" s="13">
        <v>19.5</v>
      </c>
      <c r="E360" s="13" t="s">
        <v>71</v>
      </c>
      <c r="F360" s="13">
        <v>359</v>
      </c>
    </row>
    <row r="361" spans="1:6" x14ac:dyDescent="0.25">
      <c r="A361" s="16">
        <v>42766</v>
      </c>
      <c r="B361" s="13" t="s">
        <v>212</v>
      </c>
      <c r="C361" s="13">
        <v>38</v>
      </c>
      <c r="D361" s="13">
        <v>1.75</v>
      </c>
      <c r="E361" s="13" t="str">
        <f>IF(ISERROR(VLOOKUP(F361,Magic!H:H,1,0)),IF(ISERROR(VLOOKUP(F361,Magic!T:T,1,0)),"N","Y"),"Y")</f>
        <v>N</v>
      </c>
      <c r="F361" s="13">
        <v>358</v>
      </c>
    </row>
    <row r="362" spans="1:6" x14ac:dyDescent="0.25">
      <c r="A362" s="16">
        <v>42767</v>
      </c>
      <c r="B362" s="13" t="s">
        <v>29</v>
      </c>
      <c r="C362" s="13">
        <v>35</v>
      </c>
      <c r="D362" s="13">
        <v>880</v>
      </c>
      <c r="E362" s="13" t="str">
        <f>IF(ISERROR(VLOOKUP(F362,Magic!H:H,1,0)),IF(ISERROR(VLOOKUP(F362,Magic!T:T,1,0)),"N","Y"),"Y")</f>
        <v>N</v>
      </c>
      <c r="F362" s="13">
        <v>360</v>
      </c>
    </row>
    <row r="363" spans="1:6" x14ac:dyDescent="0.25">
      <c r="A363" s="16">
        <v>42767</v>
      </c>
      <c r="B363" s="13" t="s">
        <v>57</v>
      </c>
      <c r="C363" s="13">
        <v>35</v>
      </c>
      <c r="D363" s="13">
        <v>4</v>
      </c>
      <c r="E363" s="13" t="str">
        <f>IF(ISERROR(VLOOKUP(F363,Magic!H:H,1,0)),IF(ISERROR(VLOOKUP(F363,Magic!T:T,1,0)),"N","Y"),"Y")</f>
        <v>N</v>
      </c>
      <c r="F363" s="13">
        <v>361</v>
      </c>
    </row>
    <row r="364" spans="1:6" x14ac:dyDescent="0.25">
      <c r="A364" s="16">
        <v>42767</v>
      </c>
      <c r="B364" s="13" t="s">
        <v>31</v>
      </c>
      <c r="C364" s="13">
        <v>37</v>
      </c>
      <c r="D364" s="13">
        <v>174.85</v>
      </c>
      <c r="E364" s="13" t="str">
        <f>IF(ISERROR(VLOOKUP(F364,Magic!H:H,1,0)),IF(ISERROR(VLOOKUP(F364,Magic!T:T,1,0)),"N","Y"),"Y")</f>
        <v>N</v>
      </c>
      <c r="F364" s="13">
        <v>362</v>
      </c>
    </row>
    <row r="365" spans="1:6" x14ac:dyDescent="0.25">
      <c r="A365" s="16">
        <v>42767</v>
      </c>
      <c r="B365" s="13" t="s">
        <v>81</v>
      </c>
      <c r="C365" s="13">
        <v>41</v>
      </c>
      <c r="D365" s="13">
        <v>570.25</v>
      </c>
      <c r="E365" s="13" t="str">
        <f>IF(ISERROR(VLOOKUP(F365,Magic!H:H,1,0)),IF(ISERROR(VLOOKUP(F365,Magic!T:T,1,0)),"N","Y"),"Y")</f>
        <v>N</v>
      </c>
      <c r="F365" s="13">
        <v>363</v>
      </c>
    </row>
    <row r="366" spans="1:6" x14ac:dyDescent="0.25">
      <c r="A366" s="16">
        <v>42767</v>
      </c>
      <c r="B366" s="13" t="s">
        <v>25</v>
      </c>
      <c r="C366" s="13">
        <v>44</v>
      </c>
      <c r="D366" s="13">
        <v>334.65</v>
      </c>
      <c r="E366" s="13" t="str">
        <f>IF(ISERROR(VLOOKUP(F366,Magic!H:H,1,0)),IF(ISERROR(VLOOKUP(F366,Magic!T:T,1,0)),"N","Y"),"Y")</f>
        <v>N</v>
      </c>
      <c r="F366" s="13">
        <v>364</v>
      </c>
    </row>
    <row r="367" spans="1:6" x14ac:dyDescent="0.25">
      <c r="A367" s="16">
        <v>42767</v>
      </c>
      <c r="B367" s="13" t="s">
        <v>30</v>
      </c>
      <c r="C367" s="13">
        <v>45</v>
      </c>
      <c r="D367" s="13">
        <v>322.64999999999998</v>
      </c>
      <c r="E367" s="13" t="str">
        <f>IF(ISERROR(VLOOKUP(F367,Magic!H:H,1,0)),IF(ISERROR(VLOOKUP(F367,Magic!T:T,1,0)),"N","Y"),"Y")</f>
        <v>N</v>
      </c>
      <c r="F367" s="13">
        <v>365</v>
      </c>
    </row>
    <row r="368" spans="1:6" x14ac:dyDescent="0.25">
      <c r="A368" s="16">
        <v>42767</v>
      </c>
      <c r="B368" s="13" t="s">
        <v>30</v>
      </c>
      <c r="C368" s="13">
        <v>45</v>
      </c>
      <c r="D368" s="13">
        <v>4.55</v>
      </c>
      <c r="E368" s="13" t="str">
        <f>IF(ISERROR(VLOOKUP(F368,Magic!H:H,1,0)),IF(ISERROR(VLOOKUP(F368,Magic!T:T,1,0)),"N","Y"),"Y")</f>
        <v>N</v>
      </c>
      <c r="F368" s="13">
        <v>366</v>
      </c>
    </row>
    <row r="369" spans="1:6" x14ac:dyDescent="0.25">
      <c r="A369" s="16">
        <v>42767</v>
      </c>
      <c r="B369" s="13" t="s">
        <v>27</v>
      </c>
      <c r="C369" s="13">
        <v>101</v>
      </c>
      <c r="D369" s="13">
        <v>787.55</v>
      </c>
      <c r="E369" s="13" t="str">
        <f>IF(ISERROR(VLOOKUP(F369,Magic!H:H,1,0)),IF(ISERROR(VLOOKUP(F369,Magic!T:T,1,0)),"N","Y"),"Y")</f>
        <v>N</v>
      </c>
      <c r="F369" s="13">
        <v>367</v>
      </c>
    </row>
    <row r="370" spans="1:6" x14ac:dyDescent="0.25">
      <c r="A370" s="16">
        <v>42767</v>
      </c>
      <c r="B370" s="13" t="s">
        <v>28</v>
      </c>
      <c r="C370" s="13">
        <v>103</v>
      </c>
      <c r="D370" s="13">
        <v>1241</v>
      </c>
      <c r="E370" s="13" t="str">
        <f>IF(ISERROR(VLOOKUP(F370,Magic!H:H,1,0)),IF(ISERROR(VLOOKUP(F370,Magic!T:T,1,0)),"N","Y"),"Y")</f>
        <v>N</v>
      </c>
      <c r="F370" s="13">
        <v>368</v>
      </c>
    </row>
    <row r="371" spans="1:6" x14ac:dyDescent="0.25">
      <c r="A371" s="16">
        <v>42767</v>
      </c>
      <c r="B371" s="13" t="s">
        <v>394</v>
      </c>
      <c r="C371" s="13">
        <v>43</v>
      </c>
      <c r="D371" s="13">
        <v>503.65</v>
      </c>
      <c r="E371" s="13" t="str">
        <f>IF(ISERROR(VLOOKUP(F371,Magic!H:H,1,0)),IF(ISERROR(VLOOKUP(F371,Magic!T:T,1,0)),"N","Y"),"Y")</f>
        <v>N</v>
      </c>
      <c r="F371" s="13">
        <v>369</v>
      </c>
    </row>
    <row r="372" spans="1:6" x14ac:dyDescent="0.25">
      <c r="A372" s="16">
        <v>42768</v>
      </c>
      <c r="B372" s="13" t="s">
        <v>29</v>
      </c>
      <c r="C372" s="13">
        <v>35</v>
      </c>
      <c r="D372" s="13">
        <v>970</v>
      </c>
      <c r="E372" s="13" t="str">
        <f>IF(ISERROR(VLOOKUP(F372,Magic!H:H,1,0)),IF(ISERROR(VLOOKUP(F372,Magic!T:T,1,0)),"N","Y"),"Y")</f>
        <v>N</v>
      </c>
      <c r="F372" s="13">
        <v>370</v>
      </c>
    </row>
    <row r="373" spans="1:6" x14ac:dyDescent="0.25">
      <c r="A373" s="16">
        <v>42768</v>
      </c>
      <c r="B373" s="13" t="s">
        <v>82</v>
      </c>
      <c r="C373" s="13">
        <v>35</v>
      </c>
      <c r="D373" s="13">
        <v>4.3</v>
      </c>
      <c r="E373" s="13" t="str">
        <f>IF(ISERROR(VLOOKUP(F373,Magic!H:H,1,0)),IF(ISERROR(VLOOKUP(F373,Magic!T:T,1,0)),"N","Y"),"Y")</f>
        <v>N</v>
      </c>
      <c r="F373" s="13">
        <v>371</v>
      </c>
    </row>
    <row r="374" spans="1:6" x14ac:dyDescent="0.25">
      <c r="A374" s="16">
        <v>42768</v>
      </c>
      <c r="B374" s="13" t="s">
        <v>31</v>
      </c>
      <c r="C374" s="13">
        <v>37</v>
      </c>
      <c r="D374" s="13">
        <v>10</v>
      </c>
      <c r="E374" s="13" t="str">
        <f>IF(ISERROR(VLOOKUP(F374,Magic!H:H,1,0)),IF(ISERROR(VLOOKUP(F374,Magic!T:T,1,0)),"N","Y"),"Y")</f>
        <v>N</v>
      </c>
      <c r="F374" s="13">
        <v>372</v>
      </c>
    </row>
    <row r="375" spans="1:6" x14ac:dyDescent="0.25">
      <c r="A375" s="16">
        <v>42768</v>
      </c>
      <c r="B375" s="13" t="s">
        <v>31</v>
      </c>
      <c r="C375" s="13">
        <v>37</v>
      </c>
      <c r="D375" s="13">
        <v>522.9</v>
      </c>
      <c r="E375" s="13" t="str">
        <f>IF(ISERROR(VLOOKUP(F375,Magic!H:H,1,0)),IF(ISERROR(VLOOKUP(F375,Magic!T:T,1,0)),"N","Y"),"Y")</f>
        <v>N</v>
      </c>
      <c r="F375" s="13">
        <v>373</v>
      </c>
    </row>
    <row r="376" spans="1:6" x14ac:dyDescent="0.25">
      <c r="A376" s="16">
        <v>42768</v>
      </c>
      <c r="B376" s="13" t="s">
        <v>26</v>
      </c>
      <c r="C376" s="13">
        <v>38</v>
      </c>
      <c r="D376" s="13">
        <v>850.55</v>
      </c>
      <c r="E376" s="13" t="str">
        <f>IF(ISERROR(VLOOKUP(F376,Magic!H:H,1,0)),IF(ISERROR(VLOOKUP(F376,Magic!T:T,1,0)),"N","Y"),"Y")</f>
        <v>N</v>
      </c>
      <c r="F376" s="13">
        <v>374</v>
      </c>
    </row>
    <row r="377" spans="1:6" x14ac:dyDescent="0.25">
      <c r="A377" s="16">
        <v>42768</v>
      </c>
      <c r="B377" s="13" t="s">
        <v>406</v>
      </c>
      <c r="C377" s="13">
        <v>41</v>
      </c>
      <c r="D377" s="13">
        <v>627.5</v>
      </c>
      <c r="E377" s="13" t="str">
        <f>IF(ISERROR(VLOOKUP(F377,Magic!H:H,1,0)),IF(ISERROR(VLOOKUP(F377,Magic!T:T,1,0)),"N","Y"),"Y")</f>
        <v>N</v>
      </c>
      <c r="F377" s="13">
        <v>375</v>
      </c>
    </row>
    <row r="378" spans="1:6" x14ac:dyDescent="0.25">
      <c r="A378" s="16">
        <v>42768</v>
      </c>
      <c r="B378" s="13" t="s">
        <v>24</v>
      </c>
      <c r="C378" s="13">
        <v>43</v>
      </c>
      <c r="D378" s="13">
        <v>609.75</v>
      </c>
      <c r="E378" s="13" t="str">
        <f>IF(ISERROR(VLOOKUP(F378,Magic!H:H,1,0)),IF(ISERROR(VLOOKUP(F378,Magic!T:T,1,0)),"N","Y"),"Y")</f>
        <v>N</v>
      </c>
      <c r="F378" s="13">
        <v>376</v>
      </c>
    </row>
    <row r="379" spans="1:6" x14ac:dyDescent="0.25">
      <c r="A379" s="16">
        <v>42768</v>
      </c>
      <c r="B379" s="13" t="s">
        <v>25</v>
      </c>
      <c r="C379" s="13">
        <v>44</v>
      </c>
      <c r="D379" s="13">
        <v>373.65</v>
      </c>
      <c r="E379" s="13" t="str">
        <f>IF(ISERROR(VLOOKUP(F379,Magic!H:H,1,0)),IF(ISERROR(VLOOKUP(F379,Magic!T:T,1,0)),"N","Y"),"Y")</f>
        <v>N</v>
      </c>
      <c r="F379" s="13">
        <v>377</v>
      </c>
    </row>
    <row r="380" spans="1:6" x14ac:dyDescent="0.25">
      <c r="A380" s="16">
        <v>42768</v>
      </c>
      <c r="B380" s="13" t="s">
        <v>27</v>
      </c>
      <c r="C380" s="13">
        <v>101</v>
      </c>
      <c r="D380" s="13">
        <v>459.35</v>
      </c>
      <c r="E380" s="13" t="str">
        <f>IF(ISERROR(VLOOKUP(F380,Magic!H:H,1,0)),IF(ISERROR(VLOOKUP(F380,Magic!T:T,1,0)),"N","Y"),"Y")</f>
        <v>N</v>
      </c>
      <c r="F380" s="13">
        <v>378</v>
      </c>
    </row>
    <row r="381" spans="1:6" x14ac:dyDescent="0.25">
      <c r="A381" s="16">
        <v>42768</v>
      </c>
      <c r="B381" s="13" t="s">
        <v>28</v>
      </c>
      <c r="C381" s="13">
        <v>103</v>
      </c>
      <c r="D381" s="13">
        <v>1291.55</v>
      </c>
      <c r="E381" s="13" t="str">
        <f>IF(ISERROR(VLOOKUP(F381,Magic!H:H,1,0)),IF(ISERROR(VLOOKUP(F381,Magic!T:T,1,0)),"N","Y"),"Y")</f>
        <v>N</v>
      </c>
      <c r="F381" s="13">
        <v>379</v>
      </c>
    </row>
    <row r="382" spans="1:6" x14ac:dyDescent="0.25">
      <c r="A382" s="1">
        <v>42771</v>
      </c>
      <c r="B382" t="s">
        <v>28</v>
      </c>
      <c r="C382">
        <v>103</v>
      </c>
      <c r="D382">
        <v>0.05</v>
      </c>
      <c r="E382" t="str">
        <f>IF(ISERROR(VLOOKUP(F382,Magic!H:H,1,0)),IF(ISERROR(VLOOKUP(F382,Magic!T:T,1,0)),"N","Y"),"Y")</f>
        <v>N</v>
      </c>
      <c r="F382">
        <v>380</v>
      </c>
    </row>
    <row r="383" spans="1:6" x14ac:dyDescent="0.25">
      <c r="A383" s="16">
        <v>42769</v>
      </c>
      <c r="B383" s="13" t="s">
        <v>31</v>
      </c>
      <c r="C383" s="13">
        <v>37</v>
      </c>
      <c r="D383" s="13">
        <v>589.70000000000005</v>
      </c>
      <c r="E383" s="13" t="str">
        <f>IF(ISERROR(VLOOKUP(F383,Magic!H:H,1,0)),IF(ISERROR(VLOOKUP(F383,Magic!T:T,1,0)),"N","Y"),"Y")</f>
        <v>N</v>
      </c>
      <c r="F383" s="13">
        <v>381</v>
      </c>
    </row>
    <row r="384" spans="1:6" x14ac:dyDescent="0.25">
      <c r="A384" s="16">
        <v>42769</v>
      </c>
      <c r="B384" s="13" t="s">
        <v>26</v>
      </c>
      <c r="C384" s="13">
        <v>38</v>
      </c>
      <c r="D384" s="13">
        <v>1588.15</v>
      </c>
      <c r="E384" s="13" t="str">
        <f>IF(ISERROR(VLOOKUP(F384,Magic!H:H,1,0)),IF(ISERROR(VLOOKUP(F384,Magic!T:T,1,0)),"N","Y"),"Y")</f>
        <v>N</v>
      </c>
      <c r="F384" s="13">
        <v>382</v>
      </c>
    </row>
    <row r="385" spans="1:6" x14ac:dyDescent="0.25">
      <c r="A385" s="16">
        <v>42769</v>
      </c>
      <c r="B385" s="13" t="s">
        <v>383</v>
      </c>
      <c r="C385" s="13">
        <v>43</v>
      </c>
      <c r="D385" s="13">
        <v>996.65</v>
      </c>
      <c r="E385" s="13" t="str">
        <f>IF(ISERROR(VLOOKUP(F385,Magic!H:H,1,0)),IF(ISERROR(VLOOKUP(F385,Magic!T:T,1,0)),"N","Y"),"Y")</f>
        <v>N</v>
      </c>
      <c r="F385" s="13">
        <v>383</v>
      </c>
    </row>
    <row r="386" spans="1:6" x14ac:dyDescent="0.25">
      <c r="A386" s="16">
        <v>42769</v>
      </c>
      <c r="B386" s="13" t="s">
        <v>25</v>
      </c>
      <c r="C386" s="13">
        <v>44</v>
      </c>
      <c r="D386" s="13">
        <v>384.75</v>
      </c>
      <c r="E386" s="13" t="str">
        <f>IF(ISERROR(VLOOKUP(F386,Magic!H:H,1,0)),IF(ISERROR(VLOOKUP(F386,Magic!T:T,1,0)),"N","Y"),"Y")</f>
        <v>N</v>
      </c>
      <c r="F386" s="13">
        <v>384</v>
      </c>
    </row>
    <row r="387" spans="1:6" x14ac:dyDescent="0.25">
      <c r="A387" s="16">
        <v>42769</v>
      </c>
      <c r="B387" s="13" t="s">
        <v>123</v>
      </c>
      <c r="C387" s="13">
        <v>45</v>
      </c>
      <c r="D387" s="13">
        <v>505</v>
      </c>
      <c r="E387" s="13" t="str">
        <f>IF(ISERROR(VLOOKUP(F387,Magic!H:H,1,0)),IF(ISERROR(VLOOKUP(F387,Magic!T:T,1,0)),"N","Y"),"Y")</f>
        <v>N</v>
      </c>
      <c r="F387" s="13">
        <v>385</v>
      </c>
    </row>
    <row r="388" spans="1:6" x14ac:dyDescent="0.25">
      <c r="A388" s="16">
        <v>42769</v>
      </c>
      <c r="B388" s="13" t="s">
        <v>30</v>
      </c>
      <c r="C388" s="13">
        <v>45</v>
      </c>
      <c r="D388" s="13">
        <v>839.2</v>
      </c>
      <c r="E388" s="13" t="str">
        <f>IF(ISERROR(VLOOKUP(F388,Magic!H:H,1,0)),IF(ISERROR(VLOOKUP(F388,Magic!T:T,1,0)),"N","Y"),"Y")</f>
        <v>N</v>
      </c>
      <c r="F388" s="13">
        <v>386</v>
      </c>
    </row>
    <row r="389" spans="1:6" x14ac:dyDescent="0.25">
      <c r="A389" s="16">
        <v>42769</v>
      </c>
      <c r="B389" s="13" t="s">
        <v>27</v>
      </c>
      <c r="C389" s="13">
        <v>101</v>
      </c>
      <c r="D389" s="13">
        <v>509.6</v>
      </c>
      <c r="E389" s="13" t="str">
        <f>IF(ISERROR(VLOOKUP(F389,Magic!H:H,1,0)),IF(ISERROR(VLOOKUP(F389,Magic!T:T,1,0)),"N","Y"),"Y")</f>
        <v>N</v>
      </c>
      <c r="F389" s="13">
        <v>387</v>
      </c>
    </row>
    <row r="390" spans="1:6" x14ac:dyDescent="0.25">
      <c r="A390" s="16">
        <v>42769</v>
      </c>
      <c r="B390" s="13" t="s">
        <v>28</v>
      </c>
      <c r="C390" s="13">
        <v>103</v>
      </c>
      <c r="D390" s="13">
        <v>1390.3</v>
      </c>
      <c r="E390" s="13" t="str">
        <f>IF(ISERROR(VLOOKUP(F390,Magic!H:H,1,0)),IF(ISERROR(VLOOKUP(F390,Magic!T:T,1,0)),"N","Y"),"Y")</f>
        <v>N</v>
      </c>
      <c r="F390" s="13">
        <v>388</v>
      </c>
    </row>
    <row r="391" spans="1:6" x14ac:dyDescent="0.25">
      <c r="A391" s="16">
        <v>42769</v>
      </c>
      <c r="B391" s="13" t="s">
        <v>433</v>
      </c>
      <c r="C391" s="13">
        <v>41</v>
      </c>
      <c r="D391" s="13">
        <v>678.25</v>
      </c>
      <c r="E391" s="13" t="str">
        <f>IF(ISERROR(VLOOKUP(F391,Magic!H:H,1,0)),IF(ISERROR(VLOOKUP(F391,Magic!T:T,1,0)),"N","Y"),"Y")</f>
        <v>N</v>
      </c>
      <c r="F391" s="13">
        <v>389</v>
      </c>
    </row>
    <row r="392" spans="1:6" x14ac:dyDescent="0.25">
      <c r="A392" s="16">
        <v>42769</v>
      </c>
      <c r="B392" s="13" t="s">
        <v>60</v>
      </c>
      <c r="C392" s="13">
        <v>201</v>
      </c>
      <c r="D392" s="13">
        <v>328.7</v>
      </c>
      <c r="E392" s="13" t="str">
        <f>IF(ISERROR(VLOOKUP(F392,Magic!H:H,1,0)),IF(ISERROR(VLOOKUP(F392,Magic!T:T,1,0)),"N","Y"),"Y")</f>
        <v>N</v>
      </c>
      <c r="F392" s="13">
        <v>390</v>
      </c>
    </row>
    <row r="393" spans="1:6" x14ac:dyDescent="0.25">
      <c r="A393" s="16">
        <v>42769</v>
      </c>
      <c r="B393" s="13" t="s">
        <v>60</v>
      </c>
      <c r="C393" s="13">
        <v>201</v>
      </c>
      <c r="D393" s="13">
        <v>442</v>
      </c>
      <c r="E393" s="13" t="str">
        <f>IF(ISERROR(VLOOKUP(F393,Magic!H:H,1,0)),IF(ISERROR(VLOOKUP(F393,Magic!T:T,1,0)),"N","Y"),"Y")</f>
        <v>N</v>
      </c>
      <c r="F393" s="13">
        <v>391</v>
      </c>
    </row>
    <row r="394" spans="1:6" x14ac:dyDescent="0.25">
      <c r="A394" s="16">
        <v>42769</v>
      </c>
      <c r="B394" s="13" t="s">
        <v>60</v>
      </c>
      <c r="C394" s="13">
        <v>201</v>
      </c>
      <c r="D394" s="13">
        <v>244.9</v>
      </c>
      <c r="E394" s="13" t="str">
        <f>IF(ISERROR(VLOOKUP(F394,Magic!H:H,1,0)),IF(ISERROR(VLOOKUP(F394,Magic!T:T,1,0)),"N","Y"),"Y")</f>
        <v>N</v>
      </c>
      <c r="F394" s="13">
        <v>392</v>
      </c>
    </row>
    <row r="395" spans="1:6" x14ac:dyDescent="0.25">
      <c r="A395" s="16">
        <v>42769</v>
      </c>
      <c r="B395" s="13" t="s">
        <v>60</v>
      </c>
      <c r="C395" s="13">
        <v>201</v>
      </c>
      <c r="D395" s="13">
        <v>285.14999999999998</v>
      </c>
      <c r="E395" s="13" t="str">
        <f>IF(ISERROR(VLOOKUP(F395,Magic!H:H,1,0)),IF(ISERROR(VLOOKUP(F395,Magic!T:T,1,0)),"N","Y"),"Y")</f>
        <v>N</v>
      </c>
      <c r="F395" s="13">
        <v>393</v>
      </c>
    </row>
    <row r="396" spans="1:6" x14ac:dyDescent="0.25">
      <c r="A396" s="16">
        <v>42770</v>
      </c>
      <c r="B396" s="13" t="s">
        <v>26</v>
      </c>
      <c r="C396" s="13">
        <v>38</v>
      </c>
      <c r="D396" s="13">
        <v>899.05</v>
      </c>
      <c r="E396" s="13" t="str">
        <f>IF(ISERROR(VLOOKUP(F396,Magic!H:H,1,0)),IF(ISERROR(VLOOKUP(F396,Magic!T:T,1,0)),"N","Y"),"Y")</f>
        <v>N</v>
      </c>
      <c r="F396" s="13">
        <v>394</v>
      </c>
    </row>
    <row r="397" spans="1:6" x14ac:dyDescent="0.25">
      <c r="A397" s="16">
        <v>42770</v>
      </c>
      <c r="B397" s="13" t="s">
        <v>28</v>
      </c>
      <c r="C397" s="13">
        <v>103</v>
      </c>
      <c r="D397" s="13">
        <v>777.2</v>
      </c>
      <c r="E397" s="13" t="str">
        <f>IF(ISERROR(VLOOKUP(F397,Magic!H:H,1,0)),IF(ISERROR(VLOOKUP(F397,Magic!T:T,1,0)),"N","Y"),"Y")</f>
        <v>N</v>
      </c>
      <c r="F397" s="13">
        <v>395</v>
      </c>
    </row>
    <row r="398" spans="1:6" x14ac:dyDescent="0.25">
      <c r="A398" s="16">
        <v>42770</v>
      </c>
      <c r="B398" s="13" t="s">
        <v>28</v>
      </c>
      <c r="C398" s="13">
        <v>103</v>
      </c>
      <c r="D398" s="13">
        <v>1326.05</v>
      </c>
      <c r="E398" s="13" t="str">
        <f>IF(ISERROR(VLOOKUP(F398,Magic!H:H,1,0)),IF(ISERROR(VLOOKUP(F398,Magic!T:T,1,0)),"N","Y"),"Y")</f>
        <v>N</v>
      </c>
      <c r="F398" s="13">
        <v>396</v>
      </c>
    </row>
    <row r="399" spans="1:6" x14ac:dyDescent="0.25">
      <c r="A399" s="16">
        <v>42772</v>
      </c>
      <c r="B399" s="13" t="s">
        <v>29</v>
      </c>
      <c r="C399" s="13">
        <v>35</v>
      </c>
      <c r="D399" s="13">
        <v>610</v>
      </c>
      <c r="E399" s="13" t="str">
        <f>IF(ISERROR(VLOOKUP(F399,Magic!H:H,1,0)),IF(ISERROR(VLOOKUP(F399,Magic!T:T,1,0)),"N","Y"),"Y")</f>
        <v>N</v>
      </c>
      <c r="F399" s="13">
        <v>397</v>
      </c>
    </row>
    <row r="400" spans="1:6" x14ac:dyDescent="0.25">
      <c r="A400" s="16">
        <v>42772</v>
      </c>
      <c r="B400" s="13" t="s">
        <v>57</v>
      </c>
      <c r="C400" s="13">
        <v>35</v>
      </c>
      <c r="D400" s="13">
        <v>715.4</v>
      </c>
      <c r="E400" s="13" t="str">
        <f>IF(ISERROR(VLOOKUP(F400,Magic!H:H,1,0)),IF(ISERROR(VLOOKUP(F400,Magic!T:T,1,0)),"N","Y"),"Y")</f>
        <v>N</v>
      </c>
      <c r="F400" s="13">
        <v>398</v>
      </c>
    </row>
    <row r="401" spans="1:6" x14ac:dyDescent="0.25">
      <c r="A401" s="16">
        <v>42772</v>
      </c>
      <c r="B401" s="13" t="s">
        <v>57</v>
      </c>
      <c r="C401" s="13">
        <v>35</v>
      </c>
      <c r="D401" s="13">
        <v>689.3</v>
      </c>
      <c r="E401" s="13" t="str">
        <f>IF(ISERROR(VLOOKUP(F401,Magic!H:H,1,0)),IF(ISERROR(VLOOKUP(F401,Magic!T:T,1,0)),"N","Y"),"Y")</f>
        <v>N</v>
      </c>
      <c r="F401" s="13">
        <v>399</v>
      </c>
    </row>
    <row r="402" spans="1:6" x14ac:dyDescent="0.25">
      <c r="A402" s="16">
        <v>42772</v>
      </c>
      <c r="B402" s="13" t="s">
        <v>57</v>
      </c>
      <c r="C402" s="13">
        <v>35</v>
      </c>
      <c r="D402" s="13">
        <v>457.6</v>
      </c>
      <c r="E402" s="13" t="str">
        <f>IF(ISERROR(VLOOKUP(F402,Magic!H:H,1,0)),IF(ISERROR(VLOOKUP(F402,Magic!T:T,1,0)),"N","Y"),"Y")</f>
        <v>N</v>
      </c>
      <c r="F402" s="13">
        <v>400</v>
      </c>
    </row>
    <row r="403" spans="1:6" x14ac:dyDescent="0.25">
      <c r="A403" s="16">
        <v>42772</v>
      </c>
      <c r="B403" s="13" t="s">
        <v>57</v>
      </c>
      <c r="C403" s="13">
        <v>35</v>
      </c>
      <c r="D403" s="13">
        <v>4.3</v>
      </c>
      <c r="E403" s="13" t="str">
        <f>IF(ISERROR(VLOOKUP(F403,Magic!H:H,1,0)),IF(ISERROR(VLOOKUP(F403,Magic!T:T,1,0)),"N","Y"),"Y")</f>
        <v>N</v>
      </c>
      <c r="F403" s="13">
        <v>401</v>
      </c>
    </row>
    <row r="404" spans="1:6" x14ac:dyDescent="0.25">
      <c r="A404" s="16">
        <v>42772</v>
      </c>
      <c r="B404" s="13" t="s">
        <v>146</v>
      </c>
      <c r="C404" s="13">
        <v>37</v>
      </c>
      <c r="D404" s="13">
        <v>5</v>
      </c>
      <c r="E404" s="13" t="str">
        <f>IF(ISERROR(VLOOKUP(F404,Magic!H:H,1,0)),IF(ISERROR(VLOOKUP(F404,Magic!T:T,1,0)),"N","Y"),"Y")</f>
        <v>N</v>
      </c>
      <c r="F404" s="13">
        <v>402</v>
      </c>
    </row>
    <row r="405" spans="1:6" x14ac:dyDescent="0.25">
      <c r="A405" s="16">
        <v>42772</v>
      </c>
      <c r="B405" s="13" t="s">
        <v>146</v>
      </c>
      <c r="C405" s="13">
        <v>37</v>
      </c>
      <c r="D405" s="13">
        <v>1392.25</v>
      </c>
      <c r="E405" s="13" t="s">
        <v>71</v>
      </c>
      <c r="F405" s="13">
        <v>403</v>
      </c>
    </row>
    <row r="406" spans="1:6" x14ac:dyDescent="0.25">
      <c r="A406" s="16">
        <v>42772</v>
      </c>
      <c r="B406" s="13" t="s">
        <v>146</v>
      </c>
      <c r="C406" s="13">
        <v>37</v>
      </c>
      <c r="D406" s="13">
        <v>504.25</v>
      </c>
      <c r="E406" s="13" t="str">
        <f>IF(ISERROR(VLOOKUP(F406,Magic!H:H,1,0)),IF(ISERROR(VLOOKUP(F406,Magic!T:T,1,0)),"N","Y"),"Y")</f>
        <v>N</v>
      </c>
      <c r="F406" s="13">
        <v>424</v>
      </c>
    </row>
    <row r="407" spans="1:6" x14ac:dyDescent="0.25">
      <c r="A407" s="16">
        <v>42772</v>
      </c>
      <c r="B407" s="13" t="s">
        <v>146</v>
      </c>
      <c r="C407" s="13">
        <v>37</v>
      </c>
      <c r="D407" s="13">
        <v>724.25</v>
      </c>
      <c r="E407" s="13" t="str">
        <f>IF(ISERROR(VLOOKUP(F407,Magic!H:H,1,0)),IF(ISERROR(VLOOKUP(F407,Magic!T:T,1,0)),"N","Y"),"Y")</f>
        <v>N</v>
      </c>
      <c r="F407" s="13">
        <v>425</v>
      </c>
    </row>
    <row r="408" spans="1:6" x14ac:dyDescent="0.25">
      <c r="A408" s="16">
        <v>42772</v>
      </c>
      <c r="B408" s="13" t="s">
        <v>146</v>
      </c>
      <c r="C408" s="13">
        <v>37</v>
      </c>
      <c r="D408" s="13">
        <v>162.75</v>
      </c>
      <c r="E408" s="13" t="str">
        <f>IF(ISERROR(VLOOKUP(F408,Magic!H:H,1,0)),IF(ISERROR(VLOOKUP(F408,Magic!T:T,1,0)),"N","Y"),"Y")</f>
        <v>N</v>
      </c>
      <c r="F408" s="13">
        <v>426</v>
      </c>
    </row>
    <row r="409" spans="1:6" x14ac:dyDescent="0.25">
      <c r="A409" s="16">
        <v>42772</v>
      </c>
      <c r="B409" s="13" t="s">
        <v>26</v>
      </c>
      <c r="C409" s="13">
        <v>38</v>
      </c>
      <c r="D409" s="13">
        <v>609.1</v>
      </c>
      <c r="E409" s="13" t="str">
        <f>IF(ISERROR(VLOOKUP(F409,Magic!H:H,1,0)),IF(ISERROR(VLOOKUP(F409,Magic!T:T,1,0)),"N","Y"),"Y")</f>
        <v>N</v>
      </c>
      <c r="F409" s="13">
        <v>404</v>
      </c>
    </row>
    <row r="410" spans="1:6" x14ac:dyDescent="0.25">
      <c r="A410" s="16">
        <v>42772</v>
      </c>
      <c r="B410" s="13" t="s">
        <v>26</v>
      </c>
      <c r="C410" s="13">
        <v>38</v>
      </c>
      <c r="D410" s="13">
        <v>449.65</v>
      </c>
      <c r="E410" s="13" t="str">
        <f>IF(ISERROR(VLOOKUP(F410,Magic!H:H,1,0)),IF(ISERROR(VLOOKUP(F410,Magic!T:T,1,0)),"N","Y"),"Y")</f>
        <v>N</v>
      </c>
      <c r="F410" s="13">
        <v>405</v>
      </c>
    </row>
    <row r="411" spans="1:6" x14ac:dyDescent="0.25">
      <c r="A411" s="16">
        <v>42772</v>
      </c>
      <c r="B411" s="13" t="s">
        <v>26</v>
      </c>
      <c r="C411" s="13">
        <v>38</v>
      </c>
      <c r="D411" s="13">
        <v>776.75</v>
      </c>
      <c r="E411" s="13" t="str">
        <f>IF(ISERROR(VLOOKUP(F411,Magic!H:H,1,0)),IF(ISERROR(VLOOKUP(F411,Magic!T:T,1,0)),"N","Y"),"Y")</f>
        <v>N</v>
      </c>
      <c r="F411" s="13">
        <v>406</v>
      </c>
    </row>
    <row r="412" spans="1:6" x14ac:dyDescent="0.25">
      <c r="A412" s="16">
        <v>42772</v>
      </c>
      <c r="B412" s="13" t="s">
        <v>81</v>
      </c>
      <c r="C412" s="13">
        <v>41</v>
      </c>
      <c r="D412" s="13">
        <v>435.65</v>
      </c>
      <c r="E412" s="13" t="str">
        <f>IF(ISERROR(VLOOKUP(F412,Magic!H:H,1,0)),IF(ISERROR(VLOOKUP(F412,Magic!T:T,1,0)),"N","Y"),"Y")</f>
        <v>N</v>
      </c>
      <c r="F412" s="13">
        <v>407</v>
      </c>
    </row>
    <row r="413" spans="1:6" x14ac:dyDescent="0.25">
      <c r="A413" s="16">
        <v>42772</v>
      </c>
      <c r="B413" s="13" t="s">
        <v>81</v>
      </c>
      <c r="C413" s="13">
        <v>41</v>
      </c>
      <c r="D413" s="13">
        <v>190</v>
      </c>
      <c r="E413" s="13" t="str">
        <f>IF(ISERROR(VLOOKUP(F413,Magic!H:H,1,0)),IF(ISERROR(VLOOKUP(F413,Magic!T:T,1,0)),"N","Y"),"Y")</f>
        <v>N</v>
      </c>
      <c r="F413" s="13">
        <v>408</v>
      </c>
    </row>
    <row r="414" spans="1:6" x14ac:dyDescent="0.25">
      <c r="A414" s="16">
        <v>42772</v>
      </c>
      <c r="B414" s="13" t="s">
        <v>81</v>
      </c>
      <c r="C414" s="13">
        <v>41</v>
      </c>
      <c r="D414" s="13">
        <v>517.29999999999995</v>
      </c>
      <c r="E414" s="13" t="str">
        <f>IF(ISERROR(VLOOKUP(F414,Magic!H:H,1,0)),IF(ISERROR(VLOOKUP(F414,Magic!T:T,1,0)),"N","Y"),"Y")</f>
        <v>N</v>
      </c>
      <c r="F414" s="13">
        <v>409</v>
      </c>
    </row>
    <row r="415" spans="1:6" x14ac:dyDescent="0.25">
      <c r="A415" s="16">
        <v>42772</v>
      </c>
      <c r="B415" s="13" t="s">
        <v>24</v>
      </c>
      <c r="C415" s="13">
        <v>43</v>
      </c>
      <c r="D415" s="13">
        <v>499.8</v>
      </c>
      <c r="E415" s="13" t="str">
        <f>IF(ISERROR(VLOOKUP(F415,Magic!H:H,1,0)),IF(ISERROR(VLOOKUP(F415,Magic!T:T,1,0)),"N","Y"),"Y")</f>
        <v>N</v>
      </c>
      <c r="F415" s="13">
        <v>410</v>
      </c>
    </row>
    <row r="416" spans="1:6" x14ac:dyDescent="0.25">
      <c r="A416" s="16">
        <v>42772</v>
      </c>
      <c r="B416" s="13" t="s">
        <v>24</v>
      </c>
      <c r="C416" s="13">
        <v>43</v>
      </c>
      <c r="D416" s="13">
        <v>611.95000000000005</v>
      </c>
      <c r="E416" s="13" t="str">
        <f>IF(ISERROR(VLOOKUP(F416,Magic!H:H,1,0)),IF(ISERROR(VLOOKUP(F416,Magic!T:T,1,0)),"N","Y"),"Y")</f>
        <v>N</v>
      </c>
      <c r="F416" s="13">
        <v>411</v>
      </c>
    </row>
    <row r="417" spans="1:6" x14ac:dyDescent="0.25">
      <c r="A417" s="16">
        <v>42772</v>
      </c>
      <c r="B417" s="13" t="s">
        <v>25</v>
      </c>
      <c r="C417" s="13">
        <v>44</v>
      </c>
      <c r="D417" s="13">
        <v>379.6</v>
      </c>
      <c r="E417" s="13" t="str">
        <f>IF(ISERROR(VLOOKUP(F417,Magic!H:H,1,0)),IF(ISERROR(VLOOKUP(F417,Magic!T:T,1,0)),"N","Y"),"Y")</f>
        <v>N</v>
      </c>
      <c r="F417" s="13">
        <v>412</v>
      </c>
    </row>
    <row r="418" spans="1:6" x14ac:dyDescent="0.25">
      <c r="A418" s="16">
        <v>42772</v>
      </c>
      <c r="B418" s="13" t="s">
        <v>25</v>
      </c>
      <c r="C418" s="13">
        <v>44</v>
      </c>
      <c r="D418" s="13">
        <v>269.75</v>
      </c>
      <c r="E418" s="13" t="str">
        <f>IF(ISERROR(VLOOKUP(F418,Magic!H:H,1,0)),IF(ISERROR(VLOOKUP(F418,Magic!T:T,1,0)),"N","Y"),"Y")</f>
        <v>N</v>
      </c>
      <c r="F418" s="13">
        <v>413</v>
      </c>
    </row>
    <row r="419" spans="1:6" x14ac:dyDescent="0.25">
      <c r="A419" s="16">
        <v>42772</v>
      </c>
      <c r="B419" s="13" t="s">
        <v>25</v>
      </c>
      <c r="C419" s="13">
        <v>44</v>
      </c>
      <c r="D419" s="13">
        <v>932.58</v>
      </c>
      <c r="E419" s="13" t="str">
        <f>IF(ISERROR(VLOOKUP(F419,Magic!H:H,1,0)),IF(ISERROR(VLOOKUP(F419,Magic!T:T,1,0)),"N","Y"),"Y")</f>
        <v>N</v>
      </c>
      <c r="F419" s="13">
        <v>414</v>
      </c>
    </row>
    <row r="420" spans="1:6" x14ac:dyDescent="0.25">
      <c r="A420" s="16">
        <v>42772</v>
      </c>
      <c r="B420" s="13" t="s">
        <v>30</v>
      </c>
      <c r="C420" s="13">
        <v>45</v>
      </c>
      <c r="D420" s="13">
        <v>2</v>
      </c>
      <c r="E420" s="13" t="str">
        <f>IF(ISERROR(VLOOKUP(F420,Magic!H:H,1,0)),IF(ISERROR(VLOOKUP(F420,Magic!T:T,1,0)),"N","Y"),"Y")</f>
        <v>N</v>
      </c>
      <c r="F420" s="13">
        <v>415</v>
      </c>
    </row>
    <row r="421" spans="1:6" x14ac:dyDescent="0.25">
      <c r="A421" s="16">
        <v>42772</v>
      </c>
      <c r="B421" s="13" t="s">
        <v>30</v>
      </c>
      <c r="C421" s="13">
        <v>45</v>
      </c>
      <c r="D421" s="13">
        <v>19.600000000000001</v>
      </c>
      <c r="E421" s="13" t="str">
        <f>IF(ISERROR(VLOOKUP(F421,Magic!H:H,1,0)),IF(ISERROR(VLOOKUP(F421,Magic!T:T,1,0)),"N","Y"),"Y")</f>
        <v>N</v>
      </c>
      <c r="F421" s="13">
        <v>416</v>
      </c>
    </row>
    <row r="422" spans="1:6" x14ac:dyDescent="0.25">
      <c r="A422" s="16">
        <v>42772</v>
      </c>
      <c r="B422" s="13" t="s">
        <v>30</v>
      </c>
      <c r="C422" s="13">
        <v>45</v>
      </c>
      <c r="D422" s="13">
        <v>542.29999999999995</v>
      </c>
      <c r="E422" s="13" t="str">
        <f>IF(ISERROR(VLOOKUP(F422,Magic!H:H,1,0)),IF(ISERROR(VLOOKUP(F422,Magic!T:T,1,0)),"N","Y"),"Y")</f>
        <v>N</v>
      </c>
      <c r="F422" s="13">
        <v>417</v>
      </c>
    </row>
    <row r="423" spans="1:6" x14ac:dyDescent="0.25">
      <c r="A423" s="16">
        <v>42772</v>
      </c>
      <c r="B423" s="13" t="s">
        <v>30</v>
      </c>
      <c r="C423" s="13">
        <v>45</v>
      </c>
      <c r="D423" s="13">
        <v>634.6</v>
      </c>
      <c r="E423" s="13" t="str">
        <f>IF(ISERROR(VLOOKUP(F423,Magic!H:H,1,0)),IF(ISERROR(VLOOKUP(F423,Magic!T:T,1,0)),"N","Y"),"Y")</f>
        <v>N</v>
      </c>
      <c r="F423" s="13">
        <v>418</v>
      </c>
    </row>
    <row r="424" spans="1:6" x14ac:dyDescent="0.25">
      <c r="A424" s="16">
        <v>42772</v>
      </c>
      <c r="B424" s="13" t="s">
        <v>27</v>
      </c>
      <c r="C424" s="13">
        <v>101</v>
      </c>
      <c r="D424" s="13">
        <v>494.05</v>
      </c>
      <c r="E424" s="13" t="str">
        <f>IF(ISERROR(VLOOKUP(F424,Magic!H:H,1,0)),IF(ISERROR(VLOOKUP(F424,Magic!T:T,1,0)),"N","Y"),"Y")</f>
        <v>N</v>
      </c>
      <c r="F424" s="13">
        <v>419</v>
      </c>
    </row>
    <row r="425" spans="1:6" x14ac:dyDescent="0.25">
      <c r="A425" s="16">
        <v>42772</v>
      </c>
      <c r="B425" s="13" t="s">
        <v>27</v>
      </c>
      <c r="C425" s="13">
        <v>101</v>
      </c>
      <c r="D425" s="13">
        <v>387.7</v>
      </c>
      <c r="E425" s="13" t="str">
        <f>IF(ISERROR(VLOOKUP(F425,Magic!H:H,1,0)),IF(ISERROR(VLOOKUP(F425,Magic!T:T,1,0)),"N","Y"),"Y")</f>
        <v>N</v>
      </c>
      <c r="F425" s="13">
        <v>420</v>
      </c>
    </row>
    <row r="426" spans="1:6" x14ac:dyDescent="0.25">
      <c r="A426" s="16">
        <v>42772</v>
      </c>
      <c r="B426" s="13" t="s">
        <v>27</v>
      </c>
      <c r="C426" s="13">
        <v>101</v>
      </c>
      <c r="D426" s="13">
        <v>219.85</v>
      </c>
      <c r="E426" s="13" t="str">
        <f>IF(ISERROR(VLOOKUP(F426,Magic!H:H,1,0)),IF(ISERROR(VLOOKUP(F426,Magic!T:T,1,0)),"N","Y"),"Y")</f>
        <v>N</v>
      </c>
      <c r="F426" s="13">
        <v>421</v>
      </c>
    </row>
    <row r="427" spans="1:6" x14ac:dyDescent="0.25">
      <c r="A427" s="16">
        <v>42772</v>
      </c>
      <c r="B427" s="13" t="s">
        <v>28</v>
      </c>
      <c r="C427" s="13">
        <v>103</v>
      </c>
      <c r="D427" s="13">
        <v>546.6</v>
      </c>
      <c r="E427" s="13" t="str">
        <f>IF(ISERROR(VLOOKUP(F427,Magic!H:H,1,0)),IF(ISERROR(VLOOKUP(F427,Magic!T:T,1,0)),"N","Y"),"Y")</f>
        <v>N</v>
      </c>
      <c r="F427" s="13">
        <v>422</v>
      </c>
    </row>
    <row r="428" spans="1:6" x14ac:dyDescent="0.25">
      <c r="A428" s="16">
        <v>42772</v>
      </c>
      <c r="B428" s="13" t="s">
        <v>451</v>
      </c>
      <c r="C428" s="13">
        <v>43</v>
      </c>
      <c r="D428" s="13">
        <v>402.6</v>
      </c>
      <c r="E428" s="13" t="str">
        <f>IF(ISERROR(VLOOKUP(F428,Magic!H:H,1,0)),IF(ISERROR(VLOOKUP(F428,Magic!T:T,1,0)),"N","Y"),"Y")</f>
        <v>N</v>
      </c>
      <c r="F428" s="13">
        <v>423</v>
      </c>
    </row>
    <row r="429" spans="1:6" x14ac:dyDescent="0.25">
      <c r="A429" s="16">
        <v>42773</v>
      </c>
      <c r="B429" s="13" t="s">
        <v>29</v>
      </c>
      <c r="C429" s="13">
        <v>35</v>
      </c>
      <c r="D429" s="13">
        <v>545</v>
      </c>
      <c r="E429" s="13" t="str">
        <f>IF(ISERROR(VLOOKUP(F429,Magic!H:H,1,0)),IF(ISERROR(VLOOKUP(F429,Magic!T:T,1,0)),"N","Y"),"Y")</f>
        <v>N</v>
      </c>
      <c r="F429" s="13">
        <v>427</v>
      </c>
    </row>
    <row r="430" spans="1:6" x14ac:dyDescent="0.25">
      <c r="A430" s="16">
        <v>42773</v>
      </c>
      <c r="B430" s="13" t="s">
        <v>82</v>
      </c>
      <c r="C430" s="13">
        <v>35</v>
      </c>
      <c r="D430" s="13">
        <v>4.75</v>
      </c>
      <c r="E430" s="13" t="str">
        <f>IF(ISERROR(VLOOKUP(F430,Magic!H:H,1,0)),IF(ISERROR(VLOOKUP(F430,Magic!T:T,1,0)),"N","Y"),"Y")</f>
        <v>N</v>
      </c>
      <c r="F430" s="13">
        <v>428</v>
      </c>
    </row>
    <row r="431" spans="1:6" x14ac:dyDescent="0.25">
      <c r="A431" s="16">
        <v>42773</v>
      </c>
      <c r="B431" s="13" t="s">
        <v>146</v>
      </c>
      <c r="C431" s="13">
        <v>37</v>
      </c>
      <c r="D431" s="13">
        <v>305.75</v>
      </c>
      <c r="E431" s="13" t="str">
        <f>IF(ISERROR(VLOOKUP(F431,Magic!H:H,1,0)),IF(ISERROR(VLOOKUP(F431,Magic!T:T,1,0)),"N","Y"),"Y")</f>
        <v>N</v>
      </c>
      <c r="F431" s="13">
        <v>429</v>
      </c>
    </row>
    <row r="432" spans="1:6" x14ac:dyDescent="0.25">
      <c r="A432" s="16">
        <v>42773</v>
      </c>
      <c r="B432" s="13" t="s">
        <v>26</v>
      </c>
      <c r="C432" s="13">
        <v>38</v>
      </c>
      <c r="D432" s="13">
        <v>430</v>
      </c>
      <c r="E432" s="13" t="str">
        <f>IF(ISERROR(VLOOKUP(F432,Magic!H:H,1,0)),IF(ISERROR(VLOOKUP(F432,Magic!T:T,1,0)),"N","Y"),"Y")</f>
        <v>N</v>
      </c>
      <c r="F432" s="13">
        <v>430</v>
      </c>
    </row>
    <row r="433" spans="1:6" x14ac:dyDescent="0.25">
      <c r="A433" s="16">
        <v>42773</v>
      </c>
      <c r="B433" s="13" t="s">
        <v>81</v>
      </c>
      <c r="C433" s="13">
        <v>41</v>
      </c>
      <c r="D433" s="13">
        <v>342.75</v>
      </c>
      <c r="E433" s="13" t="str">
        <f>IF(ISERROR(VLOOKUP(F433,Magic!H:H,1,0)),IF(ISERROR(VLOOKUP(F433,Magic!T:T,1,0)),"N","Y"),"Y")</f>
        <v>N</v>
      </c>
      <c r="F433" s="13">
        <v>431</v>
      </c>
    </row>
    <row r="434" spans="1:6" x14ac:dyDescent="0.25">
      <c r="A434" s="16">
        <v>42773</v>
      </c>
      <c r="B434" s="13" t="s">
        <v>461</v>
      </c>
      <c r="C434" s="13">
        <v>43</v>
      </c>
      <c r="D434" s="13">
        <v>557.54999999999995</v>
      </c>
      <c r="E434" s="13" t="str">
        <f>IF(ISERROR(VLOOKUP(F434,Magic!H:H,1,0)),IF(ISERROR(VLOOKUP(F434,Magic!T:T,1,0)),"N","Y"),"Y")</f>
        <v>N</v>
      </c>
      <c r="F434" s="13">
        <v>432</v>
      </c>
    </row>
    <row r="435" spans="1:6" x14ac:dyDescent="0.25">
      <c r="A435" s="16">
        <v>42773</v>
      </c>
      <c r="B435" s="13" t="s">
        <v>25</v>
      </c>
      <c r="C435" s="13">
        <v>44</v>
      </c>
      <c r="D435" s="13">
        <v>363.35</v>
      </c>
      <c r="E435" s="13" t="str">
        <f>IF(ISERROR(VLOOKUP(F435,Magic!H:H,1,0)),IF(ISERROR(VLOOKUP(F435,Magic!T:T,1,0)),"N","Y"),"Y")</f>
        <v>N</v>
      </c>
      <c r="F435" s="13">
        <v>433</v>
      </c>
    </row>
    <row r="436" spans="1:6" x14ac:dyDescent="0.25">
      <c r="A436" s="16">
        <v>42773</v>
      </c>
      <c r="B436" s="13" t="s">
        <v>30</v>
      </c>
      <c r="C436" s="13">
        <v>45</v>
      </c>
      <c r="D436" s="13">
        <v>245</v>
      </c>
      <c r="E436" s="13" t="str">
        <f>IF(ISERROR(VLOOKUP(F436,Magic!H:H,1,0)),IF(ISERROR(VLOOKUP(F436,Magic!T:T,1,0)),"N","Y"),"Y")</f>
        <v>N</v>
      </c>
      <c r="F436" s="13">
        <v>434</v>
      </c>
    </row>
    <row r="437" spans="1:6" x14ac:dyDescent="0.25">
      <c r="A437" s="16">
        <v>42773</v>
      </c>
      <c r="B437" s="13" t="s">
        <v>123</v>
      </c>
      <c r="C437" s="13">
        <v>45</v>
      </c>
      <c r="D437" s="13">
        <v>440</v>
      </c>
      <c r="E437" s="13" t="str">
        <f>IF(ISERROR(VLOOKUP(F437,Magic!H:H,1,0)),IF(ISERROR(VLOOKUP(F437,Magic!T:T,1,0)),"N","Y"),"Y")</f>
        <v>N</v>
      </c>
      <c r="F437" s="13">
        <v>435</v>
      </c>
    </row>
    <row r="438" spans="1:6" x14ac:dyDescent="0.25">
      <c r="A438" s="16">
        <v>42773</v>
      </c>
      <c r="B438" s="13" t="s">
        <v>27</v>
      </c>
      <c r="C438" s="13">
        <v>101</v>
      </c>
      <c r="D438" s="13">
        <v>584.45000000000005</v>
      </c>
      <c r="E438" s="13" t="str">
        <f>IF(ISERROR(VLOOKUP(F438,Magic!H:H,1,0)),IF(ISERROR(VLOOKUP(F438,Magic!T:T,1,0)),"N","Y"),"Y")</f>
        <v>N</v>
      </c>
      <c r="F438" s="13">
        <v>436</v>
      </c>
    </row>
    <row r="439" spans="1:6" x14ac:dyDescent="0.25">
      <c r="A439" s="16">
        <v>42773</v>
      </c>
      <c r="B439" s="13" t="s">
        <v>28</v>
      </c>
      <c r="C439" s="13">
        <v>103</v>
      </c>
      <c r="D439" s="13">
        <v>1110.5999999999999</v>
      </c>
      <c r="E439" s="13" t="str">
        <f>IF(ISERROR(VLOOKUP(F439,Magic!H:H,1,0)),IF(ISERROR(VLOOKUP(F439,Magic!T:T,1,0)),"N","Y"),"Y")</f>
        <v>N</v>
      </c>
      <c r="F439" s="13">
        <v>437</v>
      </c>
    </row>
    <row r="440" spans="1:6" x14ac:dyDescent="0.25">
      <c r="A440" s="16">
        <v>42773</v>
      </c>
      <c r="B440" s="13" t="s">
        <v>460</v>
      </c>
      <c r="C440" s="13">
        <v>45</v>
      </c>
      <c r="D440" s="13">
        <v>12.6</v>
      </c>
      <c r="E440" s="13" t="str">
        <f>IF(ISERROR(VLOOKUP(F440,Magic!H:H,1,0)),IF(ISERROR(VLOOKUP(F440,Magic!T:T,1,0)),"N","Y"),"Y")</f>
        <v>N</v>
      </c>
      <c r="F440" s="13">
        <v>438</v>
      </c>
    </row>
    <row r="441" spans="1:6" x14ac:dyDescent="0.25">
      <c r="A441" s="16">
        <v>42774</v>
      </c>
      <c r="B441" s="13" t="s">
        <v>29</v>
      </c>
      <c r="C441" s="13">
        <v>35</v>
      </c>
      <c r="D441" s="13">
        <v>650</v>
      </c>
      <c r="E441" s="13" t="str">
        <f>IF(ISERROR(VLOOKUP(F441,Magic!H:H,1,0)),IF(ISERROR(VLOOKUP(F441,Magic!T:T,1,0)),"N","Y"),"Y")</f>
        <v>N</v>
      </c>
      <c r="F441" s="13">
        <v>439</v>
      </c>
    </row>
    <row r="442" spans="1:6" x14ac:dyDescent="0.25">
      <c r="A442" s="16">
        <v>42774</v>
      </c>
      <c r="B442" s="13" t="s">
        <v>31</v>
      </c>
      <c r="C442" s="13">
        <v>37</v>
      </c>
      <c r="D442" s="13">
        <v>15</v>
      </c>
      <c r="E442" s="13" t="s">
        <v>71</v>
      </c>
      <c r="F442" s="13">
        <v>440</v>
      </c>
    </row>
    <row r="443" spans="1:6" x14ac:dyDescent="0.25">
      <c r="A443" s="16">
        <v>42774</v>
      </c>
      <c r="B443" s="13" t="s">
        <v>31</v>
      </c>
      <c r="C443" s="13">
        <v>37</v>
      </c>
      <c r="D443" s="13">
        <v>244.55</v>
      </c>
      <c r="E443" s="13" t="str">
        <f>IF(ISERROR(VLOOKUP(F443,Magic!H:H,1,0)),IF(ISERROR(VLOOKUP(F443,Magic!T:T,1,0)),"N","Y"),"Y")</f>
        <v>N</v>
      </c>
      <c r="F443" s="13">
        <v>441</v>
      </c>
    </row>
    <row r="444" spans="1:6" x14ac:dyDescent="0.25">
      <c r="A444" s="16">
        <v>42774</v>
      </c>
      <c r="B444" s="13" t="s">
        <v>81</v>
      </c>
      <c r="C444" s="13">
        <v>41</v>
      </c>
      <c r="D444" s="13">
        <v>482.45</v>
      </c>
      <c r="E444" s="13" t="str">
        <f>IF(ISERROR(VLOOKUP(F444,Magic!H:H,1,0)),IF(ISERROR(VLOOKUP(F444,Magic!T:T,1,0)),"N","Y"),"Y")</f>
        <v>N</v>
      </c>
      <c r="F444" s="13">
        <v>442</v>
      </c>
    </row>
    <row r="445" spans="1:6" x14ac:dyDescent="0.25">
      <c r="A445" s="16">
        <v>42774</v>
      </c>
      <c r="B445" s="13" t="s">
        <v>472</v>
      </c>
      <c r="C445" s="13">
        <v>43</v>
      </c>
      <c r="D445" s="13">
        <v>510.55</v>
      </c>
      <c r="E445" s="13" t="str">
        <f>IF(ISERROR(VLOOKUP(F445,Magic!H:H,1,0)),IF(ISERROR(VLOOKUP(F445,Magic!T:T,1,0)),"N","Y"),"Y")</f>
        <v>N</v>
      </c>
      <c r="F445" s="13">
        <v>443</v>
      </c>
    </row>
    <row r="446" spans="1:6" x14ac:dyDescent="0.25">
      <c r="A446" s="16">
        <v>42774</v>
      </c>
      <c r="B446" s="13" t="s">
        <v>25</v>
      </c>
      <c r="C446" s="13">
        <v>44</v>
      </c>
      <c r="D446" s="13">
        <v>247.85</v>
      </c>
      <c r="E446" s="13" t="str">
        <f>IF(ISERROR(VLOOKUP(F446,Magic!H:H,1,0)),IF(ISERROR(VLOOKUP(F446,Magic!T:T,1,0)),"N","Y"),"Y")</f>
        <v>N</v>
      </c>
      <c r="F446" s="13">
        <v>444</v>
      </c>
    </row>
    <row r="447" spans="1:6" x14ac:dyDescent="0.25">
      <c r="A447" s="16">
        <v>42774</v>
      </c>
      <c r="B447" s="13" t="s">
        <v>30</v>
      </c>
      <c r="C447" s="13">
        <v>45</v>
      </c>
      <c r="D447" s="13">
        <v>390</v>
      </c>
      <c r="E447" s="13" t="str">
        <f>IF(ISERROR(VLOOKUP(F447,Magic!H:H,1,0)),IF(ISERROR(VLOOKUP(F447,Magic!T:T,1,0)),"N","Y"),"Y")</f>
        <v>N</v>
      </c>
      <c r="F447" s="13">
        <v>445</v>
      </c>
    </row>
    <row r="448" spans="1:6" x14ac:dyDescent="0.25">
      <c r="A448" s="16">
        <v>42774</v>
      </c>
      <c r="B448" s="13" t="s">
        <v>27</v>
      </c>
      <c r="C448" s="13">
        <v>101</v>
      </c>
      <c r="D448" s="13">
        <v>383.7</v>
      </c>
      <c r="E448" s="13" t="str">
        <f>IF(ISERROR(VLOOKUP(F448,Magic!H:H,1,0)),IF(ISERROR(VLOOKUP(F448,Magic!T:T,1,0)),"N","Y"),"Y")</f>
        <v>N</v>
      </c>
      <c r="F448" s="13">
        <v>446</v>
      </c>
    </row>
    <row r="449" spans="1:6" x14ac:dyDescent="0.25">
      <c r="A449" s="16">
        <v>42774</v>
      </c>
      <c r="B449" s="13" t="s">
        <v>240</v>
      </c>
      <c r="C449" s="13">
        <v>103</v>
      </c>
      <c r="D449" s="13">
        <v>880</v>
      </c>
      <c r="E449" s="13" t="str">
        <f>IF(ISERROR(VLOOKUP(F449,Magic!H:H,1,0)),IF(ISERROR(VLOOKUP(F449,Magic!T:T,1,0)),"N","Y"),"Y")</f>
        <v>N</v>
      </c>
      <c r="F449" s="13">
        <v>447</v>
      </c>
    </row>
    <row r="450" spans="1:6" x14ac:dyDescent="0.25">
      <c r="A450" s="16">
        <v>42774</v>
      </c>
      <c r="B450" s="13" t="s">
        <v>355</v>
      </c>
      <c r="C450" s="13">
        <v>103</v>
      </c>
      <c r="D450" s="13">
        <v>37.6</v>
      </c>
      <c r="E450" s="13" t="str">
        <f>IF(ISERROR(VLOOKUP(F450,Magic!H:H,1,0)),IF(ISERROR(VLOOKUP(F450,Magic!T:T,1,0)),"N","Y"),"Y")</f>
        <v>N</v>
      </c>
      <c r="F450" s="13">
        <v>448</v>
      </c>
    </row>
    <row r="451" spans="1:6" x14ac:dyDescent="0.25">
      <c r="A451" s="16">
        <v>42774</v>
      </c>
      <c r="B451" s="13" t="s">
        <v>212</v>
      </c>
      <c r="C451" s="13">
        <v>38</v>
      </c>
      <c r="D451" s="13">
        <v>47.3</v>
      </c>
      <c r="E451" s="13" t="str">
        <f>IF(ISERROR(VLOOKUP(F451,Magic!H:H,1,0)),IF(ISERROR(VLOOKUP(F451,Magic!T:T,1,0)),"N","Y"),"Y")</f>
        <v>N</v>
      </c>
      <c r="F451" s="13">
        <v>449</v>
      </c>
    </row>
    <row r="452" spans="1:6" x14ac:dyDescent="0.25">
      <c r="A452" s="16">
        <v>42774</v>
      </c>
      <c r="B452" s="13" t="s">
        <v>460</v>
      </c>
      <c r="C452" s="13">
        <v>45</v>
      </c>
      <c r="D452" s="13">
        <v>4.7</v>
      </c>
      <c r="E452" s="13" t="str">
        <f>IF(ISERROR(VLOOKUP(F452,Magic!H:H,1,0)),IF(ISERROR(VLOOKUP(F452,Magic!T:T,1,0)),"N","Y"),"Y")</f>
        <v>N</v>
      </c>
      <c r="F452" s="13">
        <v>450</v>
      </c>
    </row>
    <row r="453" spans="1:6" x14ac:dyDescent="0.25">
      <c r="A453" s="16">
        <v>42775</v>
      </c>
      <c r="B453" s="13" t="s">
        <v>81</v>
      </c>
      <c r="C453" s="13">
        <v>41</v>
      </c>
      <c r="D453" s="13">
        <v>409.4</v>
      </c>
      <c r="E453" s="13" t="str">
        <f>IF(ISERROR(VLOOKUP(F453,Magic!H:H,1,0)),IF(ISERROR(VLOOKUP(F453,Magic!T:T,1,0)),"N","Y"),"Y")</f>
        <v>N</v>
      </c>
      <c r="F453" s="13">
        <v>451</v>
      </c>
    </row>
    <row r="454" spans="1:6" x14ac:dyDescent="0.25">
      <c r="A454" s="16">
        <v>42775</v>
      </c>
      <c r="B454" s="13" t="s">
        <v>82</v>
      </c>
      <c r="C454" s="13">
        <v>35</v>
      </c>
      <c r="D454" s="13">
        <v>3.55</v>
      </c>
      <c r="E454" s="13" t="str">
        <f>IF(ISERROR(VLOOKUP(F454,Magic!H:H,1,0)),IF(ISERROR(VLOOKUP(F454,Magic!T:T,1,0)),"N","Y"),"Y")</f>
        <v>N</v>
      </c>
      <c r="F454" s="13">
        <v>452</v>
      </c>
    </row>
    <row r="455" spans="1:6" x14ac:dyDescent="0.25">
      <c r="A455" s="16">
        <v>42775</v>
      </c>
      <c r="B455" s="13" t="s">
        <v>82</v>
      </c>
      <c r="C455" s="13">
        <v>35</v>
      </c>
      <c r="D455" s="13">
        <v>4.95</v>
      </c>
      <c r="E455" s="13" t="str">
        <f>IF(ISERROR(VLOOKUP(F455,Magic!H:H,1,0)),IF(ISERROR(VLOOKUP(F455,Magic!T:T,1,0)),"N","Y"),"Y")</f>
        <v>N</v>
      </c>
      <c r="F455" s="13">
        <v>453</v>
      </c>
    </row>
    <row r="456" spans="1:6" x14ac:dyDescent="0.25">
      <c r="A456" s="16">
        <v>42775</v>
      </c>
      <c r="B456" s="13" t="s">
        <v>31</v>
      </c>
      <c r="C456" s="13">
        <v>37</v>
      </c>
      <c r="D456" s="13">
        <v>339.55</v>
      </c>
      <c r="E456" s="13" t="str">
        <f>IF(ISERROR(VLOOKUP(F456,Magic!H:H,1,0)),IF(ISERROR(VLOOKUP(F456,Magic!T:T,1,0)),"N","Y"),"Y")</f>
        <v>N</v>
      </c>
      <c r="F456" s="13">
        <v>454</v>
      </c>
    </row>
    <row r="457" spans="1:6" x14ac:dyDescent="0.25">
      <c r="A457" s="16">
        <v>42775</v>
      </c>
      <c r="B457" s="13" t="s">
        <v>26</v>
      </c>
      <c r="C457" s="13">
        <v>38</v>
      </c>
      <c r="D457" s="13">
        <v>879.75</v>
      </c>
      <c r="E457" s="13" t="str">
        <f>IF(ISERROR(VLOOKUP(F457,Magic!H:H,1,0)),IF(ISERROR(VLOOKUP(F457,Magic!T:T,1,0)),"N","Y"),"Y")</f>
        <v>N</v>
      </c>
      <c r="F457" s="13">
        <v>455</v>
      </c>
    </row>
    <row r="458" spans="1:6" x14ac:dyDescent="0.25">
      <c r="A458" s="16">
        <v>42775</v>
      </c>
      <c r="B458" s="13" t="s">
        <v>24</v>
      </c>
      <c r="C458" s="13">
        <v>43</v>
      </c>
      <c r="D458" s="13">
        <v>437.7</v>
      </c>
      <c r="E458" s="13" t="str">
        <f>IF(ISERROR(VLOOKUP(F458,Magic!H:H,1,0)),IF(ISERROR(VLOOKUP(F458,Magic!T:T,1,0)),"N","Y"),"Y")</f>
        <v>N</v>
      </c>
      <c r="F458" s="13">
        <v>456</v>
      </c>
    </row>
    <row r="459" spans="1:6" x14ac:dyDescent="0.25">
      <c r="A459" s="16">
        <v>42775</v>
      </c>
      <c r="B459" s="13" t="s">
        <v>25</v>
      </c>
      <c r="C459" s="13">
        <v>44</v>
      </c>
      <c r="D459" s="13">
        <v>430.35</v>
      </c>
      <c r="E459" s="13" t="str">
        <f>IF(ISERROR(VLOOKUP(F459,Magic!H:H,1,0)),IF(ISERROR(VLOOKUP(F459,Magic!T:T,1,0)),"N","Y"),"Y")</f>
        <v>N</v>
      </c>
      <c r="F459" s="13">
        <v>457</v>
      </c>
    </row>
    <row r="460" spans="1:6" x14ac:dyDescent="0.25">
      <c r="A460" s="16">
        <v>42775</v>
      </c>
      <c r="B460" s="13" t="s">
        <v>27</v>
      </c>
      <c r="C460" s="13">
        <v>101</v>
      </c>
      <c r="D460" s="13">
        <v>210</v>
      </c>
      <c r="E460" s="13" t="str">
        <f>IF(ISERROR(VLOOKUP(F460,Magic!H:H,1,0)),IF(ISERROR(VLOOKUP(F460,Magic!T:T,1,0)),"N","Y"),"Y")</f>
        <v>N</v>
      </c>
      <c r="F460" s="13">
        <v>458</v>
      </c>
    </row>
    <row r="461" spans="1:6" x14ac:dyDescent="0.25">
      <c r="A461" s="16">
        <v>42775</v>
      </c>
      <c r="B461" s="13" t="s">
        <v>28</v>
      </c>
      <c r="C461" s="13">
        <v>103</v>
      </c>
      <c r="D461" s="13">
        <v>1602.95</v>
      </c>
      <c r="E461" s="13" t="str">
        <f>IF(ISERROR(VLOOKUP(F461,Magic!H:H,1,0)),IF(ISERROR(VLOOKUP(F461,Magic!T:T,1,0)),"N","Y"),"Y")</f>
        <v>N</v>
      </c>
      <c r="F461" s="13">
        <v>459</v>
      </c>
    </row>
    <row r="462" spans="1:6" x14ac:dyDescent="0.25">
      <c r="A462" s="16">
        <v>42775</v>
      </c>
      <c r="B462" s="13" t="s">
        <v>60</v>
      </c>
      <c r="C462" s="13">
        <v>201</v>
      </c>
      <c r="D462" s="13">
        <v>224.9</v>
      </c>
      <c r="E462" s="13" t="str">
        <f>IF(ISERROR(VLOOKUP(F462,Magic!H:H,1,0)),IF(ISERROR(VLOOKUP(F462,Magic!T:T,1,0)),"N","Y"),"Y")</f>
        <v>N</v>
      </c>
      <c r="F462" s="13">
        <v>460</v>
      </c>
    </row>
    <row r="463" spans="1:6" x14ac:dyDescent="0.25">
      <c r="A463" s="16">
        <v>42775</v>
      </c>
      <c r="B463" s="13" t="s">
        <v>60</v>
      </c>
      <c r="C463" s="13">
        <v>201</v>
      </c>
      <c r="D463" s="13">
        <v>450.7</v>
      </c>
      <c r="E463" s="13" t="str">
        <f>IF(ISERROR(VLOOKUP(F463,Magic!H:H,1,0)),IF(ISERROR(VLOOKUP(F463,Magic!T:T,1,0)),"N","Y"),"Y")</f>
        <v>N</v>
      </c>
      <c r="F463" s="13">
        <v>461</v>
      </c>
    </row>
    <row r="464" spans="1:6" x14ac:dyDescent="0.25">
      <c r="A464" s="16">
        <v>42775</v>
      </c>
      <c r="B464" s="13" t="s">
        <v>60</v>
      </c>
      <c r="C464" s="13">
        <v>201</v>
      </c>
      <c r="D464" s="13">
        <v>249.8</v>
      </c>
      <c r="E464" s="13" t="str">
        <f>IF(ISERROR(VLOOKUP(F464,Magic!H:H,1,0)),IF(ISERROR(VLOOKUP(F464,Magic!T:T,1,0)),"N","Y"),"Y")</f>
        <v>N</v>
      </c>
      <c r="F464" s="13">
        <v>462</v>
      </c>
    </row>
    <row r="465" spans="1:6" x14ac:dyDescent="0.25">
      <c r="A465" s="16">
        <v>42775</v>
      </c>
      <c r="B465" s="13" t="s">
        <v>60</v>
      </c>
      <c r="C465" s="13">
        <v>201</v>
      </c>
      <c r="D465" s="13">
        <v>355.8</v>
      </c>
      <c r="E465" s="13" t="str">
        <f>IF(ISERROR(VLOOKUP(F465,Magic!H:H,1,0)),IF(ISERROR(VLOOKUP(F465,Magic!T:T,1,0)),"N","Y"),"Y")</f>
        <v>N</v>
      </c>
      <c r="F465" s="13">
        <v>463</v>
      </c>
    </row>
    <row r="466" spans="1:6" x14ac:dyDescent="0.25">
      <c r="A466" s="16">
        <v>42775</v>
      </c>
      <c r="B466" s="13" t="s">
        <v>60</v>
      </c>
      <c r="C466" s="13">
        <v>201</v>
      </c>
      <c r="D466" s="13">
        <v>239.85</v>
      </c>
      <c r="E466" s="13" t="str">
        <f>IF(ISERROR(VLOOKUP(F466,Magic!H:H,1,0)),IF(ISERROR(VLOOKUP(F466,Magic!T:T,1,0)),"N","Y"),"Y")</f>
        <v>N</v>
      </c>
      <c r="F466" s="13">
        <v>464</v>
      </c>
    </row>
    <row r="467" spans="1:6" x14ac:dyDescent="0.25">
      <c r="A467" s="16">
        <v>42775</v>
      </c>
      <c r="B467" s="13" t="s">
        <v>60</v>
      </c>
      <c r="C467" s="13">
        <v>201</v>
      </c>
      <c r="D467" s="13">
        <v>548.70000000000005</v>
      </c>
      <c r="E467" s="13" t="str">
        <f>IF(ISERROR(VLOOKUP(F467,Magic!H:H,1,0)),IF(ISERROR(VLOOKUP(F467,Magic!T:T,1,0)),"N","Y"),"Y")</f>
        <v>N</v>
      </c>
      <c r="F467" s="13">
        <v>465</v>
      </c>
    </row>
    <row r="468" spans="1:6" x14ac:dyDescent="0.25">
      <c r="A468" s="16">
        <v>42775</v>
      </c>
      <c r="B468" s="13" t="s">
        <v>460</v>
      </c>
      <c r="C468" s="13">
        <v>45</v>
      </c>
      <c r="D468" s="13">
        <v>4.5999999999999996</v>
      </c>
      <c r="E468" s="13" t="str">
        <f>IF(ISERROR(VLOOKUP(F468,Magic!H:H,1,0)),IF(ISERROR(VLOOKUP(F468,Magic!T:T,1,0)),"N","Y"),"Y")</f>
        <v>N</v>
      </c>
      <c r="F468" s="13">
        <v>466</v>
      </c>
    </row>
    <row r="469" spans="1:6" x14ac:dyDescent="0.25">
      <c r="A469" s="16">
        <v>42778</v>
      </c>
      <c r="B469" s="13" t="s">
        <v>28</v>
      </c>
      <c r="C469" s="13">
        <v>103</v>
      </c>
      <c r="D469" s="13">
        <v>1591.2</v>
      </c>
      <c r="E469" s="13" t="str">
        <f>IF(ISERROR(VLOOKUP(F469,Magic!H:H,1,0)),IF(ISERROR(VLOOKUP(F469,Magic!T:T,1,0)),"N","Y"),"Y")</f>
        <v>N</v>
      </c>
      <c r="F469" s="13">
        <v>467</v>
      </c>
    </row>
    <row r="470" spans="1:6" x14ac:dyDescent="0.25">
      <c r="A470" s="16">
        <v>42776</v>
      </c>
      <c r="B470" s="13" t="s">
        <v>82</v>
      </c>
      <c r="C470" s="13">
        <v>35</v>
      </c>
      <c r="D470" s="13">
        <v>1024.8499999999999</v>
      </c>
      <c r="E470" s="13" t="str">
        <f>IF(ISERROR(VLOOKUP(F470,Magic!H:H,1,0)),IF(ISERROR(VLOOKUP(F470,Magic!T:T,1,0)),"N","Y"),"Y")</f>
        <v>N</v>
      </c>
      <c r="F470" s="13">
        <v>468</v>
      </c>
    </row>
    <row r="471" spans="1:6" x14ac:dyDescent="0.25">
      <c r="A471" s="16">
        <v>42776</v>
      </c>
      <c r="B471" s="13" t="s">
        <v>146</v>
      </c>
      <c r="C471" s="13">
        <v>37</v>
      </c>
      <c r="D471" s="13">
        <v>716.65</v>
      </c>
      <c r="E471" s="13" t="str">
        <f>IF(ISERROR(VLOOKUP(F471,Magic!H:H,1,0)),IF(ISERROR(VLOOKUP(F471,Magic!T:T,1,0)),"N","Y"),"Y")</f>
        <v>N</v>
      </c>
      <c r="F471" s="13">
        <v>469</v>
      </c>
    </row>
    <row r="472" spans="1:6" x14ac:dyDescent="0.25">
      <c r="A472" s="16">
        <v>42776</v>
      </c>
      <c r="B472" s="13" t="s">
        <v>26</v>
      </c>
      <c r="C472" s="13">
        <v>38</v>
      </c>
      <c r="D472" s="13">
        <v>1536.8</v>
      </c>
      <c r="E472" s="13" t="str">
        <f>IF(ISERROR(VLOOKUP(F472,Magic!H:H,1,0)),IF(ISERROR(VLOOKUP(F472,Magic!T:T,1,0)),"N","Y"),"Y")</f>
        <v>N</v>
      </c>
      <c r="F472" s="13">
        <v>470</v>
      </c>
    </row>
    <row r="473" spans="1:6" x14ac:dyDescent="0.25">
      <c r="A473" s="16">
        <v>42776</v>
      </c>
      <c r="B473" s="13" t="s">
        <v>81</v>
      </c>
      <c r="C473" s="13">
        <v>41</v>
      </c>
      <c r="D473" s="13">
        <v>608.29999999999995</v>
      </c>
      <c r="E473" s="13" t="str">
        <f>IF(ISERROR(VLOOKUP(F473,Magic!H:H,1,0)),IF(ISERROR(VLOOKUP(F473,Magic!T:T,1,0)),"N","Y"),"Y")</f>
        <v>N</v>
      </c>
      <c r="F473" s="13">
        <v>471</v>
      </c>
    </row>
    <row r="474" spans="1:6" x14ac:dyDescent="0.25">
      <c r="A474" s="16">
        <v>42776</v>
      </c>
      <c r="B474" s="13" t="s">
        <v>24</v>
      </c>
      <c r="C474" s="13">
        <v>43</v>
      </c>
      <c r="D474" s="13">
        <v>786.65</v>
      </c>
      <c r="E474" s="13" t="str">
        <f>IF(ISERROR(VLOOKUP(F474,Magic!H:H,1,0)),IF(ISERROR(VLOOKUP(F474,Magic!T:T,1,0)),"N","Y"),"Y")</f>
        <v>N</v>
      </c>
      <c r="F474" s="13">
        <v>472</v>
      </c>
    </row>
    <row r="475" spans="1:6" x14ac:dyDescent="0.25">
      <c r="A475" s="16">
        <v>42776</v>
      </c>
      <c r="B475" s="13" t="s">
        <v>30</v>
      </c>
      <c r="C475" s="13">
        <v>45</v>
      </c>
      <c r="D475" s="13">
        <v>1134.4000000000001</v>
      </c>
      <c r="E475" s="13" t="str">
        <f>IF(ISERROR(VLOOKUP(F475,Magic!H:H,1,0)),IF(ISERROR(VLOOKUP(F475,Magic!T:T,1,0)),"N","Y"),"Y")</f>
        <v>N</v>
      </c>
      <c r="F475" s="13">
        <v>473</v>
      </c>
    </row>
    <row r="476" spans="1:6" x14ac:dyDescent="0.25">
      <c r="A476" s="16">
        <v>42776</v>
      </c>
      <c r="B476" s="13" t="s">
        <v>27</v>
      </c>
      <c r="C476" s="13">
        <v>101</v>
      </c>
      <c r="D476" s="13">
        <v>634.29999999999995</v>
      </c>
      <c r="E476" s="13" t="str">
        <f>IF(ISERROR(VLOOKUP(F476,Magic!H:H,1,0)),IF(ISERROR(VLOOKUP(F476,Magic!T:T,1,0)),"N","Y"),"Y")</f>
        <v>N</v>
      </c>
      <c r="F476" s="13">
        <v>474</v>
      </c>
    </row>
    <row r="477" spans="1:6" x14ac:dyDescent="0.25">
      <c r="A477" s="16">
        <v>42776</v>
      </c>
      <c r="B477" s="13" t="s">
        <v>28</v>
      </c>
      <c r="C477" s="13">
        <v>103</v>
      </c>
      <c r="D477" s="13">
        <v>1546.2</v>
      </c>
      <c r="E477" s="13" t="str">
        <f>IF(ISERROR(VLOOKUP(F477,Magic!H:H,1,0)),IF(ISERROR(VLOOKUP(F477,Magic!T:T,1,0)),"N","Y"),"Y")</f>
        <v>N</v>
      </c>
      <c r="F477" s="13">
        <v>475</v>
      </c>
    </row>
    <row r="478" spans="1:6" x14ac:dyDescent="0.25">
      <c r="A478" s="16">
        <v>42776</v>
      </c>
      <c r="B478" s="13" t="s">
        <v>510</v>
      </c>
      <c r="C478" s="13">
        <v>44</v>
      </c>
      <c r="D478" s="13">
        <v>539.45000000000005</v>
      </c>
      <c r="E478" s="13" t="str">
        <f>IF(ISERROR(VLOOKUP(F478,Magic!H:H,1,0)),IF(ISERROR(VLOOKUP(F478,Magic!T:T,1,0)),"N","Y"),"Y")</f>
        <v>N</v>
      </c>
      <c r="F478" s="13">
        <v>476</v>
      </c>
    </row>
    <row r="479" spans="1:6" x14ac:dyDescent="0.25">
      <c r="A479" s="16">
        <v>42777</v>
      </c>
      <c r="B479" s="13" t="s">
        <v>142</v>
      </c>
      <c r="C479" s="13">
        <v>38</v>
      </c>
      <c r="D479" s="13">
        <v>800</v>
      </c>
      <c r="E479" s="13" t="str">
        <f>IF(ISERROR(VLOOKUP(F479,Magic!H:H,1,0)),IF(ISERROR(VLOOKUP(F479,Magic!T:T,1,0)),"N","Y"),"Y")</f>
        <v>N</v>
      </c>
      <c r="F479" s="13">
        <v>477</v>
      </c>
    </row>
    <row r="480" spans="1:6" x14ac:dyDescent="0.25">
      <c r="A480" s="16">
        <v>42777</v>
      </c>
      <c r="B480" s="13" t="s">
        <v>30</v>
      </c>
      <c r="C480" s="13">
        <v>45</v>
      </c>
      <c r="D480" s="13">
        <v>609.5</v>
      </c>
      <c r="E480" s="13" t="str">
        <f>IF(ISERROR(VLOOKUP(F480,Magic!H:H,1,0)),IF(ISERROR(VLOOKUP(F480,Magic!T:T,1,0)),"N","Y"),"Y")</f>
        <v>N</v>
      </c>
      <c r="F480" s="13">
        <v>478</v>
      </c>
    </row>
    <row r="481" spans="1:6" x14ac:dyDescent="0.25">
      <c r="A481" s="16">
        <v>42777</v>
      </c>
      <c r="B481" s="13" t="s">
        <v>28</v>
      </c>
      <c r="C481" s="13">
        <v>103</v>
      </c>
      <c r="D481" s="13">
        <v>877.8</v>
      </c>
      <c r="E481" s="13" t="str">
        <f>IF(ISERROR(VLOOKUP(F481,Magic!H:H,1,0)),IF(ISERROR(VLOOKUP(F481,Magic!T:T,1,0)),"N","Y"),"Y")</f>
        <v>N</v>
      </c>
      <c r="F481" s="13">
        <v>479</v>
      </c>
    </row>
    <row r="482" spans="1:6" x14ac:dyDescent="0.25">
      <c r="A482" s="16">
        <v>42779</v>
      </c>
      <c r="B482" s="13" t="s">
        <v>30</v>
      </c>
      <c r="C482" s="13">
        <v>45</v>
      </c>
      <c r="D482" s="13">
        <v>440</v>
      </c>
      <c r="E482" s="13" t="str">
        <f>IF(ISERROR(VLOOKUP(F482,Magic!H:H,1,0)),IF(ISERROR(VLOOKUP(F482,Magic!T:T,1,0)),"N","Y"),"Y")</f>
        <v>N</v>
      </c>
      <c r="F482" s="13">
        <v>480</v>
      </c>
    </row>
    <row r="483" spans="1:6" x14ac:dyDescent="0.25">
      <c r="A483" s="16">
        <v>42779</v>
      </c>
      <c r="B483" s="13" t="s">
        <v>29</v>
      </c>
      <c r="C483" s="13">
        <v>35</v>
      </c>
      <c r="D483" s="13">
        <v>675</v>
      </c>
      <c r="E483" s="13" t="str">
        <f>IF(ISERROR(VLOOKUP(F483,Magic!H:H,1,0)),IF(ISERROR(VLOOKUP(F483,Magic!T:T,1,0)),"N","Y"),"Y")</f>
        <v>N</v>
      </c>
      <c r="F483" s="13">
        <v>481</v>
      </c>
    </row>
    <row r="484" spans="1:6" x14ac:dyDescent="0.25">
      <c r="A484" s="16">
        <v>42779</v>
      </c>
      <c r="B484" s="13" t="s">
        <v>82</v>
      </c>
      <c r="C484" s="13">
        <v>35</v>
      </c>
      <c r="D484" s="13">
        <v>464.7</v>
      </c>
      <c r="E484" s="13" t="str">
        <f>IF(ISERROR(VLOOKUP(F484,Magic!H:H,1,0)),IF(ISERROR(VLOOKUP(F484,Magic!T:T,1,0)),"N","Y"),"Y")</f>
        <v>N</v>
      </c>
      <c r="F484" s="13">
        <v>482</v>
      </c>
    </row>
    <row r="485" spans="1:6" x14ac:dyDescent="0.25">
      <c r="A485" s="16">
        <v>42779</v>
      </c>
      <c r="B485" s="13" t="s">
        <v>82</v>
      </c>
      <c r="C485" s="13">
        <v>35</v>
      </c>
      <c r="D485" s="13">
        <v>714.7</v>
      </c>
      <c r="E485" s="13" t="str">
        <f>IF(ISERROR(VLOOKUP(F485,Magic!H:H,1,0)),IF(ISERROR(VLOOKUP(F485,Magic!T:T,1,0)),"N","Y"),"Y")</f>
        <v>N</v>
      </c>
      <c r="F485" s="13">
        <v>483</v>
      </c>
    </row>
    <row r="486" spans="1:6" x14ac:dyDescent="0.25">
      <c r="A486" s="16">
        <v>42779</v>
      </c>
      <c r="B486" s="13" t="s">
        <v>82</v>
      </c>
      <c r="C486" s="13">
        <v>35</v>
      </c>
      <c r="D486" s="13">
        <v>984.35</v>
      </c>
      <c r="E486" s="13" t="str">
        <f>IF(ISERROR(VLOOKUP(F486,Magic!H:H,1,0)),IF(ISERROR(VLOOKUP(F486,Magic!T:T,1,0)),"N","Y"),"Y")</f>
        <v>N</v>
      </c>
      <c r="F486" s="13">
        <v>484</v>
      </c>
    </row>
    <row r="487" spans="1:6" x14ac:dyDescent="0.25">
      <c r="A487" s="16">
        <v>42779</v>
      </c>
      <c r="B487" s="13" t="s">
        <v>31</v>
      </c>
      <c r="C487" s="13">
        <v>37</v>
      </c>
      <c r="D487" s="13">
        <v>369.55</v>
      </c>
      <c r="E487" s="13" t="str">
        <f>IF(ISERROR(VLOOKUP(F487,Magic!H:H,1,0)),IF(ISERROR(VLOOKUP(F487,Magic!T:T,1,0)),"N","Y"),"Y")</f>
        <v>N</v>
      </c>
      <c r="F487" s="13">
        <v>485</v>
      </c>
    </row>
    <row r="488" spans="1:6" x14ac:dyDescent="0.25">
      <c r="A488" s="16">
        <v>42779</v>
      </c>
      <c r="B488" s="13" t="s">
        <v>31</v>
      </c>
      <c r="C488" s="13">
        <v>37</v>
      </c>
      <c r="D488" s="13">
        <v>319.64999999999998</v>
      </c>
      <c r="E488" s="13" t="str">
        <f>IF(ISERROR(VLOOKUP(F488,Magic!H:H,1,0)),IF(ISERROR(VLOOKUP(F488,Magic!T:T,1,0)),"N","Y"),"Y")</f>
        <v>N</v>
      </c>
      <c r="F488" s="13">
        <v>486</v>
      </c>
    </row>
    <row r="489" spans="1:6" x14ac:dyDescent="0.25">
      <c r="A489" s="16">
        <v>42779</v>
      </c>
      <c r="B489" s="13" t="s">
        <v>26</v>
      </c>
      <c r="C489" s="13">
        <v>38</v>
      </c>
      <c r="D489" s="13">
        <v>14.3</v>
      </c>
      <c r="E489" s="13" t="str">
        <f>IF(ISERROR(VLOOKUP(F489,Magic!H:H,1,0)),IF(ISERROR(VLOOKUP(F489,Magic!T:T,1,0)),"N","Y"),"Y")</f>
        <v>N</v>
      </c>
      <c r="F489" s="13">
        <v>487</v>
      </c>
    </row>
    <row r="490" spans="1:6" x14ac:dyDescent="0.25">
      <c r="A490" s="16">
        <v>42779</v>
      </c>
      <c r="B490" s="13" t="s">
        <v>26</v>
      </c>
      <c r="C490" s="13">
        <v>38</v>
      </c>
      <c r="D490" s="13">
        <v>574.6</v>
      </c>
      <c r="E490" s="13" t="str">
        <f>IF(ISERROR(VLOOKUP(F490,Magic!H:H,1,0)),IF(ISERROR(VLOOKUP(F490,Magic!T:T,1,0)),"N","Y"),"Y")</f>
        <v>N</v>
      </c>
      <c r="F490" s="13">
        <v>488</v>
      </c>
    </row>
    <row r="491" spans="1:6" x14ac:dyDescent="0.25">
      <c r="A491" s="16">
        <v>42779</v>
      </c>
      <c r="B491" s="13" t="s">
        <v>26</v>
      </c>
      <c r="C491" s="13">
        <v>38</v>
      </c>
      <c r="D491" s="13">
        <v>1354.05</v>
      </c>
      <c r="E491" s="13" t="str">
        <f>IF(ISERROR(VLOOKUP(F491,Magic!H:H,1,0)),IF(ISERROR(VLOOKUP(F491,Magic!T:T,1,0)),"N","Y"),"Y")</f>
        <v>N</v>
      </c>
      <c r="F491" s="13">
        <v>489</v>
      </c>
    </row>
    <row r="492" spans="1:6" x14ac:dyDescent="0.25">
      <c r="A492" s="16">
        <v>42779</v>
      </c>
      <c r="B492" s="13" t="s">
        <v>81</v>
      </c>
      <c r="C492" s="13">
        <v>41</v>
      </c>
      <c r="D492" s="13">
        <v>509.7</v>
      </c>
      <c r="E492" s="13" t="str">
        <f>IF(ISERROR(VLOOKUP(F492,Magic!H:H,1,0)),IF(ISERROR(VLOOKUP(F492,Magic!T:T,1,0)),"N","Y"),"Y")</f>
        <v>N</v>
      </c>
      <c r="F492" s="13">
        <v>490</v>
      </c>
    </row>
    <row r="493" spans="1:6" x14ac:dyDescent="0.25">
      <c r="A493" s="16">
        <v>42779</v>
      </c>
      <c r="B493" s="13" t="s">
        <v>81</v>
      </c>
      <c r="C493" s="13">
        <v>41</v>
      </c>
      <c r="D493" s="13">
        <v>227.8</v>
      </c>
      <c r="E493" s="13" t="str">
        <f>IF(ISERROR(VLOOKUP(F493,Magic!H:H,1,0)),IF(ISERROR(VLOOKUP(F493,Magic!T:T,1,0)),"N","Y"),"Y")</f>
        <v>N</v>
      </c>
      <c r="F493" s="13">
        <v>491</v>
      </c>
    </row>
    <row r="494" spans="1:6" x14ac:dyDescent="0.25">
      <c r="A494" s="16">
        <v>42779</v>
      </c>
      <c r="B494" s="13" t="s">
        <v>81</v>
      </c>
      <c r="C494" s="13">
        <v>41</v>
      </c>
      <c r="D494" s="13">
        <v>424.6</v>
      </c>
      <c r="E494" s="13" t="str">
        <f>IF(ISERROR(VLOOKUP(F494,Magic!H:H,1,0)),IF(ISERROR(VLOOKUP(F494,Magic!T:T,1,0)),"N","Y"),"Y")</f>
        <v>N</v>
      </c>
      <c r="F494" s="13">
        <v>492</v>
      </c>
    </row>
    <row r="495" spans="1:6" x14ac:dyDescent="0.25">
      <c r="A495" s="16">
        <v>42779</v>
      </c>
      <c r="B495" s="13" t="s">
        <v>24</v>
      </c>
      <c r="C495" s="13">
        <v>43</v>
      </c>
      <c r="D495" s="13">
        <v>934.45</v>
      </c>
      <c r="E495" s="13" t="str">
        <f>IF(ISERROR(VLOOKUP(F495,Magic!H:H,1,0)),IF(ISERROR(VLOOKUP(F495,Magic!T:T,1,0)),"N","Y"),"Y")</f>
        <v>N</v>
      </c>
      <c r="F495" s="13">
        <v>493</v>
      </c>
    </row>
    <row r="496" spans="1:6" x14ac:dyDescent="0.25">
      <c r="A496" s="16">
        <v>42779</v>
      </c>
      <c r="B496" s="13" t="s">
        <v>24</v>
      </c>
      <c r="C496" s="13">
        <v>43</v>
      </c>
      <c r="D496" s="13">
        <v>200</v>
      </c>
      <c r="E496" s="13" t="str">
        <f>IF(ISERROR(VLOOKUP(F496,Magic!H:H,1,0)),IF(ISERROR(VLOOKUP(F496,Magic!T:T,1,0)),"N","Y"),"Y")</f>
        <v>N</v>
      </c>
      <c r="F496" s="13">
        <v>494</v>
      </c>
    </row>
    <row r="497" spans="1:6" x14ac:dyDescent="0.25">
      <c r="A497" s="16">
        <v>42779</v>
      </c>
      <c r="B497" s="13" t="s">
        <v>24</v>
      </c>
      <c r="C497" s="13">
        <v>43</v>
      </c>
      <c r="D497" s="13">
        <v>1084.2</v>
      </c>
      <c r="E497" s="13" t="str">
        <f>IF(ISERROR(VLOOKUP(F497,Magic!H:H,1,0)),IF(ISERROR(VLOOKUP(F497,Magic!T:T,1,0)),"N","Y"),"Y")</f>
        <v>N</v>
      </c>
      <c r="F497" s="13">
        <v>495</v>
      </c>
    </row>
    <row r="498" spans="1:6" x14ac:dyDescent="0.25">
      <c r="A498" s="16">
        <v>42779</v>
      </c>
      <c r="B498" s="13" t="s">
        <v>25</v>
      </c>
      <c r="C498" s="13">
        <v>44</v>
      </c>
      <c r="D498" s="13">
        <v>884.5</v>
      </c>
      <c r="E498" s="13" t="str">
        <f>IF(ISERROR(VLOOKUP(F498,Magic!H:H,1,0)),IF(ISERROR(VLOOKUP(F498,Magic!T:T,1,0)),"N","Y"),"Y")</f>
        <v>N</v>
      </c>
      <c r="F498" s="13">
        <v>496</v>
      </c>
    </row>
    <row r="499" spans="1:6" x14ac:dyDescent="0.25">
      <c r="A499" s="16">
        <v>42779</v>
      </c>
      <c r="B499" s="13" t="s">
        <v>25</v>
      </c>
      <c r="C499" s="13">
        <v>44</v>
      </c>
      <c r="D499" s="13">
        <v>144.85</v>
      </c>
      <c r="E499" s="13" t="str">
        <f>IF(ISERROR(VLOOKUP(F499,Magic!H:H,1,0)),IF(ISERROR(VLOOKUP(F499,Magic!T:T,1,0)),"N","Y"),"Y")</f>
        <v>N</v>
      </c>
      <c r="F499" s="13">
        <v>497</v>
      </c>
    </row>
    <row r="500" spans="1:6" x14ac:dyDescent="0.25">
      <c r="A500" s="16">
        <v>42779</v>
      </c>
      <c r="B500" s="13" t="s">
        <v>25</v>
      </c>
      <c r="C500" s="13">
        <v>44</v>
      </c>
      <c r="D500" s="13">
        <v>541.9</v>
      </c>
      <c r="E500" s="13" t="str">
        <f>IF(ISERROR(VLOOKUP(F500,Magic!H:H,1,0)),IF(ISERROR(VLOOKUP(F500,Magic!T:T,1,0)),"N","Y"),"Y")</f>
        <v>N</v>
      </c>
      <c r="F500" s="13">
        <v>498</v>
      </c>
    </row>
    <row r="501" spans="1:6" x14ac:dyDescent="0.25">
      <c r="A501" s="16">
        <v>42779</v>
      </c>
      <c r="B501" s="13" t="s">
        <v>30</v>
      </c>
      <c r="C501" s="13">
        <v>45</v>
      </c>
      <c r="D501" s="13">
        <v>350</v>
      </c>
      <c r="E501" s="13" t="str">
        <f>IF(ISERROR(VLOOKUP(F501,Magic!H:H,1,0)),IF(ISERROR(VLOOKUP(F501,Magic!T:T,1,0)),"N","Y"),"Y")</f>
        <v>N</v>
      </c>
      <c r="F501" s="13">
        <v>499</v>
      </c>
    </row>
    <row r="502" spans="1:6" x14ac:dyDescent="0.25">
      <c r="A502" s="16">
        <v>42779</v>
      </c>
      <c r="B502" s="13" t="s">
        <v>30</v>
      </c>
      <c r="C502" s="13">
        <v>45</v>
      </c>
      <c r="D502" s="13">
        <v>785</v>
      </c>
      <c r="E502" s="13" t="str">
        <f>IF(ISERROR(VLOOKUP(F502,Magic!H:H,1,0)),IF(ISERROR(VLOOKUP(F502,Magic!T:T,1,0)),"N","Y"),"Y")</f>
        <v>N</v>
      </c>
      <c r="F502" s="13">
        <v>500</v>
      </c>
    </row>
    <row r="503" spans="1:6" x14ac:dyDescent="0.25">
      <c r="A503" s="16">
        <v>42779</v>
      </c>
      <c r="B503" s="13" t="s">
        <v>27</v>
      </c>
      <c r="C503" s="13">
        <v>101</v>
      </c>
      <c r="D503" s="13">
        <v>604.5</v>
      </c>
      <c r="E503" s="13" t="str">
        <f>IF(ISERROR(VLOOKUP(F503,Magic!H:H,1,0)),IF(ISERROR(VLOOKUP(F503,Magic!T:T,1,0)),"N","Y"),"Y")</f>
        <v>N</v>
      </c>
      <c r="F503" s="13">
        <v>501</v>
      </c>
    </row>
    <row r="504" spans="1:6" x14ac:dyDescent="0.25">
      <c r="A504" s="16">
        <v>42779</v>
      </c>
      <c r="B504" s="13" t="s">
        <v>27</v>
      </c>
      <c r="C504" s="13">
        <v>101</v>
      </c>
      <c r="D504" s="13">
        <v>319.7</v>
      </c>
      <c r="E504" s="13" t="str">
        <f>IF(ISERROR(VLOOKUP(F504,Magic!H:H,1,0)),IF(ISERROR(VLOOKUP(F504,Magic!T:T,1,0)),"N","Y"),"Y")</f>
        <v>N</v>
      </c>
      <c r="F504" s="13">
        <v>502</v>
      </c>
    </row>
    <row r="505" spans="1:6" x14ac:dyDescent="0.25">
      <c r="A505" s="16">
        <v>42779</v>
      </c>
      <c r="B505" s="13" t="s">
        <v>27</v>
      </c>
      <c r="C505" s="13">
        <v>101</v>
      </c>
      <c r="D505" s="13">
        <v>65.849999999999994</v>
      </c>
      <c r="E505" s="13" t="str">
        <f>IF(ISERROR(VLOOKUP(F505,Magic!H:H,1,0)),IF(ISERROR(VLOOKUP(F505,Magic!T:T,1,0)),"N","Y"),"Y")</f>
        <v>N</v>
      </c>
      <c r="F505" s="13">
        <v>503</v>
      </c>
    </row>
    <row r="506" spans="1:6" x14ac:dyDescent="0.25">
      <c r="A506" s="16">
        <v>42779</v>
      </c>
      <c r="B506" s="13" t="s">
        <v>28</v>
      </c>
      <c r="C506" s="13">
        <v>103</v>
      </c>
      <c r="D506" s="13">
        <v>604.29999999999995</v>
      </c>
      <c r="E506" s="13" t="str">
        <f>IF(ISERROR(VLOOKUP(F506,Magic!H:H,1,0)),IF(ISERROR(VLOOKUP(F506,Magic!T:T,1,0)),"N","Y"),"Y")</f>
        <v>N</v>
      </c>
      <c r="F506" s="13">
        <v>504</v>
      </c>
    </row>
    <row r="507" spans="1:6" x14ac:dyDescent="0.25">
      <c r="A507" s="16">
        <v>42779</v>
      </c>
      <c r="B507" s="13" t="s">
        <v>529</v>
      </c>
      <c r="C507" s="13">
        <v>37</v>
      </c>
      <c r="D507" s="13">
        <v>354.8</v>
      </c>
      <c r="E507" s="13" t="str">
        <f>IF(ISERROR(VLOOKUP(F507,Magic!H:H,1,0)),IF(ISERROR(VLOOKUP(F507,Magic!T:T,1,0)),"N","Y"),"Y")</f>
        <v>N</v>
      </c>
      <c r="F507" s="13">
        <v>505</v>
      </c>
    </row>
    <row r="508" spans="1:6" x14ac:dyDescent="0.25">
      <c r="A508" s="16">
        <v>42780</v>
      </c>
      <c r="B508" s="13" t="s">
        <v>29</v>
      </c>
      <c r="C508" s="13">
        <v>35</v>
      </c>
      <c r="D508" s="13">
        <v>665</v>
      </c>
      <c r="E508" s="13" t="str">
        <f>IF(ISERROR(VLOOKUP(F508,Magic!H:H,1,0)),IF(ISERROR(VLOOKUP(F508,Magic!T:T,1,0)),"N","Y"),"Y")</f>
        <v>N</v>
      </c>
      <c r="F508" s="13">
        <v>506</v>
      </c>
    </row>
    <row r="509" spans="1:6" x14ac:dyDescent="0.25">
      <c r="A509" s="16">
        <v>42780</v>
      </c>
      <c r="B509" s="13" t="s">
        <v>82</v>
      </c>
      <c r="C509" s="13">
        <v>35</v>
      </c>
      <c r="D509" s="13">
        <v>4.7</v>
      </c>
      <c r="E509" s="13" t="str">
        <f>IF(ISERROR(VLOOKUP(F509,Magic!H:H,1,0)),IF(ISERROR(VLOOKUP(F509,Magic!T:T,1,0)),"N","Y"),"Y")</f>
        <v>N</v>
      </c>
      <c r="F509" s="13">
        <v>507</v>
      </c>
    </row>
    <row r="510" spans="1:6" x14ac:dyDescent="0.25">
      <c r="A510" s="16">
        <v>42780</v>
      </c>
      <c r="B510" s="13" t="s">
        <v>31</v>
      </c>
      <c r="C510" s="13">
        <v>37</v>
      </c>
      <c r="D510" s="13">
        <v>474.35</v>
      </c>
      <c r="E510" s="13" t="str">
        <f>IF(ISERROR(VLOOKUP(F510,Magic!H:H,1,0)),IF(ISERROR(VLOOKUP(F510,Magic!T:T,1,0)),"N","Y"),"Y")</f>
        <v>N</v>
      </c>
      <c r="F510" s="13">
        <v>508</v>
      </c>
    </row>
    <row r="511" spans="1:6" x14ac:dyDescent="0.25">
      <c r="A511" s="16">
        <v>42780</v>
      </c>
      <c r="B511" s="13" t="s">
        <v>142</v>
      </c>
      <c r="C511" s="13">
        <v>38</v>
      </c>
      <c r="D511" s="13">
        <v>735</v>
      </c>
      <c r="E511" s="13" t="str">
        <f>IF(ISERROR(VLOOKUP(F511,Magic!H:H,1,0)),IF(ISERROR(VLOOKUP(F511,Magic!T:T,1,0)),"N","Y"),"Y")</f>
        <v>N</v>
      </c>
      <c r="F511" s="13">
        <v>509</v>
      </c>
    </row>
    <row r="512" spans="1:6" x14ac:dyDescent="0.25">
      <c r="A512" s="16">
        <v>42780</v>
      </c>
      <c r="B512" s="13" t="s">
        <v>142</v>
      </c>
      <c r="C512" s="13">
        <v>38</v>
      </c>
      <c r="D512" s="13">
        <v>690</v>
      </c>
      <c r="E512" s="13" t="str">
        <f>IF(ISERROR(VLOOKUP(F512,Magic!H:H,1,0)),IF(ISERROR(VLOOKUP(F512,Magic!T:T,1,0)),"N","Y"),"Y")</f>
        <v>N</v>
      </c>
      <c r="F512" s="13">
        <v>510</v>
      </c>
    </row>
    <row r="513" spans="1:6" x14ac:dyDescent="0.25">
      <c r="A513" s="16">
        <v>42780</v>
      </c>
      <c r="B513" s="13" t="s">
        <v>81</v>
      </c>
      <c r="C513" s="13">
        <v>41</v>
      </c>
      <c r="D513" s="13">
        <v>289.85000000000002</v>
      </c>
      <c r="E513" s="13" t="str">
        <f>IF(ISERROR(VLOOKUP(F513,Magic!H:H,1,0)),IF(ISERROR(VLOOKUP(F513,Magic!T:T,1,0)),"N","Y"),"Y")</f>
        <v>N</v>
      </c>
      <c r="F513" s="13">
        <v>511</v>
      </c>
    </row>
    <row r="514" spans="1:6" x14ac:dyDescent="0.25">
      <c r="A514" s="16">
        <v>42780</v>
      </c>
      <c r="B514" s="13" t="s">
        <v>24</v>
      </c>
      <c r="C514" s="13">
        <v>43</v>
      </c>
      <c r="D514" s="13">
        <v>479.55</v>
      </c>
      <c r="E514" s="13" t="str">
        <f>IF(ISERROR(VLOOKUP(F514,Magic!H:H,1,0)),IF(ISERROR(VLOOKUP(F514,Magic!T:T,1,0)),"N","Y"),"Y")</f>
        <v>N</v>
      </c>
      <c r="F514" s="13">
        <v>512</v>
      </c>
    </row>
    <row r="515" spans="1:6" x14ac:dyDescent="0.25">
      <c r="A515" s="16">
        <v>42780</v>
      </c>
      <c r="B515" s="13" t="s">
        <v>25</v>
      </c>
      <c r="C515" s="13">
        <v>44</v>
      </c>
      <c r="D515" s="13">
        <v>145</v>
      </c>
      <c r="E515" s="13" t="str">
        <f>IF(ISERROR(VLOOKUP(F515,Magic!H:H,1,0)),IF(ISERROR(VLOOKUP(F515,Magic!T:T,1,0)),"N","Y"),"Y")</f>
        <v>N</v>
      </c>
      <c r="F515" s="13">
        <v>513</v>
      </c>
    </row>
    <row r="516" spans="1:6" x14ac:dyDescent="0.25">
      <c r="A516" s="16">
        <v>42780</v>
      </c>
      <c r="B516" s="13" t="s">
        <v>30</v>
      </c>
      <c r="C516" s="13">
        <v>45</v>
      </c>
      <c r="D516" s="13">
        <v>374.65</v>
      </c>
      <c r="E516" s="13" t="str">
        <f>IF(ISERROR(VLOOKUP(F516,Magic!H:H,1,0)),IF(ISERROR(VLOOKUP(F516,Magic!T:T,1,0)),"N","Y"),"Y")</f>
        <v>N</v>
      </c>
      <c r="F516" s="13">
        <v>514</v>
      </c>
    </row>
    <row r="517" spans="1:6" x14ac:dyDescent="0.25">
      <c r="A517" s="16">
        <v>42780</v>
      </c>
      <c r="B517" s="13" t="s">
        <v>30</v>
      </c>
      <c r="C517" s="13">
        <v>45</v>
      </c>
      <c r="D517" s="13">
        <v>4.75</v>
      </c>
      <c r="E517" s="13" t="str">
        <f>IF(ISERROR(VLOOKUP(F517,Magic!H:H,1,0)),IF(ISERROR(VLOOKUP(F517,Magic!T:T,1,0)),"N","Y"),"Y")</f>
        <v>N</v>
      </c>
      <c r="F517" s="13">
        <v>515</v>
      </c>
    </row>
    <row r="518" spans="1:6" x14ac:dyDescent="0.25">
      <c r="A518" s="16">
        <v>42780</v>
      </c>
      <c r="B518" s="13" t="s">
        <v>30</v>
      </c>
      <c r="C518" s="13">
        <v>45</v>
      </c>
      <c r="D518" s="13">
        <v>4.3</v>
      </c>
      <c r="E518" s="13" t="str">
        <f>IF(ISERROR(VLOOKUP(F518,Magic!H:H,1,0)),IF(ISERROR(VLOOKUP(F518,Magic!T:T,1,0)),"N","Y"),"Y")</f>
        <v>N</v>
      </c>
      <c r="F518" s="13">
        <v>516</v>
      </c>
    </row>
    <row r="519" spans="1:6" x14ac:dyDescent="0.25">
      <c r="A519" s="16">
        <v>42780</v>
      </c>
      <c r="B519" s="13" t="s">
        <v>30</v>
      </c>
      <c r="C519" s="13">
        <v>45</v>
      </c>
      <c r="D519" s="13">
        <v>2.35</v>
      </c>
      <c r="E519" s="13" t="str">
        <f>IF(ISERROR(VLOOKUP(F519,Magic!H:H,1,0)),IF(ISERROR(VLOOKUP(F519,Magic!T:T,1,0)),"N","Y"),"Y")</f>
        <v>N</v>
      </c>
      <c r="F519" s="13">
        <v>517</v>
      </c>
    </row>
    <row r="520" spans="1:6" x14ac:dyDescent="0.25">
      <c r="A520" s="16">
        <v>42780</v>
      </c>
      <c r="B520" s="13" t="s">
        <v>27</v>
      </c>
      <c r="C520" s="13">
        <v>101</v>
      </c>
      <c r="D520" s="13">
        <v>369.8</v>
      </c>
      <c r="E520" s="13" t="str">
        <f>IF(ISERROR(VLOOKUP(F520,Magic!H:H,1,0)),IF(ISERROR(VLOOKUP(F520,Magic!T:T,1,0)),"N","Y"),"Y")</f>
        <v>N</v>
      </c>
      <c r="F520" s="13">
        <v>518</v>
      </c>
    </row>
    <row r="521" spans="1:6" x14ac:dyDescent="0.25">
      <c r="A521" s="16">
        <v>42780</v>
      </c>
      <c r="B521" s="13" t="s">
        <v>28</v>
      </c>
      <c r="C521" s="13">
        <v>103</v>
      </c>
      <c r="D521" s="13">
        <v>1107.55</v>
      </c>
      <c r="E521" s="13" t="str">
        <f>IF(ISERROR(VLOOKUP(F521,Magic!H:H,1,0)),IF(ISERROR(VLOOKUP(F521,Magic!T:T,1,0)),"N","Y"),"Y")</f>
        <v>N</v>
      </c>
      <c r="F521" s="13">
        <v>519</v>
      </c>
    </row>
    <row r="522" spans="1:6" x14ac:dyDescent="0.25">
      <c r="A522" s="16">
        <v>42781</v>
      </c>
      <c r="B522" s="13" t="s">
        <v>29</v>
      </c>
      <c r="C522" s="13">
        <v>35</v>
      </c>
      <c r="D522" s="13">
        <v>520</v>
      </c>
      <c r="E522" s="13" t="str">
        <f>IF(ISERROR(VLOOKUP(F522,Magic!H:H,1,0)),IF(ISERROR(VLOOKUP(F522,Magic!T:T,1,0)),"N","Y"),"Y")</f>
        <v>N</v>
      </c>
      <c r="F522" s="13">
        <v>520</v>
      </c>
    </row>
    <row r="523" spans="1:6" x14ac:dyDescent="0.25">
      <c r="A523" s="16">
        <v>42781</v>
      </c>
      <c r="B523" s="13" t="s">
        <v>82</v>
      </c>
      <c r="C523" s="13">
        <v>35</v>
      </c>
      <c r="D523" s="13">
        <v>2.25</v>
      </c>
      <c r="E523" s="13" t="str">
        <f>IF(ISERROR(VLOOKUP(F523,Magic!H:H,1,0)),IF(ISERROR(VLOOKUP(F523,Magic!T:T,1,0)),"N","Y"),"Y")</f>
        <v>N</v>
      </c>
      <c r="F523" s="13">
        <v>521</v>
      </c>
    </row>
    <row r="524" spans="1:6" x14ac:dyDescent="0.25">
      <c r="A524" s="16">
        <v>42781</v>
      </c>
      <c r="B524" s="13" t="s">
        <v>31</v>
      </c>
      <c r="C524" s="13">
        <v>37</v>
      </c>
      <c r="D524" s="13">
        <v>354.7</v>
      </c>
      <c r="E524" s="13" t="str">
        <f>IF(ISERROR(VLOOKUP(F524,Magic!H:H,1,0)),IF(ISERROR(VLOOKUP(F524,Magic!T:T,1,0)),"N","Y"),"Y")</f>
        <v>N</v>
      </c>
      <c r="F524" s="13">
        <v>522</v>
      </c>
    </row>
    <row r="525" spans="1:6" x14ac:dyDescent="0.25">
      <c r="A525" s="16">
        <v>42781</v>
      </c>
      <c r="B525" s="13" t="s">
        <v>81</v>
      </c>
      <c r="C525" s="13">
        <v>41</v>
      </c>
      <c r="D525" s="13">
        <v>168.7</v>
      </c>
      <c r="E525" s="13" t="str">
        <f>IF(ISERROR(VLOOKUP(F525,Magic!H:H,1,0)),IF(ISERROR(VLOOKUP(F525,Magic!T:T,1,0)),"N","Y"),"Y")</f>
        <v>N</v>
      </c>
      <c r="F525" s="13">
        <v>523</v>
      </c>
    </row>
    <row r="526" spans="1:6" x14ac:dyDescent="0.25">
      <c r="A526" s="16">
        <v>42781</v>
      </c>
      <c r="B526" s="13" t="s">
        <v>24</v>
      </c>
      <c r="C526" s="13">
        <v>43</v>
      </c>
      <c r="D526" s="13">
        <v>734.15</v>
      </c>
      <c r="E526" s="13" t="str">
        <f>IF(ISERROR(VLOOKUP(F526,Magic!H:H,1,0)),IF(ISERROR(VLOOKUP(F526,Magic!T:T,1,0)),"N","Y"),"Y")</f>
        <v>N</v>
      </c>
      <c r="F526" s="13">
        <v>524</v>
      </c>
    </row>
    <row r="527" spans="1:6" x14ac:dyDescent="0.25">
      <c r="A527" s="16">
        <v>42781</v>
      </c>
      <c r="B527" s="13" t="s">
        <v>25</v>
      </c>
      <c r="C527" s="13">
        <v>44</v>
      </c>
      <c r="D527" s="13">
        <v>199.9</v>
      </c>
      <c r="E527" s="13" t="str">
        <f>IF(ISERROR(VLOOKUP(F527,Magic!H:H,1,0)),IF(ISERROR(VLOOKUP(F527,Magic!T:T,1,0)),"N","Y"),"Y")</f>
        <v>N</v>
      </c>
      <c r="F527" s="13">
        <v>525</v>
      </c>
    </row>
    <row r="528" spans="1:6" x14ac:dyDescent="0.25">
      <c r="A528" s="16">
        <v>42781</v>
      </c>
      <c r="B528" s="13" t="s">
        <v>30</v>
      </c>
      <c r="C528" s="13">
        <v>45</v>
      </c>
      <c r="D528" s="13">
        <v>494.45</v>
      </c>
      <c r="E528" s="13" t="str">
        <f>IF(ISERROR(VLOOKUP(F528,Magic!H:H,1,0)),IF(ISERROR(VLOOKUP(F528,Magic!T:T,1,0)),"N","Y"),"Y")</f>
        <v>N</v>
      </c>
      <c r="F528" s="13">
        <v>526</v>
      </c>
    </row>
    <row r="529" spans="1:6" x14ac:dyDescent="0.25">
      <c r="A529" s="16">
        <v>42781</v>
      </c>
      <c r="B529" s="13" t="s">
        <v>27</v>
      </c>
      <c r="C529" s="13">
        <v>101</v>
      </c>
      <c r="D529" s="13">
        <v>284.85000000000002</v>
      </c>
      <c r="E529" s="13" t="str">
        <f>IF(ISERROR(VLOOKUP(F529,Magic!H:H,1,0)),IF(ISERROR(VLOOKUP(F529,Magic!T:T,1,0)),"N","Y"),"Y")</f>
        <v>N</v>
      </c>
      <c r="F529" s="13">
        <v>527</v>
      </c>
    </row>
    <row r="530" spans="1:6" x14ac:dyDescent="0.25">
      <c r="A530" s="16">
        <v>42781</v>
      </c>
      <c r="B530" s="13" t="s">
        <v>28</v>
      </c>
      <c r="C530" s="13">
        <v>103</v>
      </c>
      <c r="D530" s="13">
        <v>607.70000000000005</v>
      </c>
      <c r="E530" s="13" t="str">
        <f>IF(ISERROR(VLOOKUP(F530,Magic!H:H,1,0)),IF(ISERROR(VLOOKUP(F530,Magic!T:T,1,0)),"N","Y"),"Y")</f>
        <v>N</v>
      </c>
      <c r="F530" s="13">
        <v>528</v>
      </c>
    </row>
    <row r="531" spans="1:6" x14ac:dyDescent="0.25">
      <c r="A531" s="16">
        <v>42782</v>
      </c>
      <c r="B531" s="13" t="s">
        <v>29</v>
      </c>
      <c r="C531" s="13">
        <v>35</v>
      </c>
      <c r="D531" s="13">
        <v>675</v>
      </c>
      <c r="E531" s="13" t="str">
        <f>IF(ISERROR(VLOOKUP(F531,Magic!H:H,1,0)),IF(ISERROR(VLOOKUP(F531,Magic!T:T,1,0)),"N","Y"),"Y")</f>
        <v>N</v>
      </c>
      <c r="F531" s="13">
        <v>529</v>
      </c>
    </row>
    <row r="532" spans="1:6" x14ac:dyDescent="0.25">
      <c r="A532" s="16">
        <v>42782</v>
      </c>
      <c r="B532" s="13" t="s">
        <v>82</v>
      </c>
      <c r="C532" s="13">
        <v>35</v>
      </c>
      <c r="D532" s="13">
        <v>4.5999999999999996</v>
      </c>
      <c r="E532" s="13" t="str">
        <f>IF(ISERROR(VLOOKUP(F532,Magic!H:H,1,0)),IF(ISERROR(VLOOKUP(F532,Magic!T:T,1,0)),"N","Y"),"Y")</f>
        <v>N</v>
      </c>
      <c r="F532" s="13">
        <v>530</v>
      </c>
    </row>
    <row r="533" spans="1:6" x14ac:dyDescent="0.25">
      <c r="A533" s="16">
        <v>42782</v>
      </c>
      <c r="B533" s="13" t="s">
        <v>31</v>
      </c>
      <c r="C533" s="13">
        <v>37</v>
      </c>
      <c r="D533" s="13">
        <v>509.65</v>
      </c>
      <c r="E533" s="13" t="str">
        <f>IF(ISERROR(VLOOKUP(F533,Magic!H:H,1,0)),IF(ISERROR(VLOOKUP(F533,Magic!T:T,1,0)),"N","Y"),"Y")</f>
        <v>N</v>
      </c>
      <c r="F533" s="13">
        <v>531</v>
      </c>
    </row>
    <row r="534" spans="1:6" x14ac:dyDescent="0.25">
      <c r="A534" s="16">
        <v>42782</v>
      </c>
      <c r="B534" s="13" t="s">
        <v>26</v>
      </c>
      <c r="C534" s="13">
        <v>38</v>
      </c>
      <c r="D534" s="13">
        <v>4.2</v>
      </c>
      <c r="E534" s="13" t="str">
        <f>IF(ISERROR(VLOOKUP(F534,Magic!H:H,1,0)),IF(ISERROR(VLOOKUP(F534,Magic!T:T,1,0)),"N","Y"),"Y")</f>
        <v>N</v>
      </c>
      <c r="F534" s="13">
        <v>532</v>
      </c>
    </row>
    <row r="535" spans="1:6" x14ac:dyDescent="0.25">
      <c r="A535" s="16">
        <v>42782</v>
      </c>
      <c r="B535" s="13" t="s">
        <v>26</v>
      </c>
      <c r="C535" s="13">
        <v>38</v>
      </c>
      <c r="D535" s="13">
        <v>4.5</v>
      </c>
      <c r="E535" s="13" t="str">
        <f>IF(ISERROR(VLOOKUP(F535,Magic!H:H,1,0)),IF(ISERROR(VLOOKUP(F535,Magic!T:T,1,0)),"N","Y"),"Y")</f>
        <v>N</v>
      </c>
      <c r="F535" s="13">
        <v>533</v>
      </c>
    </row>
    <row r="536" spans="1:6" x14ac:dyDescent="0.25">
      <c r="A536" s="16">
        <v>42782</v>
      </c>
      <c r="B536" s="13" t="s">
        <v>26</v>
      </c>
      <c r="C536" s="13">
        <v>38</v>
      </c>
      <c r="D536" s="13">
        <v>644.45000000000005</v>
      </c>
      <c r="E536" s="13" t="str">
        <f>IF(ISERROR(VLOOKUP(F536,Magic!H:H,1,0)),IF(ISERROR(VLOOKUP(F536,Magic!T:T,1,0)),"N","Y"),"Y")</f>
        <v>N</v>
      </c>
      <c r="F536" s="13">
        <v>534</v>
      </c>
    </row>
    <row r="537" spans="1:6" x14ac:dyDescent="0.25">
      <c r="A537" s="16">
        <v>42782</v>
      </c>
      <c r="B537" s="13" t="s">
        <v>81</v>
      </c>
      <c r="C537" s="13">
        <v>41</v>
      </c>
      <c r="D537" s="13">
        <v>509.5</v>
      </c>
      <c r="E537" s="13" t="str">
        <f>IF(ISERROR(VLOOKUP(F537,Magic!H:H,1,0)),IF(ISERROR(VLOOKUP(F537,Magic!T:T,1,0)),"N","Y"),"Y")</f>
        <v>N</v>
      </c>
      <c r="F537" s="13">
        <v>535</v>
      </c>
    </row>
    <row r="538" spans="1:6" x14ac:dyDescent="0.25">
      <c r="A538" s="16">
        <v>42782</v>
      </c>
      <c r="B538" s="13" t="s">
        <v>24</v>
      </c>
      <c r="C538" s="13">
        <v>43</v>
      </c>
      <c r="D538" s="13">
        <v>640.35</v>
      </c>
      <c r="E538" s="13" t="str">
        <f>IF(ISERROR(VLOOKUP(F538,Magic!H:H,1,0)),IF(ISERROR(VLOOKUP(F538,Magic!T:T,1,0)),"N","Y"),"Y")</f>
        <v>N</v>
      </c>
      <c r="F538" s="13">
        <v>536</v>
      </c>
    </row>
    <row r="539" spans="1:6" x14ac:dyDescent="0.25">
      <c r="A539" s="16">
        <v>42782</v>
      </c>
      <c r="B539" s="13" t="s">
        <v>25</v>
      </c>
      <c r="C539" s="13">
        <v>44</v>
      </c>
      <c r="D539" s="13">
        <v>244.7</v>
      </c>
      <c r="E539" s="13" t="str">
        <f>IF(ISERROR(VLOOKUP(F539,Magic!H:H,1,0)),IF(ISERROR(VLOOKUP(F539,Magic!T:T,1,0)),"N","Y"),"Y")</f>
        <v>N</v>
      </c>
      <c r="F539" s="13">
        <v>537</v>
      </c>
    </row>
    <row r="540" spans="1:6" x14ac:dyDescent="0.25">
      <c r="A540" s="16">
        <v>42782</v>
      </c>
      <c r="B540" s="13" t="s">
        <v>27</v>
      </c>
      <c r="C540" s="13">
        <v>101</v>
      </c>
      <c r="D540" s="13">
        <v>234.7</v>
      </c>
      <c r="E540" s="13" t="str">
        <f>IF(ISERROR(VLOOKUP(F540,Magic!H:H,1,0)),IF(ISERROR(VLOOKUP(F540,Magic!T:T,1,0)),"N","Y"),"Y")</f>
        <v>N</v>
      </c>
      <c r="F540" s="13">
        <v>538</v>
      </c>
    </row>
    <row r="541" spans="1:6" x14ac:dyDescent="0.25">
      <c r="A541" s="16">
        <v>42782</v>
      </c>
      <c r="B541" s="13" t="s">
        <v>28</v>
      </c>
      <c r="C541" s="13">
        <v>103</v>
      </c>
      <c r="D541" s="13">
        <v>0.5</v>
      </c>
      <c r="E541" s="13" t="str">
        <f>IF(ISERROR(VLOOKUP(F541,Magic!H:H,1,0)),IF(ISERROR(VLOOKUP(F541,Magic!T:T,1,0)),"N","Y"),"Y")</f>
        <v>N</v>
      </c>
      <c r="F541" s="13">
        <v>539</v>
      </c>
    </row>
    <row r="542" spans="1:6" x14ac:dyDescent="0.25">
      <c r="A542" s="16">
        <v>42782</v>
      </c>
      <c r="B542" s="13" t="s">
        <v>28</v>
      </c>
      <c r="C542" s="13">
        <v>103</v>
      </c>
      <c r="D542" s="13">
        <v>745</v>
      </c>
      <c r="E542" s="13" t="str">
        <f>IF(ISERROR(VLOOKUP(F542,Magic!H:H,1,0)),IF(ISERROR(VLOOKUP(F542,Magic!T:T,1,0)),"N","Y"),"Y")</f>
        <v>N</v>
      </c>
      <c r="F542" s="13">
        <v>540</v>
      </c>
    </row>
    <row r="543" spans="1:6" x14ac:dyDescent="0.25">
      <c r="A543" s="16">
        <v>42782</v>
      </c>
      <c r="B543" s="13" t="s">
        <v>60</v>
      </c>
      <c r="C543" s="13">
        <v>201</v>
      </c>
      <c r="D543" s="13">
        <v>114.9</v>
      </c>
      <c r="E543" s="13" t="str">
        <f>IF(ISERROR(VLOOKUP(F543,Magic!H:H,1,0)),IF(ISERROR(VLOOKUP(F543,Magic!T:T,1,0)),"N","Y"),"Y")</f>
        <v>N</v>
      </c>
      <c r="F543" s="13">
        <v>541</v>
      </c>
    </row>
    <row r="544" spans="1:6" x14ac:dyDescent="0.25">
      <c r="A544" s="16">
        <v>42782</v>
      </c>
      <c r="B544" s="13" t="s">
        <v>60</v>
      </c>
      <c r="C544" s="13">
        <v>201</v>
      </c>
      <c r="D544" s="13">
        <v>489.8</v>
      </c>
      <c r="E544" s="13" t="str">
        <f>IF(ISERROR(VLOOKUP(F544,Magic!H:H,1,0)),IF(ISERROR(VLOOKUP(F544,Magic!T:T,1,0)),"N","Y"),"Y")</f>
        <v>N</v>
      </c>
      <c r="F544" s="13">
        <v>542</v>
      </c>
    </row>
    <row r="545" spans="1:6" x14ac:dyDescent="0.25">
      <c r="A545" s="16">
        <v>42782</v>
      </c>
      <c r="B545" s="13" t="s">
        <v>60</v>
      </c>
      <c r="C545" s="13">
        <v>201</v>
      </c>
      <c r="D545" s="13">
        <v>167.9</v>
      </c>
      <c r="E545" s="13" t="str">
        <f>IF(ISERROR(VLOOKUP(F545,Magic!H:H,1,0)),IF(ISERROR(VLOOKUP(F545,Magic!T:T,1,0)),"N","Y"),"Y")</f>
        <v>N</v>
      </c>
      <c r="F545" s="13">
        <v>543</v>
      </c>
    </row>
    <row r="546" spans="1:6" x14ac:dyDescent="0.25">
      <c r="A546" s="16">
        <v>42782</v>
      </c>
      <c r="B546" s="13" t="s">
        <v>60</v>
      </c>
      <c r="C546" s="13">
        <v>201</v>
      </c>
      <c r="D546" s="13">
        <v>905.6</v>
      </c>
      <c r="E546" s="13" t="str">
        <f>IF(ISERROR(VLOOKUP(F546,Magic!H:H,1,0)),IF(ISERROR(VLOOKUP(F546,Magic!T:T,1,0)),"N","Y"),"Y")</f>
        <v>N</v>
      </c>
      <c r="F546" s="13">
        <v>544</v>
      </c>
    </row>
    <row r="547" spans="1:6" x14ac:dyDescent="0.25">
      <c r="A547" s="16">
        <v>42782</v>
      </c>
      <c r="B547" s="13" t="s">
        <v>60</v>
      </c>
      <c r="C547" s="13">
        <v>201</v>
      </c>
      <c r="D547" s="13">
        <v>544.4</v>
      </c>
      <c r="E547" s="13" t="str">
        <f>IF(ISERROR(VLOOKUP(F547,Magic!H:H,1,0)),IF(ISERROR(VLOOKUP(F547,Magic!T:T,1,0)),"N","Y"),"Y")</f>
        <v>N</v>
      </c>
      <c r="F547" s="13">
        <v>545</v>
      </c>
    </row>
    <row r="548" spans="1:6" x14ac:dyDescent="0.25">
      <c r="A548" s="16">
        <v>42782</v>
      </c>
      <c r="B548" s="13" t="s">
        <v>60</v>
      </c>
      <c r="C548" s="13">
        <v>201</v>
      </c>
      <c r="D548" s="13">
        <v>472.8</v>
      </c>
      <c r="E548" s="13" t="str">
        <f>IF(ISERROR(VLOOKUP(F548,Magic!H:H,1,0)),IF(ISERROR(VLOOKUP(F548,Magic!T:T,1,0)),"N","Y"),"Y")</f>
        <v>N</v>
      </c>
      <c r="F548" s="13">
        <v>546</v>
      </c>
    </row>
    <row r="549" spans="1:6" x14ac:dyDescent="0.25">
      <c r="A549" s="16">
        <v>42782</v>
      </c>
      <c r="B549" s="13" t="s">
        <v>559</v>
      </c>
      <c r="C549" s="13">
        <v>201</v>
      </c>
      <c r="D549" s="13">
        <v>344.75</v>
      </c>
      <c r="E549" s="13" t="str">
        <f>IF(ISERROR(VLOOKUP(F549,Magic!H:H,1,0)),IF(ISERROR(VLOOKUP(F549,Magic!T:T,1,0)),"N","Y"),"Y")</f>
        <v>N</v>
      </c>
      <c r="F549" s="13">
        <v>547</v>
      </c>
    </row>
    <row r="550" spans="1:6" x14ac:dyDescent="0.25">
      <c r="A550" s="16">
        <v>42785</v>
      </c>
      <c r="B550" s="13" t="s">
        <v>26</v>
      </c>
      <c r="C550" s="13">
        <v>38</v>
      </c>
      <c r="D550" s="13">
        <v>825</v>
      </c>
      <c r="E550" s="13" t="str">
        <f>IF(ISERROR(VLOOKUP(F550,Magic!H:H,1,0)),IF(ISERROR(VLOOKUP(F550,Magic!T:T,1,0)),"N","Y"),"Y")</f>
        <v>N</v>
      </c>
      <c r="F550" s="13">
        <v>548</v>
      </c>
    </row>
    <row r="551" spans="1:6" x14ac:dyDescent="0.25">
      <c r="A551" s="16">
        <v>42783</v>
      </c>
      <c r="B551" s="13" t="s">
        <v>29</v>
      </c>
      <c r="C551" s="13">
        <v>35</v>
      </c>
      <c r="D551" s="13">
        <v>950</v>
      </c>
      <c r="E551" s="13" t="str">
        <f>IF(ISERROR(VLOOKUP(F551,Magic!H:H,1,0)),IF(ISERROR(VLOOKUP(F551,Magic!T:T,1,0)),"N","Y"),"Y")</f>
        <v>N</v>
      </c>
      <c r="F551" s="13">
        <v>549</v>
      </c>
    </row>
    <row r="552" spans="1:6" x14ac:dyDescent="0.25">
      <c r="A552" s="16">
        <v>42783</v>
      </c>
      <c r="B552" s="13" t="s">
        <v>82</v>
      </c>
      <c r="C552" s="13">
        <v>35</v>
      </c>
      <c r="D552" s="13">
        <v>4.3499999999999996</v>
      </c>
      <c r="E552" s="13" t="str">
        <f>IF(ISERROR(VLOOKUP(F552,Magic!H:H,1,0)),IF(ISERROR(VLOOKUP(F552,Magic!T:T,1,0)),"N","Y"),"Y")</f>
        <v>N</v>
      </c>
      <c r="F552" s="13">
        <v>550</v>
      </c>
    </row>
    <row r="553" spans="1:6" x14ac:dyDescent="0.25">
      <c r="A553" s="16">
        <v>42783</v>
      </c>
      <c r="B553" s="13" t="s">
        <v>31</v>
      </c>
      <c r="C553" s="13">
        <v>37</v>
      </c>
      <c r="D553" s="13">
        <v>502.1</v>
      </c>
      <c r="E553" s="13" t="str">
        <f>IF(ISERROR(VLOOKUP(F553,Magic!H:H,1,0)),IF(ISERROR(VLOOKUP(F553,Magic!T:T,1,0)),"N","Y"),"Y")</f>
        <v>N</v>
      </c>
      <c r="F553" s="13">
        <v>551</v>
      </c>
    </row>
    <row r="554" spans="1:6" x14ac:dyDescent="0.25">
      <c r="A554" s="16">
        <v>42783</v>
      </c>
      <c r="B554" s="13" t="s">
        <v>26</v>
      </c>
      <c r="C554" s="13">
        <v>38</v>
      </c>
      <c r="D554" s="13">
        <v>1019.1</v>
      </c>
      <c r="E554" s="13" t="str">
        <f>IF(ISERROR(VLOOKUP(F554,Magic!H:H,1,0)),IF(ISERROR(VLOOKUP(F554,Magic!T:T,1,0)),"N","Y"),"Y")</f>
        <v>N</v>
      </c>
      <c r="F554" s="13">
        <v>552</v>
      </c>
    </row>
    <row r="555" spans="1:6" x14ac:dyDescent="0.25">
      <c r="A555" s="16">
        <v>42783</v>
      </c>
      <c r="B555" s="13" t="s">
        <v>26</v>
      </c>
      <c r="C555" s="13">
        <v>38</v>
      </c>
      <c r="D555" s="13">
        <v>854.25</v>
      </c>
      <c r="E555" s="13" t="str">
        <f>IF(ISERROR(VLOOKUP(F555,Magic!H:H,1,0)),IF(ISERROR(VLOOKUP(F555,Magic!T:T,1,0)),"N","Y"),"Y")</f>
        <v>N</v>
      </c>
      <c r="F555" s="13">
        <v>553</v>
      </c>
    </row>
    <row r="556" spans="1:6" x14ac:dyDescent="0.25">
      <c r="A556" s="16">
        <v>42783</v>
      </c>
      <c r="B556" s="13" t="s">
        <v>81</v>
      </c>
      <c r="C556" s="13">
        <v>41</v>
      </c>
      <c r="D556" s="13">
        <v>664.65</v>
      </c>
      <c r="E556" s="13" t="str">
        <f>IF(ISERROR(VLOOKUP(F556,Magic!H:H,1,0)),IF(ISERROR(VLOOKUP(F556,Magic!T:T,1,0)),"N","Y"),"Y")</f>
        <v>N</v>
      </c>
      <c r="F556" s="13">
        <v>554</v>
      </c>
    </row>
    <row r="557" spans="1:6" x14ac:dyDescent="0.25">
      <c r="A557" s="16">
        <v>42783</v>
      </c>
      <c r="B557" s="13" t="s">
        <v>472</v>
      </c>
      <c r="C557" s="13">
        <v>43</v>
      </c>
      <c r="D557" s="13">
        <v>1258.95</v>
      </c>
      <c r="E557" s="13" t="str">
        <f>IF(ISERROR(VLOOKUP(F557,Magic!H:H,1,0)),IF(ISERROR(VLOOKUP(F557,Magic!T:T,1,0)),"N","Y"),"Y")</f>
        <v>N</v>
      </c>
      <c r="F557" s="13">
        <v>555</v>
      </c>
    </row>
    <row r="558" spans="1:6" x14ac:dyDescent="0.25">
      <c r="A558" s="16">
        <v>42783</v>
      </c>
      <c r="B558" s="13" t="s">
        <v>25</v>
      </c>
      <c r="C558" s="13">
        <v>44</v>
      </c>
      <c r="D558" s="13">
        <v>298.85000000000002</v>
      </c>
      <c r="E558" s="13" t="str">
        <f>IF(ISERROR(VLOOKUP(F558,Magic!H:H,1,0)),IF(ISERROR(VLOOKUP(F558,Magic!T:T,1,0)),"N","Y"),"Y")</f>
        <v>N</v>
      </c>
      <c r="F558" s="13">
        <v>556</v>
      </c>
    </row>
    <row r="559" spans="1:6" x14ac:dyDescent="0.25">
      <c r="A559" s="16">
        <v>42783</v>
      </c>
      <c r="B559" s="13" t="s">
        <v>30</v>
      </c>
      <c r="C559" s="13">
        <v>45</v>
      </c>
      <c r="D559" s="13">
        <v>295</v>
      </c>
      <c r="E559" s="13" t="str">
        <f>IF(ISERROR(VLOOKUP(F559,Magic!H:H,1,0)),IF(ISERROR(VLOOKUP(F559,Magic!T:T,1,0)),"N","Y"),"Y")</f>
        <v>N</v>
      </c>
      <c r="F559" s="13">
        <v>557</v>
      </c>
    </row>
    <row r="560" spans="1:6" x14ac:dyDescent="0.25">
      <c r="A560" s="16">
        <v>42783</v>
      </c>
      <c r="B560" s="13" t="s">
        <v>30</v>
      </c>
      <c r="C560" s="13">
        <v>45</v>
      </c>
      <c r="D560" s="13">
        <v>720.6</v>
      </c>
      <c r="E560" s="13" t="str">
        <f>IF(ISERROR(VLOOKUP(F560,Magic!H:H,1,0)),IF(ISERROR(VLOOKUP(F560,Magic!T:T,1,0)),"N","Y"),"Y")</f>
        <v>N</v>
      </c>
      <c r="F560" s="13">
        <v>558</v>
      </c>
    </row>
    <row r="561" spans="1:6" x14ac:dyDescent="0.25">
      <c r="A561" s="16">
        <v>42783</v>
      </c>
      <c r="B561" s="13" t="s">
        <v>27</v>
      </c>
      <c r="C561" s="13">
        <v>101</v>
      </c>
      <c r="D561" s="13">
        <v>484.85</v>
      </c>
      <c r="E561" s="13" t="str">
        <f>IF(ISERROR(VLOOKUP(F561,Magic!H:H,1,0)),IF(ISERROR(VLOOKUP(F561,Magic!T:T,1,0)),"N","Y"),"Y")</f>
        <v>N</v>
      </c>
      <c r="F561" s="13">
        <v>559</v>
      </c>
    </row>
    <row r="562" spans="1:6" x14ac:dyDescent="0.25">
      <c r="A562" s="16">
        <v>42783</v>
      </c>
      <c r="B562" s="13" t="s">
        <v>28</v>
      </c>
      <c r="C562" s="13">
        <v>103</v>
      </c>
      <c r="D562" s="13">
        <v>1170.9000000000001</v>
      </c>
      <c r="E562" s="13" t="str">
        <f>IF(ISERROR(VLOOKUP(F562,Magic!H:H,1,0)),IF(ISERROR(VLOOKUP(F562,Magic!T:T,1,0)),"N","Y"),"Y")</f>
        <v>N</v>
      </c>
      <c r="F562" s="13">
        <v>560</v>
      </c>
    </row>
    <row r="563" spans="1:6" x14ac:dyDescent="0.25">
      <c r="A563" s="16">
        <v>42784</v>
      </c>
      <c r="B563" s="13" t="s">
        <v>28</v>
      </c>
      <c r="C563" s="13">
        <v>103</v>
      </c>
      <c r="D563" s="13">
        <v>1575.45</v>
      </c>
      <c r="E563" s="13" t="str">
        <f>IF(ISERROR(VLOOKUP(F563,Magic!H:H,1,0)),IF(ISERROR(VLOOKUP(F563,Magic!T:T,1,0)),"N","Y"),"Y")</f>
        <v>N</v>
      </c>
      <c r="F563" s="13">
        <v>561</v>
      </c>
    </row>
    <row r="564" spans="1:6" x14ac:dyDescent="0.25">
      <c r="A564" s="16">
        <v>42785</v>
      </c>
      <c r="B564" s="13" t="s">
        <v>26</v>
      </c>
      <c r="C564" s="13">
        <v>38</v>
      </c>
      <c r="D564" s="13">
        <v>1340</v>
      </c>
      <c r="E564" s="13" t="str">
        <f>IF(ISERROR(VLOOKUP(F564,Magic!H:H,1,0)),IF(ISERROR(VLOOKUP(F564,Magic!T:T,1,0)),"N","Y"),"Y")</f>
        <v>N</v>
      </c>
      <c r="F564" s="13">
        <v>562</v>
      </c>
    </row>
    <row r="565" spans="1:6" x14ac:dyDescent="0.25">
      <c r="A565" s="16">
        <v>42785</v>
      </c>
      <c r="B565" s="13" t="s">
        <v>28</v>
      </c>
      <c r="C565" s="13">
        <v>103</v>
      </c>
      <c r="D565" s="13">
        <v>954.75</v>
      </c>
      <c r="E565" s="13" t="str">
        <f>IF(ISERROR(VLOOKUP(F565,Magic!H:H,1,0)),IF(ISERROR(VLOOKUP(F565,Magic!T:T,1,0)),"N","Y"),"Y")</f>
        <v>N</v>
      </c>
      <c r="F565" s="13">
        <v>563</v>
      </c>
    </row>
    <row r="566" spans="1:6" x14ac:dyDescent="0.25">
      <c r="A566" s="16">
        <v>42786</v>
      </c>
      <c r="B566" s="13" t="s">
        <v>29</v>
      </c>
      <c r="C566" s="13">
        <v>35</v>
      </c>
      <c r="D566" s="13">
        <v>760</v>
      </c>
      <c r="E566" s="13" t="str">
        <f>IF(ISERROR(VLOOKUP(F566,Magic!H:H,1,0)),IF(ISERROR(VLOOKUP(F566,Magic!T:T,1,0)),"N","Y"),"Y")</f>
        <v>N</v>
      </c>
      <c r="F566" s="13">
        <v>564</v>
      </c>
    </row>
    <row r="567" spans="1:6" x14ac:dyDescent="0.25">
      <c r="A567" s="16">
        <v>42786</v>
      </c>
      <c r="B567" s="13" t="s">
        <v>82</v>
      </c>
      <c r="C567" s="13">
        <v>35</v>
      </c>
      <c r="D567" s="13">
        <v>747.05</v>
      </c>
      <c r="E567" s="13" t="str">
        <f>IF(ISERROR(VLOOKUP(F567,Magic!H:H,1,0)),IF(ISERROR(VLOOKUP(F567,Magic!T:T,1,0)),"N","Y"),"Y")</f>
        <v>N</v>
      </c>
      <c r="F567" s="13">
        <v>565</v>
      </c>
    </row>
    <row r="568" spans="1:6" x14ac:dyDescent="0.25">
      <c r="A568" s="16">
        <v>42786</v>
      </c>
      <c r="B568" s="13" t="s">
        <v>82</v>
      </c>
      <c r="C568" s="13">
        <v>35</v>
      </c>
      <c r="D568" s="13">
        <v>4.6500000000000004</v>
      </c>
      <c r="E568" s="13" t="str">
        <f>IF(ISERROR(VLOOKUP(F568,Magic!H:H,1,0)),IF(ISERROR(VLOOKUP(F568,Magic!T:T,1,0)),"N","Y"),"Y")</f>
        <v>N</v>
      </c>
      <c r="F568" s="13">
        <v>566</v>
      </c>
    </row>
    <row r="569" spans="1:6" x14ac:dyDescent="0.25">
      <c r="A569" s="16">
        <v>42786</v>
      </c>
      <c r="B569" s="13" t="s">
        <v>82</v>
      </c>
      <c r="C569" s="13">
        <v>35</v>
      </c>
      <c r="D569" s="13">
        <v>479.6</v>
      </c>
      <c r="E569" s="13" t="str">
        <f>IF(ISERROR(VLOOKUP(F569,Magic!H:H,1,0)),IF(ISERROR(VLOOKUP(F569,Magic!T:T,1,0)),"N","Y"),"Y")</f>
        <v>N</v>
      </c>
      <c r="F569" s="13">
        <v>567</v>
      </c>
    </row>
    <row r="570" spans="1:6" x14ac:dyDescent="0.25">
      <c r="A570" s="16">
        <v>42786</v>
      </c>
      <c r="B570" s="13" t="s">
        <v>31</v>
      </c>
      <c r="C570" s="13">
        <v>37</v>
      </c>
      <c r="D570" s="13">
        <v>496.85</v>
      </c>
      <c r="E570" s="13" t="str">
        <f>IF(ISERROR(VLOOKUP(F570,Magic!H:H,1,0)),IF(ISERROR(VLOOKUP(F570,Magic!T:T,1,0)),"N","Y"),"Y")</f>
        <v>N</v>
      </c>
      <c r="F570" s="13">
        <v>568</v>
      </c>
    </row>
    <row r="571" spans="1:6" x14ac:dyDescent="0.25">
      <c r="A571" s="16">
        <v>42786</v>
      </c>
      <c r="B571" s="13" t="s">
        <v>31</v>
      </c>
      <c r="C571" s="13">
        <v>37</v>
      </c>
      <c r="D571" s="13">
        <v>376.15</v>
      </c>
      <c r="E571" s="13" t="str">
        <f>IF(ISERROR(VLOOKUP(F571,Magic!H:H,1,0)),IF(ISERROR(VLOOKUP(F571,Magic!T:T,1,0)),"N","Y"),"Y")</f>
        <v>N</v>
      </c>
      <c r="F571" s="13">
        <v>569</v>
      </c>
    </row>
    <row r="572" spans="1:6" x14ac:dyDescent="0.25">
      <c r="A572" s="16">
        <v>42786</v>
      </c>
      <c r="B572" s="13" t="s">
        <v>31</v>
      </c>
      <c r="C572" s="13">
        <v>37</v>
      </c>
      <c r="D572" s="13">
        <v>284.3</v>
      </c>
      <c r="E572" s="13" t="str">
        <f>IF(ISERROR(VLOOKUP(F572,Magic!H:H,1,0)),IF(ISERROR(VLOOKUP(F572,Magic!T:T,1,0)),"N","Y"),"Y")</f>
        <v>N</v>
      </c>
      <c r="F572" s="13">
        <v>570</v>
      </c>
    </row>
    <row r="573" spans="1:6" x14ac:dyDescent="0.25">
      <c r="A573" s="16">
        <v>42786</v>
      </c>
      <c r="B573" s="13" t="s">
        <v>26</v>
      </c>
      <c r="C573" s="13">
        <v>38</v>
      </c>
      <c r="D573" s="13">
        <v>4.8</v>
      </c>
      <c r="E573" s="13" t="str">
        <f>IF(ISERROR(VLOOKUP(F573,Magic!H:H,1,0)),IF(ISERROR(VLOOKUP(F573,Magic!T:T,1,0)),"N","Y"),"Y")</f>
        <v>N</v>
      </c>
      <c r="F573" s="13">
        <v>571</v>
      </c>
    </row>
    <row r="574" spans="1:6" x14ac:dyDescent="0.25">
      <c r="A574" s="16">
        <v>42786</v>
      </c>
      <c r="B574" s="13" t="s">
        <v>26</v>
      </c>
      <c r="C574" s="13">
        <v>38</v>
      </c>
      <c r="D574" s="13">
        <v>37.15</v>
      </c>
      <c r="E574" s="13" t="str">
        <f>IF(ISERROR(VLOOKUP(F574,Magic!H:H,1,0)),IF(ISERROR(VLOOKUP(F574,Magic!T:T,1,0)),"N","Y"),"Y")</f>
        <v>N</v>
      </c>
      <c r="F574" s="13">
        <v>572</v>
      </c>
    </row>
    <row r="575" spans="1:6" x14ac:dyDescent="0.25">
      <c r="A575" s="16">
        <v>42786</v>
      </c>
      <c r="B575" s="13" t="s">
        <v>26</v>
      </c>
      <c r="C575" s="13">
        <v>38</v>
      </c>
      <c r="D575" s="13">
        <v>811.65</v>
      </c>
      <c r="E575" s="13" t="str">
        <f>IF(ISERROR(VLOOKUP(F575,Magic!H:H,1,0)),IF(ISERROR(VLOOKUP(F575,Magic!T:T,1,0)),"N","Y"),"Y")</f>
        <v>N</v>
      </c>
      <c r="F575" s="13">
        <v>573</v>
      </c>
    </row>
    <row r="576" spans="1:6" x14ac:dyDescent="0.25">
      <c r="A576" s="16">
        <v>42786</v>
      </c>
      <c r="B576" s="13" t="s">
        <v>81</v>
      </c>
      <c r="C576" s="13">
        <v>41</v>
      </c>
      <c r="D576" s="13">
        <v>1032.6500000000001</v>
      </c>
      <c r="E576" s="13" t="str">
        <f>IF(ISERROR(VLOOKUP(F576,Magic!H:H,1,0)),IF(ISERROR(VLOOKUP(F576,Magic!T:T,1,0)),"N","Y"),"Y")</f>
        <v>N</v>
      </c>
      <c r="F576" s="13">
        <v>574</v>
      </c>
    </row>
    <row r="577" spans="1:8" x14ac:dyDescent="0.25">
      <c r="A577" s="16">
        <v>42786</v>
      </c>
      <c r="B577" s="13" t="s">
        <v>81</v>
      </c>
      <c r="C577" s="13">
        <v>41</v>
      </c>
      <c r="D577" s="13">
        <v>347.7</v>
      </c>
      <c r="E577" s="13" t="str">
        <f>IF(ISERROR(VLOOKUP(F577,Magic!H:H,1,0)),IF(ISERROR(VLOOKUP(F577,Magic!T:T,1,0)),"N","Y"),"Y")</f>
        <v>N</v>
      </c>
      <c r="F577" s="13">
        <v>575</v>
      </c>
    </row>
    <row r="578" spans="1:8" x14ac:dyDescent="0.25">
      <c r="A578" s="16">
        <v>42786</v>
      </c>
      <c r="B578" s="13" t="s">
        <v>81</v>
      </c>
      <c r="C578" s="13">
        <v>41</v>
      </c>
      <c r="D578" s="13">
        <v>224.95</v>
      </c>
      <c r="E578" s="13" t="str">
        <f>IF(ISERROR(VLOOKUP(F578,Magic!H:H,1,0)),IF(ISERROR(VLOOKUP(F578,Magic!T:T,1,0)),"N","Y"),"Y")</f>
        <v>N</v>
      </c>
      <c r="F578" s="13">
        <v>576</v>
      </c>
    </row>
    <row r="579" spans="1:8" x14ac:dyDescent="0.25">
      <c r="A579" s="16">
        <v>42786</v>
      </c>
      <c r="B579" s="13" t="s">
        <v>24</v>
      </c>
      <c r="C579" s="13">
        <v>43</v>
      </c>
      <c r="D579" s="13">
        <v>709.25</v>
      </c>
      <c r="E579" s="13" t="str">
        <f>IF(ISERROR(VLOOKUP(F579,Magic!H:H,1,0)),IF(ISERROR(VLOOKUP(F579,Magic!T:T,1,0)),"N","Y"),"Y")</f>
        <v>N</v>
      </c>
      <c r="F579" s="13">
        <v>577</v>
      </c>
      <c r="H579" s="13"/>
    </row>
    <row r="580" spans="1:8" x14ac:dyDescent="0.25">
      <c r="A580" s="16">
        <v>42786</v>
      </c>
      <c r="B580" s="13" t="s">
        <v>24</v>
      </c>
      <c r="C580" s="13">
        <v>43</v>
      </c>
      <c r="D580" s="13">
        <v>869</v>
      </c>
      <c r="E580" s="13" t="str">
        <f>IF(ISERROR(VLOOKUP(F580,Magic!H:H,1,0)),IF(ISERROR(VLOOKUP(F580,Magic!T:T,1,0)),"N","Y"),"Y")</f>
        <v>N</v>
      </c>
      <c r="F580" s="13">
        <v>578</v>
      </c>
    </row>
    <row r="581" spans="1:8" x14ac:dyDescent="0.25">
      <c r="A581" s="16">
        <v>42786</v>
      </c>
      <c r="B581" s="13" t="s">
        <v>24</v>
      </c>
      <c r="C581" s="13">
        <v>43</v>
      </c>
      <c r="D581" s="13">
        <v>727.2</v>
      </c>
      <c r="E581" s="13" t="str">
        <f>IF(ISERROR(VLOOKUP(F581,Magic!H:H,1,0)),IF(ISERROR(VLOOKUP(F581,Magic!T:T,1,0)),"N","Y"),"Y")</f>
        <v>N</v>
      </c>
      <c r="F581" s="13">
        <v>579</v>
      </c>
    </row>
    <row r="582" spans="1:8" x14ac:dyDescent="0.25">
      <c r="A582" s="16">
        <v>42786</v>
      </c>
      <c r="B582" s="13" t="s">
        <v>25</v>
      </c>
      <c r="C582" s="13">
        <v>44</v>
      </c>
      <c r="D582" s="13">
        <v>334.6</v>
      </c>
      <c r="E582" s="13" t="str">
        <f>IF(ISERROR(VLOOKUP(F582,Magic!H:H,1,0)),IF(ISERROR(VLOOKUP(F582,Magic!T:T,1,0)),"N","Y"),"Y")</f>
        <v>N</v>
      </c>
      <c r="F582" s="13">
        <v>580</v>
      </c>
    </row>
    <row r="583" spans="1:8" x14ac:dyDescent="0.25">
      <c r="A583" s="16">
        <v>42786</v>
      </c>
      <c r="B583" s="13" t="s">
        <v>25</v>
      </c>
      <c r="C583" s="13">
        <v>44</v>
      </c>
      <c r="D583" s="13">
        <v>284.8</v>
      </c>
      <c r="E583" s="13" t="str">
        <f>IF(ISERROR(VLOOKUP(F583,Magic!H:H,1,0)),IF(ISERROR(VLOOKUP(F583,Magic!T:T,1,0)),"N","Y"),"Y")</f>
        <v>N</v>
      </c>
      <c r="F583" s="13">
        <v>581</v>
      </c>
    </row>
    <row r="584" spans="1:8" x14ac:dyDescent="0.25">
      <c r="A584" s="16">
        <v>42786</v>
      </c>
      <c r="B584" s="13" t="s">
        <v>25</v>
      </c>
      <c r="C584" s="13">
        <v>44</v>
      </c>
      <c r="D584" s="13">
        <v>134.9</v>
      </c>
      <c r="E584" s="13" t="str">
        <f>IF(ISERROR(VLOOKUP(F584,Magic!H:H,1,0)),IF(ISERROR(VLOOKUP(F584,Magic!T:T,1,0)),"N","Y"),"Y")</f>
        <v>N</v>
      </c>
      <c r="F584" s="13">
        <v>582</v>
      </c>
    </row>
    <row r="585" spans="1:8" x14ac:dyDescent="0.25">
      <c r="A585" s="16">
        <v>42786</v>
      </c>
      <c r="B585" s="13" t="s">
        <v>30</v>
      </c>
      <c r="C585" s="13">
        <v>45</v>
      </c>
      <c r="D585" s="13">
        <v>740.65</v>
      </c>
      <c r="E585" s="13" t="str">
        <f>IF(ISERROR(VLOOKUP(F585,Magic!H:H,1,0)),IF(ISERROR(VLOOKUP(F585,Magic!T:T,1,0)),"N","Y"),"Y")</f>
        <v>N</v>
      </c>
      <c r="F585" s="13">
        <v>583</v>
      </c>
    </row>
    <row r="586" spans="1:8" x14ac:dyDescent="0.25">
      <c r="A586" s="16">
        <v>42786</v>
      </c>
      <c r="B586" s="13" t="s">
        <v>30</v>
      </c>
      <c r="C586" s="13">
        <v>45</v>
      </c>
      <c r="D586" s="13">
        <v>594.79999999999995</v>
      </c>
      <c r="E586" s="13" t="str">
        <f>IF(ISERROR(VLOOKUP(F586,Magic!H:H,1,0)),IF(ISERROR(VLOOKUP(F586,Magic!T:T,1,0)),"N","Y"),"Y")</f>
        <v>N</v>
      </c>
      <c r="F586" s="13">
        <v>584</v>
      </c>
    </row>
    <row r="587" spans="1:8" x14ac:dyDescent="0.25">
      <c r="A587" s="16">
        <v>42786</v>
      </c>
      <c r="B587" s="13" t="s">
        <v>30</v>
      </c>
      <c r="C587" s="13">
        <v>45</v>
      </c>
      <c r="D587" s="13">
        <v>537.35</v>
      </c>
      <c r="E587" s="13" t="str">
        <f>IF(ISERROR(VLOOKUP(F587,Magic!H:H,1,0)),IF(ISERROR(VLOOKUP(F587,Magic!T:T,1,0)),"N","Y"),"Y")</f>
        <v>N</v>
      </c>
      <c r="F587" s="13">
        <v>585</v>
      </c>
    </row>
    <row r="588" spans="1:8" x14ac:dyDescent="0.25">
      <c r="A588" s="16">
        <v>42786</v>
      </c>
      <c r="B588" s="13" t="s">
        <v>30</v>
      </c>
      <c r="C588" s="13">
        <v>45</v>
      </c>
      <c r="D588" s="13">
        <v>1.45</v>
      </c>
      <c r="E588" s="13" t="str">
        <f>IF(ISERROR(VLOOKUP(F588,Magic!H:H,1,0)),IF(ISERROR(VLOOKUP(F588,Magic!T:T,1,0)),"N","Y"),"Y")</f>
        <v>N</v>
      </c>
      <c r="F588" s="13">
        <v>586</v>
      </c>
    </row>
    <row r="589" spans="1:8" x14ac:dyDescent="0.25">
      <c r="A589" s="16">
        <v>42786</v>
      </c>
      <c r="B589" s="13" t="s">
        <v>27</v>
      </c>
      <c r="C589" s="13">
        <v>101</v>
      </c>
      <c r="D589" s="13">
        <v>679.25</v>
      </c>
      <c r="E589" s="13" t="str">
        <f>IF(ISERROR(VLOOKUP(F589,Magic!H:H,1,0)),IF(ISERROR(VLOOKUP(F589,Magic!T:T,1,0)),"N","Y"),"Y")</f>
        <v>N</v>
      </c>
      <c r="F589" s="13">
        <v>587</v>
      </c>
    </row>
    <row r="590" spans="1:8" x14ac:dyDescent="0.25">
      <c r="A590" s="16">
        <v>42786</v>
      </c>
      <c r="B590" s="13" t="s">
        <v>27</v>
      </c>
      <c r="C590" s="13">
        <v>101</v>
      </c>
      <c r="D590" s="13">
        <v>529.29999999999995</v>
      </c>
      <c r="E590" s="13" t="str">
        <f>IF(ISERROR(VLOOKUP(F590,Magic!H:H,1,0)),IF(ISERROR(VLOOKUP(F590,Magic!T:T,1,0)),"N","Y"),"Y")</f>
        <v>N</v>
      </c>
      <c r="F590" s="13">
        <v>588</v>
      </c>
    </row>
    <row r="591" spans="1:8" x14ac:dyDescent="0.25">
      <c r="A591" s="16">
        <v>42786</v>
      </c>
      <c r="B591" s="13" t="s">
        <v>27</v>
      </c>
      <c r="C591" s="13">
        <v>101</v>
      </c>
      <c r="D591" s="13">
        <v>224.85</v>
      </c>
      <c r="E591" s="13" t="str">
        <f>IF(ISERROR(VLOOKUP(F591,Magic!H:H,1,0)),IF(ISERROR(VLOOKUP(F591,Magic!T:T,1,0)),"N","Y"),"Y")</f>
        <v>N</v>
      </c>
      <c r="F591" s="13">
        <v>589</v>
      </c>
    </row>
    <row r="592" spans="1:8" x14ac:dyDescent="0.25">
      <c r="A592" s="16">
        <v>42786</v>
      </c>
      <c r="B592" s="13" t="s">
        <v>28</v>
      </c>
      <c r="C592" s="13">
        <v>103</v>
      </c>
      <c r="D592" s="13">
        <v>329.9</v>
      </c>
      <c r="E592" s="13" t="str">
        <f>IF(ISERROR(VLOOKUP(F592,Magic!H:H,1,0)),IF(ISERROR(VLOOKUP(F592,Magic!T:T,1,0)),"N","Y"),"Y")</f>
        <v>N</v>
      </c>
      <c r="F592" s="13">
        <v>590</v>
      </c>
    </row>
    <row r="593" spans="1:6" x14ac:dyDescent="0.25">
      <c r="A593" s="16">
        <v>42787</v>
      </c>
      <c r="B593" s="13" t="s">
        <v>29</v>
      </c>
      <c r="C593" s="13">
        <v>35</v>
      </c>
      <c r="D593" s="13">
        <v>840</v>
      </c>
      <c r="E593" s="13" t="str">
        <f>IF(ISERROR(VLOOKUP(F593,Magic!H:H,1,0)),IF(ISERROR(VLOOKUP(F593,Magic!T:T,1,0)),"N","Y"),"Y")</f>
        <v>N</v>
      </c>
      <c r="F593" s="13">
        <v>591</v>
      </c>
    </row>
    <row r="594" spans="1:6" x14ac:dyDescent="0.25">
      <c r="A594" s="16">
        <v>42787</v>
      </c>
      <c r="B594" s="13" t="s">
        <v>146</v>
      </c>
      <c r="C594" s="13">
        <v>37</v>
      </c>
      <c r="D594" s="13">
        <v>343.8</v>
      </c>
      <c r="E594" s="13" t="str">
        <f>IF(ISERROR(VLOOKUP(F594,Magic!H:H,1,0)),IF(ISERROR(VLOOKUP(F594,Magic!T:T,1,0)),"N","Y"),"Y")</f>
        <v>N</v>
      </c>
      <c r="F594" s="13">
        <v>592</v>
      </c>
    </row>
    <row r="595" spans="1:6" x14ac:dyDescent="0.25">
      <c r="A595" s="16">
        <v>42787</v>
      </c>
      <c r="B595" s="13" t="s">
        <v>81</v>
      </c>
      <c r="C595" s="13">
        <v>41</v>
      </c>
      <c r="D595" s="13">
        <v>204.8</v>
      </c>
      <c r="E595" s="13" t="str">
        <f>IF(ISERROR(VLOOKUP(F595,Magic!H:H,1,0)),IF(ISERROR(VLOOKUP(F595,Magic!T:T,1,0)),"N","Y"),"Y")</f>
        <v>N</v>
      </c>
      <c r="F595" s="13">
        <v>593</v>
      </c>
    </row>
    <row r="596" spans="1:6" x14ac:dyDescent="0.25">
      <c r="A596" s="16">
        <v>42787</v>
      </c>
      <c r="B596" s="13" t="s">
        <v>472</v>
      </c>
      <c r="C596" s="13">
        <v>43</v>
      </c>
      <c r="D596" s="13">
        <v>792.2</v>
      </c>
      <c r="E596" s="13" t="str">
        <f>IF(ISERROR(VLOOKUP(F596,Magic!H:H,1,0)),IF(ISERROR(VLOOKUP(F596,Magic!T:T,1,0)),"N","Y"),"Y")</f>
        <v>N</v>
      </c>
      <c r="F596" s="13">
        <v>594</v>
      </c>
    </row>
    <row r="597" spans="1:6" x14ac:dyDescent="0.25">
      <c r="A597" s="16">
        <v>42787</v>
      </c>
      <c r="B597" s="13" t="s">
        <v>25</v>
      </c>
      <c r="C597" s="13">
        <v>44</v>
      </c>
      <c r="D597" s="13">
        <v>334.65</v>
      </c>
      <c r="E597" s="13" t="str">
        <f>IF(ISERROR(VLOOKUP(F597,Magic!H:H,1,0)),IF(ISERROR(VLOOKUP(F597,Magic!T:T,1,0)),"N","Y"),"Y")</f>
        <v>N</v>
      </c>
      <c r="F597" s="13">
        <v>595</v>
      </c>
    </row>
    <row r="598" spans="1:6" x14ac:dyDescent="0.25">
      <c r="A598" s="16">
        <v>42787</v>
      </c>
      <c r="B598" s="13" t="s">
        <v>30</v>
      </c>
      <c r="C598" s="13">
        <v>45</v>
      </c>
      <c r="D598" s="13">
        <v>445</v>
      </c>
      <c r="E598" s="13" t="str">
        <f>IF(ISERROR(VLOOKUP(F598,Magic!H:H,1,0)),IF(ISERROR(VLOOKUP(F598,Magic!T:T,1,0)),"N","Y"),"Y")</f>
        <v>N</v>
      </c>
      <c r="F598" s="13">
        <v>596</v>
      </c>
    </row>
    <row r="599" spans="1:6" x14ac:dyDescent="0.25">
      <c r="A599" s="16">
        <v>42787</v>
      </c>
      <c r="B599" s="13" t="s">
        <v>27</v>
      </c>
      <c r="C599" s="13">
        <v>101</v>
      </c>
      <c r="D599" s="13">
        <v>719.35</v>
      </c>
      <c r="E599" s="13" t="str">
        <f>IF(ISERROR(VLOOKUP(F599,Magic!H:H,1,0)),IF(ISERROR(VLOOKUP(F599,Magic!T:T,1,0)),"N","Y"),"Y")</f>
        <v>N</v>
      </c>
      <c r="F599" s="13">
        <v>597</v>
      </c>
    </row>
    <row r="600" spans="1:6" x14ac:dyDescent="0.25">
      <c r="A600" s="16">
        <v>42787</v>
      </c>
      <c r="B600" s="13" t="s">
        <v>28</v>
      </c>
      <c r="C600" s="13">
        <v>103</v>
      </c>
      <c r="D600" s="13">
        <v>1107.4000000000001</v>
      </c>
      <c r="E600" s="13" t="str">
        <f>IF(ISERROR(VLOOKUP(F600,Magic!H:H,1,0)),IF(ISERROR(VLOOKUP(F600,Magic!T:T,1,0)),"N","Y"),"Y")</f>
        <v>N</v>
      </c>
      <c r="F600" s="13">
        <v>598</v>
      </c>
    </row>
    <row r="601" spans="1:6" x14ac:dyDescent="0.25">
      <c r="A601" s="16">
        <v>42787</v>
      </c>
      <c r="B601" s="13" t="s">
        <v>611</v>
      </c>
      <c r="C601" s="13">
        <v>201</v>
      </c>
      <c r="D601" s="13">
        <v>899.8</v>
      </c>
      <c r="E601" s="13" t="str">
        <f>IF(ISERROR(VLOOKUP(F601,Magic!H:H,1,0)),IF(ISERROR(VLOOKUP(F601,Magic!T:T,1,0)),"N","Y"),"Y")</f>
        <v>N</v>
      </c>
      <c r="F601" s="13">
        <v>599</v>
      </c>
    </row>
    <row r="602" spans="1:6" x14ac:dyDescent="0.25">
      <c r="A602" s="16">
        <v>42787</v>
      </c>
      <c r="B602" s="13" t="s">
        <v>611</v>
      </c>
      <c r="C602" s="13">
        <v>201</v>
      </c>
      <c r="D602" s="13">
        <v>849.35</v>
      </c>
      <c r="E602" s="13" t="str">
        <f>IF(ISERROR(VLOOKUP(F602,Magic!H:H,1,0)),IF(ISERROR(VLOOKUP(F602,Magic!T:T,1,0)),"N","Y"),"Y")</f>
        <v>N</v>
      </c>
      <c r="F602" s="13">
        <v>600</v>
      </c>
    </row>
    <row r="603" spans="1:6" x14ac:dyDescent="0.25">
      <c r="A603" s="16">
        <v>42787</v>
      </c>
      <c r="B603" s="13" t="s">
        <v>611</v>
      </c>
      <c r="C603" s="13">
        <v>201</v>
      </c>
      <c r="D603" s="13">
        <v>564.65</v>
      </c>
      <c r="E603" s="13" t="str">
        <f>IF(ISERROR(VLOOKUP(F603,Magic!H:H,1,0)),IF(ISERROR(VLOOKUP(F603,Magic!T:T,1,0)),"N","Y"),"Y")</f>
        <v>N</v>
      </c>
      <c r="F603" s="13">
        <v>601</v>
      </c>
    </row>
    <row r="604" spans="1:6" x14ac:dyDescent="0.25">
      <c r="A604" s="16">
        <v>42787</v>
      </c>
      <c r="B604" s="13" t="s">
        <v>611</v>
      </c>
      <c r="C604" s="13">
        <v>201</v>
      </c>
      <c r="D604" s="13">
        <v>259.75</v>
      </c>
      <c r="E604" s="13" t="str">
        <f>IF(ISERROR(VLOOKUP(F604,Magic!H:H,1,0)),IF(ISERROR(VLOOKUP(F604,Magic!T:T,1,0)),"N","Y"),"Y")</f>
        <v>N</v>
      </c>
      <c r="F604" s="13">
        <v>602</v>
      </c>
    </row>
    <row r="605" spans="1:6" x14ac:dyDescent="0.25">
      <c r="A605" s="16">
        <v>42787</v>
      </c>
      <c r="B605" s="13" t="s">
        <v>611</v>
      </c>
      <c r="C605" s="13">
        <v>201</v>
      </c>
      <c r="D605" s="13">
        <v>194.85</v>
      </c>
      <c r="E605" s="13" t="str">
        <f>IF(ISERROR(VLOOKUP(F605,Magic!H:H,1,0)),IF(ISERROR(VLOOKUP(F605,Magic!T:T,1,0)),"N","Y"),"Y")</f>
        <v>N</v>
      </c>
      <c r="F605" s="13">
        <v>603</v>
      </c>
    </row>
    <row r="606" spans="1:6" x14ac:dyDescent="0.25">
      <c r="A606" s="16">
        <v>42787</v>
      </c>
      <c r="B606" s="13" t="s">
        <v>355</v>
      </c>
      <c r="C606" s="13">
        <v>103</v>
      </c>
      <c r="D606" s="13">
        <v>0.5</v>
      </c>
      <c r="E606" s="13" t="s">
        <v>71</v>
      </c>
      <c r="F606" s="13">
        <v>604</v>
      </c>
    </row>
    <row r="607" spans="1:6" x14ac:dyDescent="0.25">
      <c r="A607" s="16">
        <v>42788</v>
      </c>
      <c r="B607" s="13" t="s">
        <v>28</v>
      </c>
      <c r="C607" s="13">
        <v>103</v>
      </c>
      <c r="D607" s="13">
        <v>50</v>
      </c>
      <c r="E607" s="13" t="s">
        <v>71</v>
      </c>
      <c r="F607" s="13">
        <v>614</v>
      </c>
    </row>
    <row r="608" spans="1:6" x14ac:dyDescent="0.25">
      <c r="A608" s="16">
        <v>42788</v>
      </c>
      <c r="B608" s="13" t="s">
        <v>28</v>
      </c>
      <c r="C608" s="13">
        <v>103</v>
      </c>
      <c r="D608" s="13">
        <v>50.5</v>
      </c>
      <c r="E608" s="13" t="str">
        <f>IF(ISERROR(VLOOKUP(F608,Magic!H:H,1,0)),IF(ISERROR(VLOOKUP(F608,Magic!T:T,1,0)),"N","Y"),"Y")</f>
        <v>N</v>
      </c>
      <c r="F608" s="13">
        <v>616</v>
      </c>
    </row>
    <row r="609" spans="1:6" x14ac:dyDescent="0.25">
      <c r="A609" s="16">
        <v>42788</v>
      </c>
      <c r="B609" s="13" t="s">
        <v>29</v>
      </c>
      <c r="C609" s="13">
        <v>35</v>
      </c>
      <c r="D609" s="13">
        <v>1000</v>
      </c>
      <c r="E609" s="13" t="str">
        <f>IF(ISERROR(VLOOKUP(F609,Magic!H:H,1,0)),IF(ISERROR(VLOOKUP(F609,Magic!T:T,1,0)),"N","Y"),"Y")</f>
        <v>N</v>
      </c>
      <c r="F609" s="13">
        <v>605</v>
      </c>
    </row>
    <row r="610" spans="1:6" x14ac:dyDescent="0.25">
      <c r="A610" s="16">
        <v>42788</v>
      </c>
      <c r="B610" s="13" t="s">
        <v>82</v>
      </c>
      <c r="C610" s="13">
        <v>35</v>
      </c>
      <c r="D610" s="13">
        <v>2.15</v>
      </c>
      <c r="E610" s="13" t="str">
        <f>IF(ISERROR(VLOOKUP(F610,Magic!H:H,1,0)),IF(ISERROR(VLOOKUP(F610,Magic!T:T,1,0)),"N","Y"),"Y")</f>
        <v>N</v>
      </c>
      <c r="F610" s="13">
        <v>606</v>
      </c>
    </row>
    <row r="611" spans="1:6" x14ac:dyDescent="0.25">
      <c r="A611" s="16">
        <v>42788</v>
      </c>
      <c r="B611" s="13" t="s">
        <v>57</v>
      </c>
      <c r="C611" s="13">
        <v>35</v>
      </c>
      <c r="D611" s="13">
        <v>4.3</v>
      </c>
      <c r="E611" s="13" t="str">
        <f>IF(ISERROR(VLOOKUP(F611,Magic!H:H,1,0)),IF(ISERROR(VLOOKUP(F611,Magic!T:T,1,0)),"N","Y"),"Y")</f>
        <v>N</v>
      </c>
      <c r="F611" s="13">
        <v>607</v>
      </c>
    </row>
    <row r="612" spans="1:6" x14ac:dyDescent="0.25">
      <c r="A612" s="16">
        <v>42788</v>
      </c>
      <c r="B612" s="13" t="s">
        <v>31</v>
      </c>
      <c r="C612" s="13">
        <v>37</v>
      </c>
      <c r="D612" s="13">
        <v>454.45</v>
      </c>
      <c r="E612" s="13" t="str">
        <f>IF(ISERROR(VLOOKUP(F612,Magic!H:H,1,0)),IF(ISERROR(VLOOKUP(F612,Magic!T:T,1,0)),"N","Y"),"Y")</f>
        <v>N</v>
      </c>
      <c r="F612" s="13">
        <v>608</v>
      </c>
    </row>
    <row r="613" spans="1:6" x14ac:dyDescent="0.25">
      <c r="A613" s="16">
        <v>42788</v>
      </c>
      <c r="B613" s="13" t="s">
        <v>24</v>
      </c>
      <c r="C613" s="13">
        <v>43</v>
      </c>
      <c r="D613" s="13">
        <v>747.1</v>
      </c>
      <c r="E613" s="13" t="str">
        <f>IF(ISERROR(VLOOKUP(F613,Magic!H:H,1,0)),IF(ISERROR(VLOOKUP(F613,Magic!T:T,1,0)),"N","Y"),"Y")</f>
        <v>N</v>
      </c>
      <c r="F613" s="13">
        <v>609</v>
      </c>
    </row>
    <row r="614" spans="1:6" x14ac:dyDescent="0.25">
      <c r="A614" s="16">
        <v>42788</v>
      </c>
      <c r="B614" s="13" t="s">
        <v>25</v>
      </c>
      <c r="C614" s="13">
        <v>44</v>
      </c>
      <c r="D614" s="13">
        <v>194.8</v>
      </c>
      <c r="E614" s="13" t="str">
        <f>IF(ISERROR(VLOOKUP(F614,Magic!H:H,1,0)),IF(ISERROR(VLOOKUP(F614,Magic!T:T,1,0)),"N","Y"),"Y")</f>
        <v>N</v>
      </c>
      <c r="F614" s="13">
        <v>610</v>
      </c>
    </row>
    <row r="615" spans="1:6" x14ac:dyDescent="0.25">
      <c r="A615" s="16">
        <v>42788</v>
      </c>
      <c r="B615" s="13" t="s">
        <v>30</v>
      </c>
      <c r="C615" s="13">
        <v>45</v>
      </c>
      <c r="D615" s="13">
        <v>642.6</v>
      </c>
      <c r="E615" s="13" t="str">
        <f>IF(ISERROR(VLOOKUP(F615,Magic!H:H,1,0)),IF(ISERROR(VLOOKUP(F615,Magic!T:T,1,0)),"N","Y"),"Y")</f>
        <v>N</v>
      </c>
      <c r="F615" s="13">
        <v>611</v>
      </c>
    </row>
    <row r="616" spans="1:6" x14ac:dyDescent="0.25">
      <c r="A616" s="16">
        <v>42788</v>
      </c>
      <c r="B616" s="13" t="s">
        <v>27</v>
      </c>
      <c r="C616" s="13">
        <v>101</v>
      </c>
      <c r="D616" s="13">
        <v>339.25</v>
      </c>
      <c r="E616" s="13" t="str">
        <f>IF(ISERROR(VLOOKUP(F616,Magic!H:H,1,0)),IF(ISERROR(VLOOKUP(F616,Magic!T:T,1,0)),"N","Y"),"Y")</f>
        <v>N</v>
      </c>
      <c r="F616" s="13">
        <v>612</v>
      </c>
    </row>
    <row r="617" spans="1:6" x14ac:dyDescent="0.25">
      <c r="A617" s="16">
        <v>42788</v>
      </c>
      <c r="B617" s="13" t="s">
        <v>28</v>
      </c>
      <c r="C617" s="13">
        <v>103</v>
      </c>
      <c r="D617" s="13">
        <v>659.45</v>
      </c>
      <c r="E617" s="13" t="str">
        <f>IF(ISERROR(VLOOKUP(F617,Magic!H:H,1,0)),IF(ISERROR(VLOOKUP(F617,Magic!T:T,1,0)),"N","Y"),"Y")</f>
        <v>N</v>
      </c>
      <c r="F617" s="13">
        <v>613</v>
      </c>
    </row>
    <row r="618" spans="1:6" x14ac:dyDescent="0.25">
      <c r="A618" s="16">
        <v>42788</v>
      </c>
      <c r="B618" s="13" t="s">
        <v>460</v>
      </c>
      <c r="C618" s="13">
        <v>45</v>
      </c>
      <c r="D618" s="13">
        <v>4.4000000000000004</v>
      </c>
      <c r="E618" s="13" t="str">
        <f>IF(ISERROR(VLOOKUP(F618,Magic!H:H,1,0)),IF(ISERROR(VLOOKUP(F618,Magic!T:T,1,0)),"N","Y"),"Y")</f>
        <v>N</v>
      </c>
      <c r="F618" s="13">
        <v>615</v>
      </c>
    </row>
    <row r="619" spans="1:6" x14ac:dyDescent="0.25">
      <c r="A619" s="16">
        <v>42789</v>
      </c>
      <c r="B619" s="13" t="s">
        <v>146</v>
      </c>
      <c r="C619" s="13">
        <v>37</v>
      </c>
      <c r="D619" s="13">
        <v>1348.25</v>
      </c>
      <c r="E619" s="13" t="str">
        <f>IF(ISERROR(VLOOKUP(F619,Magic!H:H,1,0)),IF(ISERROR(VLOOKUP(F619,Magic!T:T,1,0)),"N","Y"),"Y")</f>
        <v>N</v>
      </c>
      <c r="F619" s="13">
        <v>617</v>
      </c>
    </row>
    <row r="620" spans="1:6" x14ac:dyDescent="0.25">
      <c r="A620" s="16">
        <v>42789</v>
      </c>
      <c r="B620" s="13" t="s">
        <v>82</v>
      </c>
      <c r="C620" s="13">
        <v>35</v>
      </c>
      <c r="D620" s="13">
        <v>2.75</v>
      </c>
      <c r="E620" s="13" t="str">
        <f>IF(ISERROR(VLOOKUP(F620,Magic!H:H,1,0)),IF(ISERROR(VLOOKUP(F620,Magic!T:T,1,0)),"N","Y"),"Y")</f>
        <v>N</v>
      </c>
      <c r="F620" s="13">
        <v>618</v>
      </c>
    </row>
    <row r="621" spans="1:6" x14ac:dyDescent="0.25">
      <c r="A621" s="16">
        <v>42789</v>
      </c>
      <c r="B621" s="13" t="s">
        <v>31</v>
      </c>
      <c r="C621" s="13">
        <v>37</v>
      </c>
      <c r="D621" s="13">
        <v>454.65</v>
      </c>
      <c r="E621" s="13" t="str">
        <f>IF(ISERROR(VLOOKUP(F621,Magic!H:H,1,0)),IF(ISERROR(VLOOKUP(F621,Magic!T:T,1,0)),"N","Y"),"Y")</f>
        <v>N</v>
      </c>
      <c r="F621" s="13">
        <v>619</v>
      </c>
    </row>
    <row r="622" spans="1:6" x14ac:dyDescent="0.25">
      <c r="A622" s="16">
        <v>42789</v>
      </c>
      <c r="B622" s="13" t="s">
        <v>142</v>
      </c>
      <c r="C622" s="13">
        <v>38</v>
      </c>
      <c r="D622" s="13">
        <v>3395</v>
      </c>
      <c r="E622" s="13" t="str">
        <f>IF(ISERROR(VLOOKUP(F622,Magic!H:H,1,0)),IF(ISERROR(VLOOKUP(F622,Magic!T:T,1,0)),"N","Y"),"Y")</f>
        <v>N</v>
      </c>
      <c r="F622" s="13">
        <v>620</v>
      </c>
    </row>
    <row r="623" spans="1:6" x14ac:dyDescent="0.25">
      <c r="A623" s="16">
        <v>42789</v>
      </c>
      <c r="B623" s="13" t="s">
        <v>26</v>
      </c>
      <c r="C623" s="13">
        <v>38</v>
      </c>
      <c r="D623" s="13">
        <v>619.54999999999995</v>
      </c>
      <c r="E623" s="13" t="str">
        <f>IF(ISERROR(VLOOKUP(F623,Magic!H:H,1,0)),IF(ISERROR(VLOOKUP(F623,Magic!T:T,1,0)),"N","Y"),"Y")</f>
        <v>N</v>
      </c>
      <c r="F623" s="13">
        <v>621</v>
      </c>
    </row>
    <row r="624" spans="1:6" x14ac:dyDescent="0.25">
      <c r="A624" s="16">
        <v>42789</v>
      </c>
      <c r="B624" s="13" t="s">
        <v>26</v>
      </c>
      <c r="C624" s="13">
        <v>38</v>
      </c>
      <c r="D624" s="13">
        <v>1011.5</v>
      </c>
      <c r="E624" s="13" t="str">
        <f>IF(ISERROR(VLOOKUP(F624,Magic!H:H,1,0)),IF(ISERROR(VLOOKUP(F624,Magic!T:T,1,0)),"N","Y"),"Y")</f>
        <v>N</v>
      </c>
      <c r="F624" s="13">
        <v>622</v>
      </c>
    </row>
    <row r="625" spans="1:6" x14ac:dyDescent="0.25">
      <c r="A625" s="16">
        <v>42789</v>
      </c>
      <c r="B625" s="13" t="s">
        <v>81</v>
      </c>
      <c r="C625" s="13">
        <v>41</v>
      </c>
      <c r="D625" s="13">
        <v>379.8</v>
      </c>
      <c r="E625" s="13" t="str">
        <f>IF(ISERROR(VLOOKUP(F625,Magic!H:H,1,0)),IF(ISERROR(VLOOKUP(F625,Magic!T:T,1,0)),"N","Y"),"Y")</f>
        <v>N</v>
      </c>
      <c r="F625" s="13">
        <v>623</v>
      </c>
    </row>
    <row r="626" spans="1:6" x14ac:dyDescent="0.25">
      <c r="A626" s="16">
        <v>42789</v>
      </c>
      <c r="B626" s="13" t="s">
        <v>81</v>
      </c>
      <c r="C626" s="13">
        <v>41</v>
      </c>
      <c r="D626" s="13">
        <v>429.85</v>
      </c>
      <c r="E626" s="13" t="str">
        <f>IF(ISERROR(VLOOKUP(F626,Magic!H:H,1,0)),IF(ISERROR(VLOOKUP(F626,Magic!T:T,1,0)),"N","Y"),"Y")</f>
        <v>N</v>
      </c>
      <c r="F626" s="13">
        <v>624</v>
      </c>
    </row>
    <row r="627" spans="1:6" x14ac:dyDescent="0.25">
      <c r="A627" s="16">
        <v>42789</v>
      </c>
      <c r="B627" s="13" t="s">
        <v>25</v>
      </c>
      <c r="C627" s="13">
        <v>44</v>
      </c>
      <c r="D627" s="13">
        <v>207.35</v>
      </c>
      <c r="E627" s="13" t="str">
        <f>IF(ISERROR(VLOOKUP(F627,Magic!H:H,1,0)),IF(ISERROR(VLOOKUP(F627,Magic!T:T,1,0)),"N","Y"),"Y")</f>
        <v>N</v>
      </c>
      <c r="F627" s="13">
        <v>625</v>
      </c>
    </row>
    <row r="628" spans="1:6" x14ac:dyDescent="0.25">
      <c r="A628" s="16">
        <v>42789</v>
      </c>
      <c r="B628" s="13" t="s">
        <v>30</v>
      </c>
      <c r="C628" s="13">
        <v>45</v>
      </c>
      <c r="D628" s="13">
        <v>835</v>
      </c>
      <c r="E628" s="13" t="s">
        <v>71</v>
      </c>
      <c r="F628" s="13">
        <v>626</v>
      </c>
    </row>
    <row r="629" spans="1:6" x14ac:dyDescent="0.25">
      <c r="A629" s="16">
        <v>42789</v>
      </c>
      <c r="B629" s="13" t="s">
        <v>123</v>
      </c>
      <c r="C629" s="13">
        <v>45</v>
      </c>
      <c r="D629" s="13">
        <v>900</v>
      </c>
      <c r="E629" s="13" t="s">
        <v>71</v>
      </c>
      <c r="F629" s="13">
        <v>627</v>
      </c>
    </row>
    <row r="630" spans="1:6" x14ac:dyDescent="0.25">
      <c r="A630" s="16">
        <v>42789</v>
      </c>
      <c r="B630" s="13" t="s">
        <v>123</v>
      </c>
      <c r="C630" s="13">
        <v>45</v>
      </c>
      <c r="D630" s="13">
        <f>SUM(D628:D629)</f>
        <v>1735</v>
      </c>
      <c r="E630" s="13" t="str">
        <f>IF(ISERROR(VLOOKUP(F630,Magic!H:H,1,0)),IF(ISERROR(VLOOKUP(F630,Magic!T:T,1,0)),"N","Y"),"Y")</f>
        <v>N</v>
      </c>
      <c r="F630" s="13">
        <v>630</v>
      </c>
    </row>
    <row r="631" spans="1:6" x14ac:dyDescent="0.25">
      <c r="A631" s="16">
        <v>42789</v>
      </c>
      <c r="B631" s="13" t="s">
        <v>27</v>
      </c>
      <c r="C631" s="13">
        <v>101</v>
      </c>
      <c r="D631" s="13">
        <v>484.15</v>
      </c>
      <c r="E631" s="13" t="str">
        <f>IF(ISERROR(VLOOKUP(F631,Magic!H:H,1,0)),IF(ISERROR(VLOOKUP(F631,Magic!T:T,1,0)),"N","Y"),"Y")</f>
        <v>N</v>
      </c>
      <c r="F631" s="13">
        <v>628</v>
      </c>
    </row>
    <row r="632" spans="1:6" x14ac:dyDescent="0.25">
      <c r="A632" s="16">
        <v>42789</v>
      </c>
      <c r="B632" s="13" t="s">
        <v>28</v>
      </c>
      <c r="C632" s="13">
        <v>103</v>
      </c>
      <c r="D632" s="13">
        <v>768.8</v>
      </c>
      <c r="E632" s="13" t="str">
        <f>IF(ISERROR(VLOOKUP(F632,Magic!H:H,1,0)),IF(ISERROR(VLOOKUP(F632,Magic!T:T,1,0)),"N","Y"),"Y")</f>
        <v>N</v>
      </c>
      <c r="F632" s="13">
        <v>629</v>
      </c>
    </row>
    <row r="633" spans="1:6" x14ac:dyDescent="0.25">
      <c r="A633" s="16">
        <v>42792</v>
      </c>
      <c r="B633" s="13" t="s">
        <v>26</v>
      </c>
      <c r="C633" s="13">
        <v>38</v>
      </c>
      <c r="D633" s="13">
        <v>1230</v>
      </c>
      <c r="E633" s="13" t="str">
        <f>IF(ISERROR(VLOOKUP(F633,Magic!H:H,1,0)),IF(ISERROR(VLOOKUP(F633,Magic!T:T,1,0)),"N","Y"),"Y")</f>
        <v>N</v>
      </c>
      <c r="F633" s="13">
        <v>631</v>
      </c>
    </row>
    <row r="634" spans="1:6" x14ac:dyDescent="0.25">
      <c r="A634" s="16">
        <v>42790</v>
      </c>
      <c r="B634" s="13" t="s">
        <v>31</v>
      </c>
      <c r="C634" s="13">
        <v>37</v>
      </c>
      <c r="D634" s="13">
        <v>260</v>
      </c>
      <c r="E634" s="13" t="str">
        <f>IF(ISERROR(VLOOKUP(F634,Magic!H:H,1,0)),IF(ISERROR(VLOOKUP(F634,Magic!T:T,1,0)),"N","Y"),"Y")</f>
        <v>N</v>
      </c>
      <c r="F634" s="13">
        <v>632</v>
      </c>
    </row>
    <row r="635" spans="1:6" x14ac:dyDescent="0.25">
      <c r="A635" s="16">
        <v>42790</v>
      </c>
      <c r="B635" s="13" t="s">
        <v>26</v>
      </c>
      <c r="C635" s="13">
        <v>38</v>
      </c>
      <c r="D635" s="13">
        <v>1667.8</v>
      </c>
      <c r="E635" s="13" t="str">
        <f>IF(ISERROR(VLOOKUP(F635,Magic!H:H,1,0)),IF(ISERROR(VLOOKUP(F635,Magic!T:T,1,0)),"N","Y"),"Y")</f>
        <v>N</v>
      </c>
      <c r="F635" s="13">
        <v>633</v>
      </c>
    </row>
    <row r="636" spans="1:6" x14ac:dyDescent="0.25">
      <c r="A636" s="16">
        <v>42790</v>
      </c>
      <c r="B636" s="13" t="s">
        <v>26</v>
      </c>
      <c r="C636" s="13">
        <v>38</v>
      </c>
      <c r="D636" s="13">
        <v>88.7</v>
      </c>
      <c r="E636" s="13" t="str">
        <f>IF(ISERROR(VLOOKUP(F636,Magic!H:H,1,0)),IF(ISERROR(VLOOKUP(F636,Magic!T:T,1,0)),"N","Y"),"Y")</f>
        <v>N</v>
      </c>
      <c r="F636" s="13">
        <v>634</v>
      </c>
    </row>
    <row r="637" spans="1:6" x14ac:dyDescent="0.25">
      <c r="A637" s="16">
        <v>42790</v>
      </c>
      <c r="B637" s="13" t="s">
        <v>81</v>
      </c>
      <c r="C637" s="13">
        <v>41</v>
      </c>
      <c r="D637" s="13">
        <v>1096.3499999999999</v>
      </c>
      <c r="E637" s="13" t="str">
        <f>IF(ISERROR(VLOOKUP(F637,Magic!H:H,1,0)),IF(ISERROR(VLOOKUP(F637,Magic!T:T,1,0)),"N","Y"),"Y")</f>
        <v>N</v>
      </c>
      <c r="F637" s="13">
        <v>635</v>
      </c>
    </row>
    <row r="638" spans="1:6" x14ac:dyDescent="0.25">
      <c r="A638" s="16">
        <v>42790</v>
      </c>
      <c r="B638" s="13" t="s">
        <v>472</v>
      </c>
      <c r="C638" s="13">
        <v>43</v>
      </c>
      <c r="D638" s="13">
        <v>829.45</v>
      </c>
      <c r="E638" s="13" t="str">
        <f>IF(ISERROR(VLOOKUP(F638,Magic!H:H,1,0)),IF(ISERROR(VLOOKUP(F638,Magic!T:T,1,0)),"N","Y"),"Y")</f>
        <v>N</v>
      </c>
      <c r="F638" s="13">
        <v>636</v>
      </c>
    </row>
    <row r="639" spans="1:6" x14ac:dyDescent="0.25">
      <c r="A639" s="16">
        <v>42790</v>
      </c>
      <c r="B639" s="13" t="s">
        <v>25</v>
      </c>
      <c r="C639" s="13">
        <v>44</v>
      </c>
      <c r="D639" s="13">
        <v>992.2</v>
      </c>
      <c r="E639" s="13" t="str">
        <f>IF(ISERROR(VLOOKUP(F639,Magic!H:H,1,0)),IF(ISERROR(VLOOKUP(F639,Magic!T:T,1,0)),"N","Y"),"Y")</f>
        <v>N</v>
      </c>
      <c r="F639" s="13">
        <v>637</v>
      </c>
    </row>
    <row r="640" spans="1:6" x14ac:dyDescent="0.25">
      <c r="A640" s="16">
        <v>42790</v>
      </c>
      <c r="B640" s="13" t="s">
        <v>27</v>
      </c>
      <c r="C640" s="13">
        <v>101</v>
      </c>
      <c r="D640" s="13">
        <v>465.25</v>
      </c>
      <c r="E640" s="13" t="str">
        <f>IF(ISERROR(VLOOKUP(F640,Magic!H:H,1,0)),IF(ISERROR(VLOOKUP(F640,Magic!T:T,1,0)),"N","Y"),"Y")</f>
        <v>N</v>
      </c>
      <c r="F640" s="13">
        <v>638</v>
      </c>
    </row>
    <row r="641" spans="1:6" x14ac:dyDescent="0.25">
      <c r="A641" s="16">
        <v>42790</v>
      </c>
      <c r="B641" s="13" t="s">
        <v>28</v>
      </c>
      <c r="C641" s="13">
        <v>103</v>
      </c>
      <c r="D641" s="13">
        <v>1034</v>
      </c>
      <c r="E641" s="13" t="str">
        <f>IF(ISERROR(VLOOKUP(F641,Magic!H:H,1,0)),IF(ISERROR(VLOOKUP(F641,Magic!T:T,1,0)),"N","Y"),"Y")</f>
        <v>N</v>
      </c>
      <c r="F641" s="13">
        <v>639</v>
      </c>
    </row>
    <row r="642" spans="1:6" x14ac:dyDescent="0.25">
      <c r="A642" s="16">
        <v>42790</v>
      </c>
      <c r="B642" s="13" t="s">
        <v>611</v>
      </c>
      <c r="C642" s="13">
        <v>201</v>
      </c>
      <c r="D642" s="13">
        <v>479.6</v>
      </c>
      <c r="E642" s="13" t="str">
        <f>IF(ISERROR(VLOOKUP(F642,Magic!H:H,1,0)),IF(ISERROR(VLOOKUP(F642,Magic!T:T,1,0)),"N","Y"),"Y")</f>
        <v>N</v>
      </c>
      <c r="F642" s="13">
        <v>640</v>
      </c>
    </row>
    <row r="643" spans="1:6" x14ac:dyDescent="0.25">
      <c r="A643" s="16">
        <v>42790</v>
      </c>
      <c r="B643" s="13" t="s">
        <v>611</v>
      </c>
      <c r="C643" s="13">
        <v>201</v>
      </c>
      <c r="D643" s="13">
        <v>419.85</v>
      </c>
      <c r="E643" s="13" t="str">
        <f>IF(ISERROR(VLOOKUP(F643,Magic!H:H,1,0)),IF(ISERROR(VLOOKUP(F643,Magic!T:T,1,0)),"N","Y"),"Y")</f>
        <v>N</v>
      </c>
      <c r="F643" s="13">
        <v>641</v>
      </c>
    </row>
    <row r="644" spans="1:6" x14ac:dyDescent="0.25">
      <c r="A644" s="16">
        <v>42790</v>
      </c>
      <c r="B644" s="13" t="s">
        <v>611</v>
      </c>
      <c r="C644" s="13">
        <v>201</v>
      </c>
      <c r="D644" s="13">
        <v>314.39999999999998</v>
      </c>
      <c r="E644" s="13" t="str">
        <f>IF(ISERROR(VLOOKUP(F644,Magic!H:H,1,0)),IF(ISERROR(VLOOKUP(F644,Magic!T:T,1,0)),"N","Y"),"Y")</f>
        <v>N</v>
      </c>
      <c r="F644" s="13">
        <v>642</v>
      </c>
    </row>
    <row r="645" spans="1:6" x14ac:dyDescent="0.25">
      <c r="A645" s="16">
        <v>42790</v>
      </c>
      <c r="B645" s="13" t="s">
        <v>460</v>
      </c>
      <c r="C645" s="13">
        <v>45</v>
      </c>
      <c r="D645" s="13">
        <v>2.85</v>
      </c>
      <c r="E645" s="13" t="str">
        <f>IF(ISERROR(VLOOKUP(F645,Magic!H:H,1,0)),IF(ISERROR(VLOOKUP(F645,Magic!T:T,1,0)),"N","Y"),"Y")</f>
        <v>N</v>
      </c>
      <c r="F645" s="13">
        <v>643</v>
      </c>
    </row>
    <row r="646" spans="1:6" x14ac:dyDescent="0.25">
      <c r="A646" s="16">
        <v>42791</v>
      </c>
      <c r="B646" s="13" t="s">
        <v>29</v>
      </c>
      <c r="C646" s="13">
        <v>35</v>
      </c>
      <c r="D646" s="13">
        <v>860</v>
      </c>
      <c r="E646" s="13" t="str">
        <f>IF(ISERROR(VLOOKUP(F646,Magic!H:H,1,0)),IF(ISERROR(VLOOKUP(F646,Magic!T:T,1,0)),"N","Y"),"Y")</f>
        <v>N</v>
      </c>
      <c r="F646" s="13">
        <v>644</v>
      </c>
    </row>
    <row r="647" spans="1:6" x14ac:dyDescent="0.25">
      <c r="A647" s="16">
        <v>42791</v>
      </c>
      <c r="B647" s="13" t="s">
        <v>26</v>
      </c>
      <c r="C647" s="13">
        <v>38</v>
      </c>
      <c r="D647" s="13">
        <v>2055</v>
      </c>
      <c r="E647" s="13" t="str">
        <f>IF(ISERROR(VLOOKUP(F647,Magic!H:H,1,0)),IF(ISERROR(VLOOKUP(F647,Magic!T:T,1,0)),"N","Y"),"Y")</f>
        <v>N</v>
      </c>
      <c r="F647" s="13">
        <v>645</v>
      </c>
    </row>
    <row r="648" spans="1:6" x14ac:dyDescent="0.25">
      <c r="A648" s="16">
        <v>42791</v>
      </c>
      <c r="B648" s="13" t="s">
        <v>202</v>
      </c>
      <c r="C648" s="13">
        <v>103</v>
      </c>
      <c r="D648" s="13">
        <v>1330</v>
      </c>
      <c r="E648" s="13" t="str">
        <f>IF(ISERROR(VLOOKUP(F648,Magic!H:H,1,0)),IF(ISERROR(VLOOKUP(F648,Magic!T:T,1,0)),"N","Y"),"Y")</f>
        <v>N</v>
      </c>
      <c r="F648" s="13">
        <v>646</v>
      </c>
    </row>
    <row r="649" spans="1:6" x14ac:dyDescent="0.25">
      <c r="A649" s="16">
        <v>42791</v>
      </c>
      <c r="B649" s="13" t="s">
        <v>124</v>
      </c>
      <c r="C649" s="13">
        <v>103</v>
      </c>
      <c r="D649" s="13">
        <v>47.55</v>
      </c>
      <c r="E649" s="13" t="str">
        <f>IF(ISERROR(VLOOKUP(F649,Magic!H:H,1,0)),IF(ISERROR(VLOOKUP(F649,Magic!T:T,1,0)),"N","Y"),"Y")</f>
        <v>N</v>
      </c>
      <c r="F649" s="13">
        <v>647</v>
      </c>
    </row>
    <row r="650" spans="1:6" x14ac:dyDescent="0.25">
      <c r="A650" s="16">
        <v>42795</v>
      </c>
      <c r="B650" s="13" t="s">
        <v>29</v>
      </c>
      <c r="C650" s="13">
        <v>35</v>
      </c>
      <c r="D650" s="13">
        <v>590</v>
      </c>
      <c r="E650" s="13" t="str">
        <f>IF(ISERROR(VLOOKUP(F650,Magic!H:H,1,0)),IF(ISERROR(VLOOKUP(F650,Magic!T:T,1,0)),"N","Y"),"Y")</f>
        <v>N</v>
      </c>
      <c r="F650" s="13">
        <v>648</v>
      </c>
    </row>
    <row r="651" spans="1:6" x14ac:dyDescent="0.25">
      <c r="A651" s="16">
        <v>42793</v>
      </c>
      <c r="B651" s="13" t="s">
        <v>29</v>
      </c>
      <c r="C651" s="13">
        <v>35</v>
      </c>
      <c r="D651" s="13">
        <v>1115</v>
      </c>
      <c r="E651" s="13" t="str">
        <f>IF(ISERROR(VLOOKUP(F651,Magic!H:H,1,0)),IF(ISERROR(VLOOKUP(F651,Magic!T:T,1,0)),"N","Y"),"Y")</f>
        <v>N</v>
      </c>
      <c r="F651" s="13">
        <v>649</v>
      </c>
    </row>
    <row r="652" spans="1:6" x14ac:dyDescent="0.25">
      <c r="A652" s="16">
        <v>42793</v>
      </c>
      <c r="B652" s="13" t="s">
        <v>82</v>
      </c>
      <c r="C652" s="13">
        <v>35</v>
      </c>
      <c r="D652" s="13">
        <v>419.95</v>
      </c>
      <c r="E652" s="13" t="str">
        <f>IF(ISERROR(VLOOKUP(F652,Magic!H:H,1,0)),IF(ISERROR(VLOOKUP(F652,Magic!T:T,1,0)),"N","Y"),"Y")</f>
        <v>N</v>
      </c>
      <c r="F652" s="13">
        <v>650</v>
      </c>
    </row>
    <row r="653" spans="1:6" x14ac:dyDescent="0.25">
      <c r="A653" s="16">
        <v>42793</v>
      </c>
      <c r="B653" s="13" t="s">
        <v>82</v>
      </c>
      <c r="C653" s="13">
        <v>35</v>
      </c>
      <c r="D653" s="13">
        <v>3.25</v>
      </c>
      <c r="E653" s="13" t="str">
        <f>IF(ISERROR(VLOOKUP(F653,Magic!H:H,1,0)),IF(ISERROR(VLOOKUP(F653,Magic!T:T,1,0)),"N","Y"),"Y")</f>
        <v>N</v>
      </c>
      <c r="F653" s="13">
        <v>651</v>
      </c>
    </row>
    <row r="654" spans="1:6" x14ac:dyDescent="0.25">
      <c r="A654" s="16">
        <v>42793</v>
      </c>
      <c r="B654" s="13" t="s">
        <v>82</v>
      </c>
      <c r="C654" s="13">
        <v>35</v>
      </c>
      <c r="D654" s="13">
        <v>797.2</v>
      </c>
      <c r="E654" s="13" t="str">
        <f>IF(ISERROR(VLOOKUP(F654,Magic!H:H,1,0)),IF(ISERROR(VLOOKUP(F654,Magic!T:T,1,0)),"N","Y"),"Y")</f>
        <v>N</v>
      </c>
      <c r="F654" s="13">
        <v>652</v>
      </c>
    </row>
    <row r="655" spans="1:6" x14ac:dyDescent="0.25">
      <c r="A655" s="16">
        <v>42793</v>
      </c>
      <c r="B655" s="13" t="s">
        <v>82</v>
      </c>
      <c r="C655" s="13">
        <v>35</v>
      </c>
      <c r="D655" s="13">
        <v>1254.45</v>
      </c>
      <c r="E655" s="13" t="str">
        <f>IF(ISERROR(VLOOKUP(F655,Magic!H:H,1,0)),IF(ISERROR(VLOOKUP(F655,Magic!T:T,1,0)),"N","Y"),"Y")</f>
        <v>N</v>
      </c>
      <c r="F655" s="13">
        <v>653</v>
      </c>
    </row>
    <row r="656" spans="1:6" x14ac:dyDescent="0.25">
      <c r="A656" s="16">
        <v>42793</v>
      </c>
      <c r="B656" s="13" t="s">
        <v>31</v>
      </c>
      <c r="C656" s="13">
        <v>37</v>
      </c>
      <c r="D656" s="13">
        <v>604.29999999999995</v>
      </c>
      <c r="E656" s="13" t="str">
        <f>IF(ISERROR(VLOOKUP(F656,Magic!H:H,1,0)),IF(ISERROR(VLOOKUP(F656,Magic!T:T,1,0)),"N","Y"),"Y")</f>
        <v>N</v>
      </c>
      <c r="F656" s="13">
        <v>654</v>
      </c>
    </row>
    <row r="657" spans="1:6" x14ac:dyDescent="0.25">
      <c r="A657" s="16">
        <v>42793</v>
      </c>
      <c r="B657" s="13" t="s">
        <v>31</v>
      </c>
      <c r="C657" s="13">
        <v>37</v>
      </c>
      <c r="D657" s="13">
        <v>1223.7</v>
      </c>
      <c r="E657" s="13" t="str">
        <f>IF(ISERROR(VLOOKUP(F657,Magic!H:H,1,0)),IF(ISERROR(VLOOKUP(F657,Magic!T:T,1,0)),"N","Y"),"Y")</f>
        <v>N</v>
      </c>
      <c r="F657" s="13">
        <v>655</v>
      </c>
    </row>
    <row r="658" spans="1:6" x14ac:dyDescent="0.25">
      <c r="A658" s="16">
        <v>42793</v>
      </c>
      <c r="B658" s="13" t="s">
        <v>31</v>
      </c>
      <c r="C658" s="13">
        <v>37</v>
      </c>
      <c r="D658" s="13">
        <v>484.35</v>
      </c>
      <c r="E658" s="13" t="str">
        <f>IF(ISERROR(VLOOKUP(F658,Magic!H:H,1,0)),IF(ISERROR(VLOOKUP(F658,Magic!T:T,1,0)),"N","Y"),"Y")</f>
        <v>N</v>
      </c>
      <c r="F658" s="13">
        <v>656</v>
      </c>
    </row>
    <row r="659" spans="1:6" x14ac:dyDescent="0.25">
      <c r="A659" s="16">
        <v>42793</v>
      </c>
      <c r="B659" s="13" t="s">
        <v>26</v>
      </c>
      <c r="C659" s="13">
        <v>38</v>
      </c>
      <c r="D659" s="13">
        <v>919.6</v>
      </c>
      <c r="E659" s="13" t="str">
        <f>IF(ISERROR(VLOOKUP(F659,Magic!H:H,1,0)),IF(ISERROR(VLOOKUP(F659,Magic!T:T,1,0)),"N","Y"),"Y")</f>
        <v>N</v>
      </c>
      <c r="F659" s="13">
        <v>657</v>
      </c>
    </row>
    <row r="660" spans="1:6" x14ac:dyDescent="0.25">
      <c r="A660" s="16">
        <v>42793</v>
      </c>
      <c r="B660" s="13" t="s">
        <v>26</v>
      </c>
      <c r="C660" s="13">
        <v>38</v>
      </c>
      <c r="D660" s="13">
        <v>4.5999999999999996</v>
      </c>
      <c r="E660" s="13" t="str">
        <f>IF(ISERROR(VLOOKUP(F660,Magic!H:H,1,0)),IF(ISERROR(VLOOKUP(F660,Magic!T:T,1,0)),"N","Y"),"Y")</f>
        <v>N</v>
      </c>
      <c r="F660" s="13">
        <v>658</v>
      </c>
    </row>
    <row r="661" spans="1:6" x14ac:dyDescent="0.25">
      <c r="A661" s="16">
        <v>42793</v>
      </c>
      <c r="B661" s="13" t="s">
        <v>26</v>
      </c>
      <c r="C661" s="13">
        <v>38</v>
      </c>
      <c r="D661" s="13">
        <v>1</v>
      </c>
      <c r="E661" s="13" t="str">
        <f>IF(ISERROR(VLOOKUP(F661,Magic!H:H,1,0)),IF(ISERROR(VLOOKUP(F661,Magic!T:T,1,0)),"N","Y"),"Y")</f>
        <v>N</v>
      </c>
      <c r="F661" s="13">
        <v>659</v>
      </c>
    </row>
    <row r="662" spans="1:6" x14ac:dyDescent="0.25">
      <c r="A662" s="16">
        <v>42793</v>
      </c>
      <c r="B662" s="13" t="s">
        <v>26</v>
      </c>
      <c r="C662" s="13">
        <v>38</v>
      </c>
      <c r="D662" s="13">
        <v>104.85</v>
      </c>
      <c r="E662" s="13" t="str">
        <f>IF(ISERROR(VLOOKUP(F662,Magic!H:H,1,0)),IF(ISERROR(VLOOKUP(F662,Magic!T:T,1,0)),"N","Y"),"Y")</f>
        <v>N</v>
      </c>
      <c r="F662" s="13">
        <v>660</v>
      </c>
    </row>
    <row r="663" spans="1:6" x14ac:dyDescent="0.25">
      <c r="A663" s="16">
        <v>42793</v>
      </c>
      <c r="B663" s="13" t="s">
        <v>24</v>
      </c>
      <c r="C663" s="13">
        <v>43</v>
      </c>
      <c r="D663" s="13">
        <v>734.9</v>
      </c>
      <c r="E663" s="13" t="str">
        <f>IF(ISERROR(VLOOKUP(F663,Magic!H:H,1,0)),IF(ISERROR(VLOOKUP(F663,Magic!T:T,1,0)),"N","Y"),"Y")</f>
        <v>N</v>
      </c>
      <c r="F663" s="13">
        <v>661</v>
      </c>
    </row>
    <row r="664" spans="1:6" x14ac:dyDescent="0.25">
      <c r="A664" s="16">
        <v>42793</v>
      </c>
      <c r="B664" s="13" t="s">
        <v>24</v>
      </c>
      <c r="C664" s="13">
        <v>43</v>
      </c>
      <c r="D664" s="13">
        <v>929.35</v>
      </c>
      <c r="E664" s="13" t="str">
        <f>IF(ISERROR(VLOOKUP(F664,Magic!H:H,1,0)),IF(ISERROR(VLOOKUP(F664,Magic!T:T,1,0)),"N","Y"),"Y")</f>
        <v>N</v>
      </c>
      <c r="F664" s="13">
        <v>662</v>
      </c>
    </row>
    <row r="665" spans="1:6" x14ac:dyDescent="0.25">
      <c r="A665" s="16">
        <v>42793</v>
      </c>
      <c r="B665" s="13" t="s">
        <v>25</v>
      </c>
      <c r="C665" s="13">
        <v>44</v>
      </c>
      <c r="D665" s="13">
        <v>374.98</v>
      </c>
      <c r="E665" s="13" t="str">
        <f>IF(ISERROR(VLOOKUP(F665,Magic!H:H,1,0)),IF(ISERROR(VLOOKUP(F665,Magic!T:T,1,0)),"N","Y"),"Y")</f>
        <v>N</v>
      </c>
      <c r="F665" s="13">
        <v>663</v>
      </c>
    </row>
    <row r="666" spans="1:6" x14ac:dyDescent="0.25">
      <c r="A666" s="16">
        <v>42793</v>
      </c>
      <c r="B666" s="13" t="s">
        <v>25</v>
      </c>
      <c r="C666" s="13">
        <v>44</v>
      </c>
      <c r="D666" s="13">
        <v>716.8</v>
      </c>
      <c r="E666" s="13" t="str">
        <f>IF(ISERROR(VLOOKUP(F666,Magic!H:H,1,0)),IF(ISERROR(VLOOKUP(F666,Magic!T:T,1,0)),"N","Y"),"Y")</f>
        <v>N</v>
      </c>
      <c r="F666" s="13">
        <v>664</v>
      </c>
    </row>
    <row r="667" spans="1:6" x14ac:dyDescent="0.25">
      <c r="A667" s="16">
        <v>42793</v>
      </c>
      <c r="B667" s="13" t="s">
        <v>25</v>
      </c>
      <c r="C667" s="13">
        <v>44</v>
      </c>
      <c r="D667" s="13">
        <v>241.9</v>
      </c>
      <c r="E667" s="13" t="str">
        <f>IF(ISERROR(VLOOKUP(F667,Magic!H:H,1,0)),IF(ISERROR(VLOOKUP(F667,Magic!T:T,1,0)),"N","Y"),"Y")</f>
        <v>N</v>
      </c>
      <c r="F667" s="13">
        <v>665</v>
      </c>
    </row>
    <row r="668" spans="1:6" x14ac:dyDescent="0.25">
      <c r="A668" s="16">
        <v>42793</v>
      </c>
      <c r="B668" s="13" t="s">
        <v>28</v>
      </c>
      <c r="C668" s="13">
        <v>103</v>
      </c>
      <c r="D668" s="13">
        <v>445</v>
      </c>
      <c r="E668" s="13" t="str">
        <f>IF(ISERROR(VLOOKUP(F668,Magic!H:H,1,0)),IF(ISERROR(VLOOKUP(F668,Magic!T:T,1,0)),"N","Y"),"Y")</f>
        <v>N</v>
      </c>
      <c r="F668" s="13">
        <v>666</v>
      </c>
    </row>
    <row r="669" spans="1:6" x14ac:dyDescent="0.25">
      <c r="A669" s="16">
        <v>42793</v>
      </c>
      <c r="B669" s="13" t="s">
        <v>28</v>
      </c>
      <c r="C669" s="13">
        <v>103</v>
      </c>
      <c r="D669" s="13">
        <v>809.05</v>
      </c>
      <c r="E669" s="13" t="str">
        <f>IF(ISERROR(VLOOKUP(F669,Magic!H:H,1,0)),IF(ISERROR(VLOOKUP(F669,Magic!T:T,1,0)),"N","Y"),"Y")</f>
        <v>N</v>
      </c>
      <c r="F669" s="13">
        <v>667</v>
      </c>
    </row>
    <row r="670" spans="1:6" x14ac:dyDescent="0.25">
      <c r="A670" s="16">
        <v>42794</v>
      </c>
      <c r="B670" s="13" t="s">
        <v>29</v>
      </c>
      <c r="C670" s="13">
        <v>35</v>
      </c>
      <c r="D670" s="13">
        <v>605</v>
      </c>
      <c r="E670" s="13" t="str">
        <f>IF(ISERROR(VLOOKUP(F670,Magic!H:H,1,0)),IF(ISERROR(VLOOKUP(F670,Magic!T:T,1,0)),"N","Y"),"Y")</f>
        <v>N</v>
      </c>
      <c r="F670" s="13">
        <v>668</v>
      </c>
    </row>
    <row r="671" spans="1:6" x14ac:dyDescent="0.25">
      <c r="A671" s="16">
        <v>42794</v>
      </c>
      <c r="B671" s="13" t="s">
        <v>82</v>
      </c>
      <c r="C671" s="13">
        <v>35</v>
      </c>
      <c r="D671" s="13">
        <v>4.6500000000000004</v>
      </c>
      <c r="E671" s="13" t="str">
        <f>IF(ISERROR(VLOOKUP(F671,Magic!H:H,1,0)),IF(ISERROR(VLOOKUP(F671,Magic!T:T,1,0)),"N","Y"),"Y")</f>
        <v>N</v>
      </c>
      <c r="F671" s="13">
        <v>669</v>
      </c>
    </row>
    <row r="672" spans="1:6" x14ac:dyDescent="0.25">
      <c r="A672" s="16">
        <v>42794</v>
      </c>
      <c r="B672" s="13" t="s">
        <v>31</v>
      </c>
      <c r="C672" s="13">
        <v>37</v>
      </c>
      <c r="D672" s="13">
        <v>444.95</v>
      </c>
      <c r="E672" s="13" t="str">
        <f>IF(ISERROR(VLOOKUP(F672,Magic!H:H,1,0)),IF(ISERROR(VLOOKUP(F672,Magic!T:T,1,0)),"N","Y"),"Y")</f>
        <v>N</v>
      </c>
      <c r="F672" s="13">
        <v>670</v>
      </c>
    </row>
    <row r="673" spans="1:6" x14ac:dyDescent="0.25">
      <c r="A673" s="16">
        <v>42794</v>
      </c>
      <c r="B673" s="13" t="s">
        <v>26</v>
      </c>
      <c r="C673" s="13">
        <v>38</v>
      </c>
      <c r="D673" s="13">
        <v>939.9</v>
      </c>
      <c r="E673" s="13" t="str">
        <f>IF(ISERROR(VLOOKUP(F673,Magic!H:H,1,0)),IF(ISERROR(VLOOKUP(F673,Magic!T:T,1,0)),"N","Y"),"Y")</f>
        <v>N</v>
      </c>
      <c r="F673" s="13">
        <v>671</v>
      </c>
    </row>
    <row r="674" spans="1:6" x14ac:dyDescent="0.25">
      <c r="A674" s="16">
        <v>42794</v>
      </c>
      <c r="B674" s="13" t="s">
        <v>81</v>
      </c>
      <c r="C674" s="13">
        <v>41</v>
      </c>
      <c r="D674" s="13">
        <v>2970.7</v>
      </c>
      <c r="E674" s="13" t="s">
        <v>71</v>
      </c>
      <c r="F674" s="13">
        <v>672</v>
      </c>
    </row>
    <row r="675" spans="1:6" x14ac:dyDescent="0.25">
      <c r="A675" s="16">
        <v>42794</v>
      </c>
      <c r="B675" s="13" t="s">
        <v>81</v>
      </c>
      <c r="C675" s="13">
        <v>41</v>
      </c>
      <c r="D675" s="13">
        <v>1043.9000000000001</v>
      </c>
      <c r="E675" s="13" t="str">
        <f>IF(ISERROR(VLOOKUP(F675,Magic!H:H,1,0)),IF(ISERROR(VLOOKUP(F675,Magic!T:T,1,0)),"N","Y"),"Y")</f>
        <v>N</v>
      </c>
      <c r="F675" s="13">
        <v>690</v>
      </c>
    </row>
    <row r="676" spans="1:6" x14ac:dyDescent="0.25">
      <c r="A676" s="16">
        <v>42794</v>
      </c>
      <c r="B676" s="13" t="s">
        <v>81</v>
      </c>
      <c r="C676" s="13">
        <v>41</v>
      </c>
      <c r="D676" s="13">
        <v>909.35</v>
      </c>
      <c r="E676" s="13" t="str">
        <f>IF(ISERROR(VLOOKUP(F676,Magic!H:H,1,0)),IF(ISERROR(VLOOKUP(F676,Magic!T:T,1,0)),"N","Y"),"Y")</f>
        <v>N</v>
      </c>
      <c r="F676" s="13">
        <v>691</v>
      </c>
    </row>
    <row r="677" spans="1:6" x14ac:dyDescent="0.25">
      <c r="A677" s="16">
        <v>42794</v>
      </c>
      <c r="B677" s="13" t="s">
        <v>81</v>
      </c>
      <c r="C677" s="13">
        <v>41</v>
      </c>
      <c r="D677" s="13">
        <v>484.85</v>
      </c>
      <c r="E677" s="13" t="str">
        <f>IF(ISERROR(VLOOKUP(F677,Magic!H:H,1,0)),IF(ISERROR(VLOOKUP(F677,Magic!T:T,1,0)),"N","Y"),"Y")</f>
        <v>N</v>
      </c>
      <c r="F677" s="13">
        <v>692</v>
      </c>
    </row>
    <row r="678" spans="1:6" x14ac:dyDescent="0.25">
      <c r="A678" s="16">
        <v>42794</v>
      </c>
      <c r="B678" s="13" t="s">
        <v>81</v>
      </c>
      <c r="C678" s="13">
        <v>41</v>
      </c>
      <c r="D678" s="13">
        <v>532.65</v>
      </c>
      <c r="E678" s="13" t="str">
        <f>IF(ISERROR(VLOOKUP(F678,Magic!H:H,1,0)),IF(ISERROR(VLOOKUP(F678,Magic!T:T,1,0)),"N","Y"),"Y")</f>
        <v>N</v>
      </c>
      <c r="F678" s="13">
        <v>693</v>
      </c>
    </row>
    <row r="679" spans="1:6" x14ac:dyDescent="0.25">
      <c r="A679" s="16">
        <v>42794</v>
      </c>
      <c r="B679" s="13" t="s">
        <v>472</v>
      </c>
      <c r="C679" s="13">
        <v>43</v>
      </c>
      <c r="D679" s="13">
        <v>699.8</v>
      </c>
      <c r="E679" s="13" t="str">
        <f>IF(ISERROR(VLOOKUP(F679,Magic!H:H,1,0)),IF(ISERROR(VLOOKUP(F679,Magic!T:T,1,0)),"N","Y"),"Y")</f>
        <v>N</v>
      </c>
      <c r="F679" s="13">
        <v>673</v>
      </c>
    </row>
    <row r="680" spans="1:6" x14ac:dyDescent="0.25">
      <c r="A680" s="16">
        <v>42794</v>
      </c>
      <c r="B680" s="13" t="s">
        <v>25</v>
      </c>
      <c r="C680" s="13">
        <v>44</v>
      </c>
      <c r="D680" s="13">
        <v>568.20000000000005</v>
      </c>
      <c r="E680" s="13" t="str">
        <f>IF(ISERROR(VLOOKUP(F680,Magic!H:H,1,0)),IF(ISERROR(VLOOKUP(F680,Magic!T:T,1,0)),"N","Y"),"Y")</f>
        <v>N</v>
      </c>
      <c r="F680" s="13">
        <v>674</v>
      </c>
    </row>
    <row r="681" spans="1:6" x14ac:dyDescent="0.25">
      <c r="A681" s="16">
        <v>42794</v>
      </c>
      <c r="B681" s="13" t="s">
        <v>27</v>
      </c>
      <c r="C681" s="13">
        <v>101</v>
      </c>
      <c r="D681" s="13">
        <v>1052.4000000000001</v>
      </c>
      <c r="E681" s="13" t="str">
        <f>IF(ISERROR(VLOOKUP(F681,Magic!H:H,1,0)),IF(ISERROR(VLOOKUP(F681,Magic!T:T,1,0)),"N","Y"),"Y")</f>
        <v>N</v>
      </c>
      <c r="F681" s="13">
        <v>675</v>
      </c>
    </row>
    <row r="682" spans="1:6" x14ac:dyDescent="0.25">
      <c r="A682" s="16">
        <v>42794</v>
      </c>
      <c r="B682" s="13" t="s">
        <v>27</v>
      </c>
      <c r="C682" s="13">
        <v>101</v>
      </c>
      <c r="D682" s="13">
        <v>579.85</v>
      </c>
      <c r="E682" s="13" t="str">
        <f>IF(ISERROR(VLOOKUP(F682,Magic!H:H,1,0)),IF(ISERROR(VLOOKUP(F682,Magic!T:T,1,0)),"N","Y"),"Y")</f>
        <v>N</v>
      </c>
      <c r="F682" s="13">
        <v>676</v>
      </c>
    </row>
    <row r="683" spans="1:6" x14ac:dyDescent="0.25">
      <c r="A683" s="16">
        <v>42794</v>
      </c>
      <c r="B683" s="13" t="s">
        <v>27</v>
      </c>
      <c r="C683" s="13">
        <v>101</v>
      </c>
      <c r="D683" s="13">
        <v>324.95</v>
      </c>
      <c r="E683" s="13" t="str">
        <f>IF(ISERROR(VLOOKUP(F683,Magic!H:H,1,0)),IF(ISERROR(VLOOKUP(F683,Magic!T:T,1,0)),"N","Y"),"Y")</f>
        <v>N</v>
      </c>
      <c r="F683" s="13">
        <v>677</v>
      </c>
    </row>
    <row r="684" spans="1:6" x14ac:dyDescent="0.25">
      <c r="A684" s="16">
        <v>42794</v>
      </c>
      <c r="B684" s="13" t="s">
        <v>27</v>
      </c>
      <c r="C684" s="13">
        <v>101</v>
      </c>
      <c r="D684" s="13">
        <v>194.6</v>
      </c>
      <c r="E684" s="13" t="str">
        <f>IF(ISERROR(VLOOKUP(F684,Magic!H:H,1,0)),IF(ISERROR(VLOOKUP(F684,Magic!T:T,1,0)),"N","Y"),"Y")</f>
        <v>N</v>
      </c>
      <c r="F684" s="13">
        <v>678</v>
      </c>
    </row>
    <row r="685" spans="1:6" x14ac:dyDescent="0.25">
      <c r="A685" s="16">
        <v>42794</v>
      </c>
      <c r="B685" s="13" t="s">
        <v>202</v>
      </c>
      <c r="C685" s="13">
        <v>103</v>
      </c>
      <c r="D685" s="13">
        <v>50</v>
      </c>
      <c r="E685" s="13" t="s">
        <v>71</v>
      </c>
      <c r="F685" s="13">
        <v>679</v>
      </c>
    </row>
    <row r="686" spans="1:6" x14ac:dyDescent="0.25">
      <c r="A686" s="16">
        <v>42794</v>
      </c>
      <c r="B686" s="13" t="s">
        <v>113</v>
      </c>
      <c r="C686" s="13">
        <v>103</v>
      </c>
      <c r="D686" s="13">
        <v>720</v>
      </c>
      <c r="E686" s="13" t="s">
        <v>71</v>
      </c>
      <c r="F686" s="13">
        <v>680</v>
      </c>
    </row>
    <row r="687" spans="1:6" x14ac:dyDescent="0.25">
      <c r="A687" s="16">
        <v>42794</v>
      </c>
      <c r="B687" s="13" t="s">
        <v>113</v>
      </c>
      <c r="C687" s="13">
        <v>103</v>
      </c>
      <c r="D687" s="13">
        <v>770</v>
      </c>
      <c r="E687" s="13" t="s">
        <v>71</v>
      </c>
      <c r="F687" s="13">
        <v>694</v>
      </c>
    </row>
    <row r="688" spans="1:6" x14ac:dyDescent="0.25">
      <c r="A688" s="16">
        <v>42795</v>
      </c>
      <c r="B688" s="13" t="s">
        <v>82</v>
      </c>
      <c r="C688" s="13">
        <v>35</v>
      </c>
      <c r="D688" s="13">
        <v>4.75</v>
      </c>
      <c r="E688" s="13" t="str">
        <f>IF(ISERROR(VLOOKUP(F688,Magic!H:H,1,0)),IF(ISERROR(VLOOKUP(F688,Magic!T:T,1,0)),"N","Y"),"Y")</f>
        <v>N</v>
      </c>
      <c r="F688" s="13">
        <v>681</v>
      </c>
    </row>
    <row r="689" spans="1:6" x14ac:dyDescent="0.25">
      <c r="A689" s="16">
        <v>42795</v>
      </c>
      <c r="B689" s="13" t="s">
        <v>31</v>
      </c>
      <c r="C689" s="13">
        <v>37</v>
      </c>
      <c r="D689" s="13">
        <v>498.25</v>
      </c>
      <c r="E689" s="13" t="str">
        <f>IF(ISERROR(VLOOKUP(F689,Magic!H:H,1,0)),IF(ISERROR(VLOOKUP(F689,Magic!T:T,1,0)),"N","Y"),"Y")</f>
        <v>N</v>
      </c>
      <c r="F689" s="13">
        <v>682</v>
      </c>
    </row>
    <row r="690" spans="1:6" x14ac:dyDescent="0.25">
      <c r="A690" s="16">
        <v>42795</v>
      </c>
      <c r="B690" s="13" t="s">
        <v>26</v>
      </c>
      <c r="C690" s="13">
        <v>38</v>
      </c>
      <c r="D690" s="13">
        <v>500</v>
      </c>
      <c r="E690" s="13" t="str">
        <f>IF(ISERROR(VLOOKUP(F690,Magic!H:H,1,0)),IF(ISERROR(VLOOKUP(F690,Magic!T:T,1,0)),"N","Y"),"Y")</f>
        <v>N</v>
      </c>
      <c r="F690" s="13">
        <v>683</v>
      </c>
    </row>
    <row r="691" spans="1:6" x14ac:dyDescent="0.25">
      <c r="A691" s="16">
        <v>42795</v>
      </c>
      <c r="B691" s="13" t="s">
        <v>81</v>
      </c>
      <c r="C691" s="13">
        <v>41</v>
      </c>
      <c r="D691" s="13">
        <v>329.95</v>
      </c>
      <c r="E691" s="13" t="str">
        <f>IF(ISERROR(VLOOKUP(F691,Magic!H:H,1,0)),IF(ISERROR(VLOOKUP(F691,Magic!T:T,1,0)),"N","Y"),"Y")</f>
        <v>N</v>
      </c>
      <c r="F691" s="13">
        <v>684</v>
      </c>
    </row>
    <row r="692" spans="1:6" x14ac:dyDescent="0.25">
      <c r="A692" s="16">
        <v>42795</v>
      </c>
      <c r="B692" s="13" t="s">
        <v>25</v>
      </c>
      <c r="C692" s="13">
        <v>44</v>
      </c>
      <c r="D692" s="13">
        <v>254.95</v>
      </c>
      <c r="E692" s="13" t="str">
        <f>IF(ISERROR(VLOOKUP(F692,Magic!H:H,1,0)),IF(ISERROR(VLOOKUP(F692,Magic!T:T,1,0)),"N","Y"),"Y")</f>
        <v>N</v>
      </c>
      <c r="F692" s="13">
        <v>685</v>
      </c>
    </row>
    <row r="693" spans="1:6" x14ac:dyDescent="0.25">
      <c r="A693" s="16">
        <v>42795</v>
      </c>
      <c r="B693" s="13" t="s">
        <v>27</v>
      </c>
      <c r="C693" s="13">
        <v>101</v>
      </c>
      <c r="D693" s="13">
        <v>497.85</v>
      </c>
      <c r="E693" s="13" t="str">
        <f>IF(ISERROR(VLOOKUP(F693,Magic!H:H,1,0)),IF(ISERROR(VLOOKUP(F693,Magic!T:T,1,0)),"N","Y"),"Y")</f>
        <v>N</v>
      </c>
      <c r="F693" s="13">
        <v>686</v>
      </c>
    </row>
    <row r="694" spans="1:6" x14ac:dyDescent="0.25">
      <c r="A694" s="16">
        <v>42795</v>
      </c>
      <c r="B694" s="13" t="s">
        <v>28</v>
      </c>
      <c r="C694" s="13">
        <v>103</v>
      </c>
      <c r="D694" s="13">
        <v>4.3499999999999996</v>
      </c>
      <c r="E694" s="13" t="str">
        <f>IF(ISERROR(VLOOKUP(F694,Magic!H:H,1,0)),IF(ISERROR(VLOOKUP(F694,Magic!T:T,1,0)),"N","Y"),"Y")</f>
        <v>N</v>
      </c>
      <c r="F694" s="13">
        <v>687</v>
      </c>
    </row>
    <row r="695" spans="1:6" x14ac:dyDescent="0.25">
      <c r="A695" s="16">
        <v>42795</v>
      </c>
      <c r="B695" s="13" t="s">
        <v>28</v>
      </c>
      <c r="C695" s="13">
        <v>103</v>
      </c>
      <c r="D695" s="13">
        <v>706.85</v>
      </c>
      <c r="E695" s="13" t="str">
        <f>IF(ISERROR(VLOOKUP(F695,Magic!H:H,1,0)),IF(ISERROR(VLOOKUP(F695,Magic!T:T,1,0)),"N","Y"),"Y")</f>
        <v>N</v>
      </c>
      <c r="F695" s="13">
        <v>688</v>
      </c>
    </row>
    <row r="696" spans="1:6" x14ac:dyDescent="0.25">
      <c r="A696" s="16">
        <v>42795</v>
      </c>
      <c r="B696" s="13" t="s">
        <v>394</v>
      </c>
      <c r="C696" s="13">
        <v>43</v>
      </c>
      <c r="D696" s="13">
        <v>634.75</v>
      </c>
      <c r="E696" s="13" t="str">
        <f>IF(ISERROR(VLOOKUP(F696,Magic!H:H,1,0)),IF(ISERROR(VLOOKUP(F696,Magic!T:T,1,0)),"N","Y"),"Y")</f>
        <v>N</v>
      </c>
      <c r="F696" s="13">
        <v>689</v>
      </c>
    </row>
    <row r="697" spans="1:6" x14ac:dyDescent="0.25">
      <c r="A697" s="16">
        <v>42796</v>
      </c>
      <c r="B697" s="13" t="s">
        <v>26</v>
      </c>
      <c r="C697" s="13">
        <v>38</v>
      </c>
      <c r="D697" s="13">
        <v>5</v>
      </c>
      <c r="E697" s="13" t="str">
        <f>IF(ISERROR(VLOOKUP(F697,Magic!H:H,1,0)),IF(ISERROR(VLOOKUP(F697,Magic!T:T,1,0)),"N","Y"),"Y")</f>
        <v>N</v>
      </c>
      <c r="F697" s="13">
        <v>695</v>
      </c>
    </row>
    <row r="698" spans="1:6" x14ac:dyDescent="0.25">
      <c r="A698" s="16">
        <v>42796</v>
      </c>
      <c r="B698" s="13" t="s">
        <v>82</v>
      </c>
      <c r="C698" s="13">
        <v>35</v>
      </c>
      <c r="D698" s="13">
        <v>4.7</v>
      </c>
      <c r="E698" s="13" t="str">
        <f>IF(ISERROR(VLOOKUP(F698,Magic!H:H,1,0)),IF(ISERROR(VLOOKUP(F698,Magic!T:T,1,0)),"N","Y"),"Y")</f>
        <v>N</v>
      </c>
      <c r="F698" s="13">
        <v>696</v>
      </c>
    </row>
    <row r="699" spans="1:6" x14ac:dyDescent="0.25">
      <c r="A699" s="16">
        <v>42796</v>
      </c>
      <c r="B699" s="13" t="s">
        <v>31</v>
      </c>
      <c r="C699" s="13">
        <v>37</v>
      </c>
      <c r="D699" s="13">
        <v>418.85</v>
      </c>
      <c r="E699" s="13" t="str">
        <f>IF(ISERROR(VLOOKUP(F699,Magic!H:H,1,0)),IF(ISERROR(VLOOKUP(F699,Magic!T:T,1,0)),"N","Y"),"Y")</f>
        <v>N</v>
      </c>
      <c r="F699" s="13">
        <v>697</v>
      </c>
    </row>
    <row r="700" spans="1:6" x14ac:dyDescent="0.25">
      <c r="A700" s="16">
        <v>42796</v>
      </c>
      <c r="B700" s="13" t="s">
        <v>26</v>
      </c>
      <c r="C700" s="13">
        <v>38</v>
      </c>
      <c r="D700" s="13">
        <v>849.9</v>
      </c>
      <c r="E700" s="13" t="str">
        <f>IF(ISERROR(VLOOKUP(F700,Magic!H:H,1,0)),IF(ISERROR(VLOOKUP(F700,Magic!T:T,1,0)),"N","Y"),"Y")</f>
        <v>N</v>
      </c>
      <c r="F700" s="13">
        <v>698</v>
      </c>
    </row>
    <row r="701" spans="1:6" x14ac:dyDescent="0.25">
      <c r="A701" s="16">
        <v>42796</v>
      </c>
      <c r="B701" s="13" t="s">
        <v>24</v>
      </c>
      <c r="C701" s="13">
        <v>43</v>
      </c>
      <c r="D701" s="13">
        <v>559.6</v>
      </c>
      <c r="E701" s="13" t="str">
        <f>IF(ISERROR(VLOOKUP(F701,Magic!H:H,1,0)),IF(ISERROR(VLOOKUP(F701,Magic!T:T,1,0)),"N","Y"),"Y")</f>
        <v>N</v>
      </c>
      <c r="F701" s="13">
        <v>699</v>
      </c>
    </row>
    <row r="702" spans="1:6" x14ac:dyDescent="0.25">
      <c r="A702" s="16">
        <v>42796</v>
      </c>
      <c r="B702" s="13" t="s">
        <v>25</v>
      </c>
      <c r="C702" s="13">
        <v>44</v>
      </c>
      <c r="D702" s="13">
        <v>654.29999999999995</v>
      </c>
      <c r="E702" s="13" t="str">
        <f>IF(ISERROR(VLOOKUP(F702,Magic!H:H,1,0)),IF(ISERROR(VLOOKUP(F702,Magic!T:T,1,0)),"N","Y"),"Y")</f>
        <v>N</v>
      </c>
      <c r="F702" s="13">
        <v>700</v>
      </c>
    </row>
    <row r="703" spans="1:6" x14ac:dyDescent="0.25">
      <c r="A703" s="16">
        <v>42796</v>
      </c>
      <c r="B703" s="13" t="s">
        <v>27</v>
      </c>
      <c r="C703" s="13">
        <v>101</v>
      </c>
      <c r="D703" s="13">
        <v>414.85</v>
      </c>
      <c r="E703" s="13" t="str">
        <f>IF(ISERROR(VLOOKUP(F703,Magic!H:H,1,0)),IF(ISERROR(VLOOKUP(F703,Magic!T:T,1,0)),"N","Y"),"Y")</f>
        <v>N</v>
      </c>
      <c r="F703" s="13">
        <v>701</v>
      </c>
    </row>
    <row r="704" spans="1:6" x14ac:dyDescent="0.25">
      <c r="A704" s="16">
        <v>42796</v>
      </c>
      <c r="B704" s="13" t="s">
        <v>28</v>
      </c>
      <c r="C704" s="13">
        <v>103</v>
      </c>
      <c r="D704" s="13">
        <v>815.65</v>
      </c>
      <c r="E704" s="13" t="str">
        <f>IF(ISERROR(VLOOKUP(F704,Magic!H:H,1,0)),IF(ISERROR(VLOOKUP(F704,Magic!T:T,1,0)),"N","Y"),"Y")</f>
        <v>N</v>
      </c>
      <c r="F704" s="13">
        <v>702</v>
      </c>
    </row>
    <row r="705" spans="1:6" x14ac:dyDescent="0.25">
      <c r="A705" s="16">
        <v>42799</v>
      </c>
      <c r="B705" s="13" t="s">
        <v>26</v>
      </c>
      <c r="C705" s="13">
        <v>38</v>
      </c>
      <c r="D705" s="13">
        <v>409.9</v>
      </c>
      <c r="E705" s="13" t="str">
        <f>IF(ISERROR(VLOOKUP(F705,Magic!H:H,1,0)),IF(ISERROR(VLOOKUP(F705,Magic!T:T,1,0)),"N","Y"),"Y")</f>
        <v>N</v>
      </c>
      <c r="F705" s="13">
        <v>703</v>
      </c>
    </row>
    <row r="706" spans="1:6" x14ac:dyDescent="0.25">
      <c r="A706" s="16">
        <v>42797</v>
      </c>
      <c r="B706" s="13" t="s">
        <v>29</v>
      </c>
      <c r="C706" s="13">
        <v>35</v>
      </c>
      <c r="D706" s="13">
        <v>705</v>
      </c>
      <c r="E706" s="13" t="str">
        <f>IF(ISERROR(VLOOKUP(F706,Magic!H:H,1,0)),IF(ISERROR(VLOOKUP(F706,Magic!T:T,1,0)),"N","Y"),"Y")</f>
        <v>N</v>
      </c>
      <c r="F706" s="13">
        <v>704</v>
      </c>
    </row>
    <row r="707" spans="1:6" x14ac:dyDescent="0.25">
      <c r="A707" s="16">
        <v>42797</v>
      </c>
      <c r="B707" s="13" t="s">
        <v>82</v>
      </c>
      <c r="C707" s="13">
        <v>35</v>
      </c>
      <c r="D707" s="13">
        <v>704.95</v>
      </c>
      <c r="E707" s="13" t="str">
        <f>IF(ISERROR(VLOOKUP(F707,Magic!H:H,1,0)),IF(ISERROR(VLOOKUP(F707,Magic!T:T,1,0)),"N","Y"),"Y")</f>
        <v>N</v>
      </c>
      <c r="F707" s="13">
        <v>705</v>
      </c>
    </row>
    <row r="708" spans="1:6" x14ac:dyDescent="0.25">
      <c r="A708" s="16">
        <v>42797</v>
      </c>
      <c r="B708" s="13" t="s">
        <v>31</v>
      </c>
      <c r="C708" s="13">
        <v>37</v>
      </c>
      <c r="D708" s="13">
        <v>414.55</v>
      </c>
      <c r="E708" s="13" t="str">
        <f>IF(ISERROR(VLOOKUP(F708,Magic!H:H,1,0)),IF(ISERROR(VLOOKUP(F708,Magic!T:T,1,0)),"N","Y"),"Y")</f>
        <v>N</v>
      </c>
      <c r="F708" s="13">
        <v>706</v>
      </c>
    </row>
    <row r="709" spans="1:6" x14ac:dyDescent="0.25">
      <c r="A709" s="16">
        <v>42797</v>
      </c>
      <c r="B709" s="13" t="s">
        <v>26</v>
      </c>
      <c r="C709" s="13">
        <v>38</v>
      </c>
      <c r="D709" s="13">
        <v>504.9</v>
      </c>
      <c r="E709" s="13" t="str">
        <f>IF(ISERROR(VLOOKUP(F709,Magic!H:H,1,0)),IF(ISERROR(VLOOKUP(F709,Magic!T:T,1,0)),"N","Y"),"Y")</f>
        <v>N</v>
      </c>
      <c r="F709" s="13">
        <v>707</v>
      </c>
    </row>
    <row r="710" spans="1:6" x14ac:dyDescent="0.25">
      <c r="A710" s="16">
        <v>42797</v>
      </c>
      <c r="B710" s="13" t="s">
        <v>81</v>
      </c>
      <c r="C710" s="13">
        <v>41</v>
      </c>
      <c r="D710" s="13">
        <v>230</v>
      </c>
      <c r="E710" s="13" t="str">
        <f>IF(ISERROR(VLOOKUP(F710,Magic!H:H,1,0)),IF(ISERROR(VLOOKUP(F710,Magic!T:T,1,0)),"N","Y"),"Y")</f>
        <v>N</v>
      </c>
      <c r="F710" s="13">
        <v>708</v>
      </c>
    </row>
    <row r="711" spans="1:6" x14ac:dyDescent="0.25">
      <c r="A711" s="16">
        <v>42797</v>
      </c>
      <c r="B711" s="13" t="s">
        <v>81</v>
      </c>
      <c r="C711" s="13">
        <v>41</v>
      </c>
      <c r="D711" s="13">
        <v>615.54999999999995</v>
      </c>
      <c r="E711" s="13" t="str">
        <f>IF(ISERROR(VLOOKUP(F711,Magic!H:H,1,0)),IF(ISERROR(VLOOKUP(F711,Magic!T:T,1,0)),"N","Y"),"Y")</f>
        <v>N</v>
      </c>
      <c r="F711" s="13">
        <v>709</v>
      </c>
    </row>
    <row r="712" spans="1:6" x14ac:dyDescent="0.25">
      <c r="A712" s="16">
        <v>42797</v>
      </c>
      <c r="B712" s="13" t="s">
        <v>472</v>
      </c>
      <c r="C712" s="13">
        <v>43</v>
      </c>
      <c r="D712" s="13">
        <v>882.55</v>
      </c>
      <c r="E712" s="13" t="str">
        <f>IF(ISERROR(VLOOKUP(F712,Magic!H:H,1,0)),IF(ISERROR(VLOOKUP(F712,Magic!T:T,1,0)),"N","Y"),"Y")</f>
        <v>N</v>
      </c>
      <c r="F712" s="13">
        <v>710</v>
      </c>
    </row>
    <row r="713" spans="1:6" x14ac:dyDescent="0.25">
      <c r="A713" s="16">
        <v>42797</v>
      </c>
      <c r="B713" s="13" t="s">
        <v>25</v>
      </c>
      <c r="C713" s="13">
        <v>44</v>
      </c>
      <c r="D713" s="13">
        <v>374.95</v>
      </c>
      <c r="E713" s="13" t="str">
        <f>IF(ISERROR(VLOOKUP(F713,Magic!H:H,1,0)),IF(ISERROR(VLOOKUP(F713,Magic!T:T,1,0)),"N","Y"),"Y")</f>
        <v>N</v>
      </c>
      <c r="F713" s="13">
        <v>711</v>
      </c>
    </row>
    <row r="714" spans="1:6" x14ac:dyDescent="0.25">
      <c r="A714" s="16">
        <v>42797</v>
      </c>
      <c r="B714" s="13" t="s">
        <v>27</v>
      </c>
      <c r="C714" s="13">
        <v>101</v>
      </c>
      <c r="D714" s="13">
        <v>577.9</v>
      </c>
      <c r="E714" s="13" t="str">
        <f>IF(ISERROR(VLOOKUP(F714,Magic!H:H,1,0)),IF(ISERROR(VLOOKUP(F714,Magic!T:T,1,0)),"N","Y"),"Y")</f>
        <v>N</v>
      </c>
      <c r="F714" s="13">
        <v>712</v>
      </c>
    </row>
    <row r="715" spans="1:6" x14ac:dyDescent="0.25">
      <c r="A715" s="16">
        <v>42797</v>
      </c>
      <c r="B715" s="13" t="s">
        <v>28</v>
      </c>
      <c r="C715" s="13">
        <v>103</v>
      </c>
      <c r="D715" s="13">
        <v>1040</v>
      </c>
      <c r="E715" s="13" t="str">
        <f>IF(ISERROR(VLOOKUP(F715,Magic!H:H,1,0)),IF(ISERROR(VLOOKUP(F715,Magic!T:T,1,0)),"N","Y"),"Y")</f>
        <v>N</v>
      </c>
      <c r="F715" s="13">
        <v>713</v>
      </c>
    </row>
    <row r="716" spans="1:6" x14ac:dyDescent="0.25">
      <c r="A716" s="16">
        <v>42797</v>
      </c>
      <c r="B716" s="13" t="s">
        <v>611</v>
      </c>
      <c r="C716" s="13">
        <v>201</v>
      </c>
      <c r="D716" s="13">
        <v>869.5</v>
      </c>
      <c r="E716" s="13" t="str">
        <f>IF(ISERROR(VLOOKUP(F716,Magic!H:H,1,0)),IF(ISERROR(VLOOKUP(F716,Magic!T:T,1,0)),"N","Y"),"Y")</f>
        <v>N</v>
      </c>
      <c r="F716" s="13">
        <v>714</v>
      </c>
    </row>
    <row r="717" spans="1:6" x14ac:dyDescent="0.25">
      <c r="A717" s="16">
        <v>42797</v>
      </c>
      <c r="B717" s="13" t="s">
        <v>611</v>
      </c>
      <c r="C717" s="13">
        <v>201</v>
      </c>
      <c r="D717" s="13">
        <v>684.9</v>
      </c>
      <c r="E717" s="13" t="str">
        <f>IF(ISERROR(VLOOKUP(F717,Magic!H:H,1,0)),IF(ISERROR(VLOOKUP(F717,Magic!T:T,1,0)),"N","Y"),"Y")</f>
        <v>N</v>
      </c>
      <c r="F717" s="13">
        <v>715</v>
      </c>
    </row>
    <row r="718" spans="1:6" x14ac:dyDescent="0.25">
      <c r="A718" s="16">
        <v>42797</v>
      </c>
      <c r="B718" s="13" t="s">
        <v>611</v>
      </c>
      <c r="C718" s="13">
        <v>201</v>
      </c>
      <c r="D718" s="13">
        <v>544.65</v>
      </c>
      <c r="E718" s="13" t="str">
        <f>IF(ISERROR(VLOOKUP(F718,Magic!H:H,1,0)),IF(ISERROR(VLOOKUP(F718,Magic!T:T,1,0)),"N","Y"),"Y")</f>
        <v>N</v>
      </c>
      <c r="F718" s="13">
        <v>716</v>
      </c>
    </row>
    <row r="719" spans="1:6" x14ac:dyDescent="0.25">
      <c r="A719" s="16">
        <v>42797</v>
      </c>
      <c r="B719" s="13" t="s">
        <v>611</v>
      </c>
      <c r="C719" s="13">
        <v>201</v>
      </c>
      <c r="D719" s="13">
        <v>544.6</v>
      </c>
      <c r="E719" s="13" t="str">
        <f>IF(ISERROR(VLOOKUP(F719,Magic!H:H,1,0)),IF(ISERROR(VLOOKUP(F719,Magic!T:T,1,0)),"N","Y"),"Y")</f>
        <v>N</v>
      </c>
      <c r="F719" s="13">
        <v>717</v>
      </c>
    </row>
    <row r="720" spans="1:6" x14ac:dyDescent="0.25">
      <c r="A720" s="16">
        <v>42797</v>
      </c>
      <c r="B720" s="13" t="s">
        <v>611</v>
      </c>
      <c r="C720" s="13">
        <v>201</v>
      </c>
      <c r="D720" s="13">
        <v>494.8</v>
      </c>
      <c r="E720" s="13" t="str">
        <f>IF(ISERROR(VLOOKUP(F720,Magic!H:H,1,0)),IF(ISERROR(VLOOKUP(F720,Magic!T:T,1,0)),"N","Y"),"Y")</f>
        <v>N</v>
      </c>
      <c r="F720" s="13">
        <v>718</v>
      </c>
    </row>
    <row r="721" spans="1:6" x14ac:dyDescent="0.25">
      <c r="A721" s="16">
        <v>42797</v>
      </c>
      <c r="B721" s="13" t="s">
        <v>611</v>
      </c>
      <c r="C721" s="13">
        <v>201</v>
      </c>
      <c r="D721" s="13">
        <v>444.55</v>
      </c>
      <c r="E721" s="13" t="str">
        <f>IF(ISERROR(VLOOKUP(F721,Magic!H:H,1,0)),IF(ISERROR(VLOOKUP(F721,Magic!T:T,1,0)),"N","Y"),"Y")</f>
        <v>N</v>
      </c>
      <c r="F721" s="13">
        <v>719</v>
      </c>
    </row>
    <row r="722" spans="1:6" x14ac:dyDescent="0.25">
      <c r="A722" s="16">
        <v>42797</v>
      </c>
      <c r="B722" s="13" t="s">
        <v>611</v>
      </c>
      <c r="C722" s="13">
        <v>201</v>
      </c>
      <c r="D722" s="13">
        <v>440</v>
      </c>
      <c r="E722" s="13" t="str">
        <f>IF(ISERROR(VLOOKUP(F722,Magic!H:H,1,0)),IF(ISERROR(VLOOKUP(F722,Magic!T:T,1,0)),"N","Y"),"Y")</f>
        <v>N</v>
      </c>
      <c r="F722" s="13">
        <v>720</v>
      </c>
    </row>
    <row r="723" spans="1:6" x14ac:dyDescent="0.25">
      <c r="A723" s="16">
        <v>42797</v>
      </c>
      <c r="B723" s="13" t="s">
        <v>355</v>
      </c>
      <c r="C723" s="13">
        <v>103</v>
      </c>
      <c r="D723" s="13">
        <v>17.399999999999999</v>
      </c>
      <c r="E723" s="13" t="str">
        <f>IF(ISERROR(VLOOKUP(F723,Magic!H:H,1,0)),IF(ISERROR(VLOOKUP(F723,Magic!T:T,1,0)),"N","Y"),"Y")</f>
        <v>N</v>
      </c>
      <c r="F723" s="13">
        <v>721</v>
      </c>
    </row>
    <row r="724" spans="1:6" x14ac:dyDescent="0.25">
      <c r="A724" s="16">
        <v>42798</v>
      </c>
      <c r="B724" s="13" t="s">
        <v>29</v>
      </c>
      <c r="C724" s="13">
        <v>35</v>
      </c>
      <c r="D724" s="13">
        <v>710</v>
      </c>
      <c r="E724" s="13" t="str">
        <f>IF(ISERROR(VLOOKUP(F724,Magic!H:H,1,0)),IF(ISERROR(VLOOKUP(F724,Magic!T:T,1,0)),"N","Y"),"Y")</f>
        <v>N</v>
      </c>
      <c r="F724" s="13">
        <v>722</v>
      </c>
    </row>
    <row r="725" spans="1:6" x14ac:dyDescent="0.25">
      <c r="A725" s="16">
        <v>42798</v>
      </c>
      <c r="B725" s="13" t="s">
        <v>28</v>
      </c>
      <c r="C725" s="13">
        <v>103</v>
      </c>
      <c r="D725" s="13">
        <v>700</v>
      </c>
      <c r="E725" s="13" t="str">
        <f>IF(ISERROR(VLOOKUP(F725,Magic!H:H,1,0)),IF(ISERROR(VLOOKUP(F725,Magic!T:T,1,0)),"N","Y"),"Y")</f>
        <v>N</v>
      </c>
      <c r="F725" s="13">
        <v>723</v>
      </c>
    </row>
    <row r="726" spans="1:6" x14ac:dyDescent="0.25">
      <c r="A726" s="16">
        <v>42799</v>
      </c>
      <c r="B726" s="13" t="s">
        <v>29</v>
      </c>
      <c r="C726" s="13">
        <v>35</v>
      </c>
      <c r="D726" s="13">
        <v>350</v>
      </c>
      <c r="E726" s="13" t="str">
        <f>IF(ISERROR(VLOOKUP(F726,Magic!H:H,1,0)),IF(ISERROR(VLOOKUP(F726,Magic!T:T,1,0)),"N","Y"),"Y")</f>
        <v>N</v>
      </c>
      <c r="F726" s="13">
        <v>724</v>
      </c>
    </row>
    <row r="727" spans="1:6" x14ac:dyDescent="0.25">
      <c r="A727" s="16">
        <v>42799</v>
      </c>
      <c r="B727" s="13" t="s">
        <v>26</v>
      </c>
      <c r="C727" s="13">
        <v>38</v>
      </c>
      <c r="D727" s="13">
        <v>822.9</v>
      </c>
      <c r="E727" s="13" t="str">
        <f>IF(ISERROR(VLOOKUP(F727,Magic!H:H,1,0)),IF(ISERROR(VLOOKUP(F727,Magic!T:T,1,0)),"N","Y"),"Y")</f>
        <v>N</v>
      </c>
      <c r="F727" s="13">
        <v>725</v>
      </c>
    </row>
    <row r="728" spans="1:6" x14ac:dyDescent="0.25">
      <c r="A728" s="16">
        <v>42800</v>
      </c>
      <c r="B728" s="13" t="s">
        <v>26</v>
      </c>
      <c r="C728" s="13">
        <v>38</v>
      </c>
      <c r="D728" s="13">
        <v>454.45</v>
      </c>
      <c r="E728" s="13" t="str">
        <f>IF(ISERROR(VLOOKUP(F728,Magic!H:H,1,0)),IF(ISERROR(VLOOKUP(F728,Magic!T:T,1,0)),"N","Y"),"Y")</f>
        <v>N</v>
      </c>
      <c r="F728" s="13">
        <v>726</v>
      </c>
    </row>
    <row r="729" spans="1:6" x14ac:dyDescent="0.25">
      <c r="A729" s="16">
        <v>42800</v>
      </c>
      <c r="B729" s="13" t="s">
        <v>29</v>
      </c>
      <c r="C729" s="13">
        <v>35</v>
      </c>
      <c r="D729" s="13">
        <v>515</v>
      </c>
      <c r="E729" s="13" t="str">
        <f>IF(ISERROR(VLOOKUP(F729,Magic!H:H,1,0)),IF(ISERROR(VLOOKUP(F729,Magic!T:T,1,0)),"N","Y"),"Y")</f>
        <v>N</v>
      </c>
      <c r="F729" s="13">
        <v>727</v>
      </c>
    </row>
    <row r="730" spans="1:6" x14ac:dyDescent="0.25">
      <c r="A730" s="16">
        <v>42800</v>
      </c>
      <c r="B730" s="13" t="s">
        <v>82</v>
      </c>
      <c r="C730" s="13">
        <v>35</v>
      </c>
      <c r="D730" s="13">
        <v>4.8</v>
      </c>
      <c r="E730" s="13" t="str">
        <f>IF(ISERROR(VLOOKUP(F730,Magic!H:H,1,0)),IF(ISERROR(VLOOKUP(F730,Magic!T:T,1,0)),"N","Y"),"Y")</f>
        <v>N</v>
      </c>
      <c r="F730" s="13">
        <v>728</v>
      </c>
    </row>
    <row r="731" spans="1:6" x14ac:dyDescent="0.25">
      <c r="A731" s="16">
        <v>42800</v>
      </c>
      <c r="B731" s="13" t="s">
        <v>82</v>
      </c>
      <c r="C731" s="13">
        <v>35</v>
      </c>
      <c r="D731" s="13">
        <v>4.8499999999999996</v>
      </c>
      <c r="E731" s="13" t="str">
        <f>IF(ISERROR(VLOOKUP(F731,Magic!H:H,1,0)),IF(ISERROR(VLOOKUP(F731,Magic!T:T,1,0)),"N","Y"),"Y")</f>
        <v>N</v>
      </c>
      <c r="F731" s="13">
        <v>729</v>
      </c>
    </row>
    <row r="732" spans="1:6" x14ac:dyDescent="0.25">
      <c r="A732" s="16">
        <v>42800</v>
      </c>
      <c r="B732" s="13" t="s">
        <v>57</v>
      </c>
      <c r="C732" s="13">
        <v>35</v>
      </c>
      <c r="D732" s="13">
        <v>4.95</v>
      </c>
      <c r="E732" s="13" t="str">
        <f>IF(ISERROR(VLOOKUP(F732,Magic!H:H,1,0)),IF(ISERROR(VLOOKUP(F732,Magic!T:T,1,0)),"N","Y"),"Y")</f>
        <v>N</v>
      </c>
      <c r="F732" s="13">
        <v>730</v>
      </c>
    </row>
    <row r="733" spans="1:6" x14ac:dyDescent="0.25">
      <c r="A733" s="16">
        <v>42800</v>
      </c>
      <c r="B733" s="13" t="s">
        <v>146</v>
      </c>
      <c r="C733" s="13">
        <v>37</v>
      </c>
      <c r="D733" s="13">
        <v>469.45</v>
      </c>
      <c r="E733" s="13" t="str">
        <f>IF(ISERROR(VLOOKUP(F733,Magic!H:H,1,0)),IF(ISERROR(VLOOKUP(F733,Magic!T:T,1,0)),"N","Y"),"Y")</f>
        <v>N</v>
      </c>
      <c r="F733" s="13">
        <v>731</v>
      </c>
    </row>
    <row r="734" spans="1:6" x14ac:dyDescent="0.25">
      <c r="A734" s="16">
        <v>42800</v>
      </c>
      <c r="B734" s="13" t="s">
        <v>146</v>
      </c>
      <c r="C734" s="13">
        <v>37</v>
      </c>
      <c r="D734" s="13">
        <v>344.7</v>
      </c>
      <c r="E734" s="13" t="str">
        <f>IF(ISERROR(VLOOKUP(F734,Magic!H:H,1,0)),IF(ISERROR(VLOOKUP(F734,Magic!T:T,1,0)),"N","Y"),"Y")</f>
        <v>N</v>
      </c>
      <c r="F734" s="13">
        <v>732</v>
      </c>
    </row>
    <row r="735" spans="1:6" x14ac:dyDescent="0.25">
      <c r="A735" s="16">
        <v>42800</v>
      </c>
      <c r="B735" s="13" t="s">
        <v>146</v>
      </c>
      <c r="C735" s="13">
        <v>37</v>
      </c>
      <c r="D735" s="13">
        <v>379.05</v>
      </c>
      <c r="E735" s="13" t="str">
        <f>IF(ISERROR(VLOOKUP(F735,Magic!H:H,1,0)),IF(ISERROR(VLOOKUP(F735,Magic!T:T,1,0)),"N","Y"),"Y")</f>
        <v>N</v>
      </c>
      <c r="F735" s="13">
        <v>733</v>
      </c>
    </row>
    <row r="736" spans="1:6" x14ac:dyDescent="0.25">
      <c r="A736" s="16">
        <v>42800</v>
      </c>
      <c r="B736" s="13" t="s">
        <v>26</v>
      </c>
      <c r="C736" s="13">
        <v>38</v>
      </c>
      <c r="D736" s="13">
        <v>5</v>
      </c>
      <c r="E736" s="13" t="str">
        <f>IF(ISERROR(VLOOKUP(F736,Magic!H:H,1,0)),IF(ISERROR(VLOOKUP(F736,Magic!T:T,1,0)),"N","Y"),"Y")</f>
        <v>N</v>
      </c>
      <c r="F736" s="13">
        <v>734</v>
      </c>
    </row>
    <row r="737" spans="1:6" x14ac:dyDescent="0.25">
      <c r="A737" s="16">
        <v>42800</v>
      </c>
      <c r="B737" s="13" t="s">
        <v>24</v>
      </c>
      <c r="C737" s="13">
        <v>43</v>
      </c>
      <c r="D737" s="13">
        <v>254.95</v>
      </c>
      <c r="E737" s="13" t="str">
        <f>IF(ISERROR(VLOOKUP(F737,Magic!H:H,1,0)),IF(ISERROR(VLOOKUP(F737,Magic!T:T,1,0)),"N","Y"),"Y")</f>
        <v>N</v>
      </c>
      <c r="F737" s="13">
        <v>735</v>
      </c>
    </row>
    <row r="738" spans="1:6" x14ac:dyDescent="0.25">
      <c r="A738" s="16">
        <v>42800</v>
      </c>
      <c r="B738" s="13" t="s">
        <v>24</v>
      </c>
      <c r="C738" s="13">
        <v>43</v>
      </c>
      <c r="D738" s="13">
        <v>654.85</v>
      </c>
      <c r="E738" s="13" t="str">
        <f>IF(ISERROR(VLOOKUP(F738,Magic!H:H,1,0)),IF(ISERROR(VLOOKUP(F738,Magic!T:T,1,0)),"N","Y"),"Y")</f>
        <v>N</v>
      </c>
      <c r="F738" s="13">
        <v>736</v>
      </c>
    </row>
    <row r="739" spans="1:6" x14ac:dyDescent="0.25">
      <c r="A739" s="16">
        <v>42800</v>
      </c>
      <c r="B739" s="13" t="s">
        <v>24</v>
      </c>
      <c r="C739" s="13">
        <v>43</v>
      </c>
      <c r="D739" s="13">
        <v>774.75</v>
      </c>
      <c r="E739" s="13" t="str">
        <f>IF(ISERROR(VLOOKUP(F739,Magic!H:H,1,0)),IF(ISERROR(VLOOKUP(F739,Magic!T:T,1,0)),"N","Y"),"Y")</f>
        <v>N</v>
      </c>
      <c r="F739" s="13">
        <v>737</v>
      </c>
    </row>
    <row r="740" spans="1:6" x14ac:dyDescent="0.25">
      <c r="A740" s="16">
        <v>42800</v>
      </c>
      <c r="B740" s="13" t="s">
        <v>25</v>
      </c>
      <c r="C740" s="13">
        <v>44</v>
      </c>
      <c r="D740" s="13">
        <v>349.9</v>
      </c>
      <c r="E740" s="13" t="str">
        <f>IF(ISERROR(VLOOKUP(F740,Magic!H:H,1,0)),IF(ISERROR(VLOOKUP(F740,Magic!T:T,1,0)),"N","Y"),"Y")</f>
        <v>N</v>
      </c>
      <c r="F740" s="13">
        <v>738</v>
      </c>
    </row>
    <row r="741" spans="1:6" x14ac:dyDescent="0.25">
      <c r="A741" s="16">
        <v>42800</v>
      </c>
      <c r="B741" s="13" t="s">
        <v>25</v>
      </c>
      <c r="C741" s="13">
        <v>44</v>
      </c>
      <c r="D741" s="13">
        <v>249.9</v>
      </c>
      <c r="E741" s="13" t="str">
        <f>IF(ISERROR(VLOOKUP(F741,Magic!H:H,1,0)),IF(ISERROR(VLOOKUP(F741,Magic!T:T,1,0)),"N","Y"),"Y")</f>
        <v>N</v>
      </c>
      <c r="F741" s="13">
        <v>739</v>
      </c>
    </row>
    <row r="742" spans="1:6" x14ac:dyDescent="0.25">
      <c r="A742" s="16">
        <v>42800</v>
      </c>
      <c r="B742" s="13" t="s">
        <v>27</v>
      </c>
      <c r="C742" s="13">
        <v>101</v>
      </c>
      <c r="D742" s="13">
        <v>387.95</v>
      </c>
      <c r="E742" s="13" t="str">
        <f>IF(ISERROR(VLOOKUP(F742,Magic!H:H,1,0)),IF(ISERROR(VLOOKUP(F742,Magic!T:T,1,0)),"N","Y"),"Y")</f>
        <v>N</v>
      </c>
      <c r="F742" s="13">
        <v>740</v>
      </c>
    </row>
    <row r="743" spans="1:6" x14ac:dyDescent="0.25">
      <c r="A743" s="16">
        <v>42800</v>
      </c>
      <c r="B743" s="13" t="s">
        <v>27</v>
      </c>
      <c r="C743" s="13">
        <v>101</v>
      </c>
      <c r="D743" s="13">
        <v>144.80000000000001</v>
      </c>
      <c r="E743" s="13" t="str">
        <f>IF(ISERROR(VLOOKUP(F743,Magic!H:H,1,0)),IF(ISERROR(VLOOKUP(F743,Magic!T:T,1,0)),"N","Y"),"Y")</f>
        <v>N</v>
      </c>
      <c r="F743" s="13">
        <v>741</v>
      </c>
    </row>
    <row r="744" spans="1:6" x14ac:dyDescent="0.25">
      <c r="A744" s="16">
        <v>42800</v>
      </c>
      <c r="B744" s="13" t="s">
        <v>27</v>
      </c>
      <c r="C744" s="13">
        <v>101</v>
      </c>
      <c r="D744" s="13">
        <v>59.9</v>
      </c>
      <c r="E744" s="13" t="str">
        <f>IF(ISERROR(VLOOKUP(F744,Magic!H:H,1,0)),IF(ISERROR(VLOOKUP(F744,Magic!T:T,1,0)),"N","Y"),"Y")</f>
        <v>N</v>
      </c>
      <c r="F744" s="13">
        <v>742</v>
      </c>
    </row>
    <row r="745" spans="1:6" x14ac:dyDescent="0.25">
      <c r="A745" s="16">
        <v>42800</v>
      </c>
      <c r="B745" s="13" t="s">
        <v>28</v>
      </c>
      <c r="C745" s="13">
        <v>103</v>
      </c>
      <c r="D745" s="13">
        <v>620</v>
      </c>
      <c r="E745" s="13" t="str">
        <f>IF(ISERROR(VLOOKUP(F745,Magic!H:H,1,0)),IF(ISERROR(VLOOKUP(F745,Magic!T:T,1,0)),"N","Y"),"Y")</f>
        <v>N</v>
      </c>
      <c r="F745" s="13">
        <v>743</v>
      </c>
    </row>
    <row r="746" spans="1:6" x14ac:dyDescent="0.25">
      <c r="A746" s="16">
        <v>42800</v>
      </c>
      <c r="B746" s="13" t="s">
        <v>28</v>
      </c>
      <c r="C746" s="13">
        <v>103</v>
      </c>
      <c r="D746" s="13">
        <v>250</v>
      </c>
      <c r="E746" s="13" t="str">
        <f>IF(ISERROR(VLOOKUP(F746,Magic!H:H,1,0)),IF(ISERROR(VLOOKUP(F746,Magic!T:T,1,0)),"N","Y"),"Y")</f>
        <v>N</v>
      </c>
      <c r="F746" s="13">
        <v>744</v>
      </c>
    </row>
    <row r="747" spans="1:6" x14ac:dyDescent="0.25">
      <c r="A747" s="16">
        <v>42800</v>
      </c>
      <c r="B747" s="13" t="s">
        <v>611</v>
      </c>
      <c r="C747" s="13">
        <v>201</v>
      </c>
      <c r="D747" s="13">
        <v>472.85</v>
      </c>
      <c r="E747" s="13" t="str">
        <f>IF(ISERROR(VLOOKUP(F747,Magic!H:H,1,0)),IF(ISERROR(VLOOKUP(F747,Magic!T:T,1,0)),"N","Y"),"Y")</f>
        <v>N</v>
      </c>
      <c r="F747" s="13">
        <v>745</v>
      </c>
    </row>
    <row r="748" spans="1:6" x14ac:dyDescent="0.25">
      <c r="A748" s="16">
        <v>42800</v>
      </c>
      <c r="B748" s="13" t="s">
        <v>611</v>
      </c>
      <c r="C748" s="13">
        <v>201</v>
      </c>
      <c r="D748" s="13">
        <v>465.9</v>
      </c>
      <c r="E748" s="13" t="str">
        <f>IF(ISERROR(VLOOKUP(F748,Magic!H:H,1,0)),IF(ISERROR(VLOOKUP(F748,Magic!T:T,1,0)),"N","Y"),"Y")</f>
        <v>N</v>
      </c>
      <c r="F748" s="13">
        <v>746</v>
      </c>
    </row>
    <row r="749" spans="1:6" x14ac:dyDescent="0.25">
      <c r="A749" s="16">
        <v>42800</v>
      </c>
      <c r="B749" s="13" t="s">
        <v>611</v>
      </c>
      <c r="C749" s="13">
        <v>201</v>
      </c>
      <c r="D749" s="13">
        <v>165</v>
      </c>
      <c r="E749" s="13" t="str">
        <f>IF(ISERROR(VLOOKUP(F749,Magic!H:H,1,0)),IF(ISERROR(VLOOKUP(F749,Magic!T:T,1,0)),"N","Y"),"Y")</f>
        <v>N</v>
      </c>
      <c r="F749" s="13">
        <v>747</v>
      </c>
    </row>
    <row r="750" spans="1:6" x14ac:dyDescent="0.25">
      <c r="A750" s="16">
        <v>42800</v>
      </c>
      <c r="B750" s="13" t="s">
        <v>510</v>
      </c>
      <c r="C750" s="13">
        <v>44</v>
      </c>
      <c r="D750" s="13">
        <v>264.75</v>
      </c>
      <c r="E750" s="13" t="str">
        <f>IF(ISERROR(VLOOKUP(F750,Magic!H:H,1,0)),IF(ISERROR(VLOOKUP(F750,Magic!T:T,1,0)),"N","Y"),"Y")</f>
        <v>N</v>
      </c>
      <c r="F750" s="13">
        <v>748</v>
      </c>
    </row>
    <row r="751" spans="1:6" x14ac:dyDescent="0.25">
      <c r="A751" s="16">
        <v>42801</v>
      </c>
      <c r="B751" s="13" t="s">
        <v>29</v>
      </c>
      <c r="C751" s="13">
        <v>35</v>
      </c>
      <c r="D751" s="13">
        <v>675</v>
      </c>
      <c r="E751" s="13" t="str">
        <f>IF(ISERROR(VLOOKUP(F751,Magic!H:H,1,0)),IF(ISERROR(VLOOKUP(F751,Magic!T:T,1,0)),"N","Y"),"Y")</f>
        <v>N</v>
      </c>
      <c r="F751" s="13">
        <v>749</v>
      </c>
    </row>
    <row r="752" spans="1:6" x14ac:dyDescent="0.25">
      <c r="A752" s="16">
        <v>42801</v>
      </c>
      <c r="B752" s="13" t="s">
        <v>82</v>
      </c>
      <c r="C752" s="13">
        <v>35</v>
      </c>
      <c r="D752" s="13">
        <v>4.95</v>
      </c>
      <c r="E752" s="13" t="str">
        <f>IF(ISERROR(VLOOKUP(F752,Magic!H:H,1,0)),IF(ISERROR(VLOOKUP(F752,Magic!T:T,1,0)),"N","Y"),"Y")</f>
        <v>N</v>
      </c>
      <c r="F752" s="13">
        <v>750</v>
      </c>
    </row>
    <row r="753" spans="1:6" x14ac:dyDescent="0.25">
      <c r="A753" s="16">
        <v>42801</v>
      </c>
      <c r="B753" s="13" t="s">
        <v>31</v>
      </c>
      <c r="C753" s="13">
        <v>37</v>
      </c>
      <c r="D753" s="13">
        <v>339.4</v>
      </c>
      <c r="E753" s="13" t="str">
        <f>IF(ISERROR(VLOOKUP(F753,Magic!H:H,1,0)),IF(ISERROR(VLOOKUP(F753,Magic!T:T,1,0)),"N","Y"),"Y")</f>
        <v>N</v>
      </c>
      <c r="F753" s="13">
        <v>751</v>
      </c>
    </row>
    <row r="754" spans="1:6" x14ac:dyDescent="0.25">
      <c r="A754" s="16">
        <v>42801</v>
      </c>
      <c r="B754" s="13" t="s">
        <v>26</v>
      </c>
      <c r="C754" s="13">
        <v>38</v>
      </c>
      <c r="D754" s="13">
        <v>609.75</v>
      </c>
      <c r="E754" s="13" t="str">
        <f>IF(ISERROR(VLOOKUP(F754,Magic!H:H,1,0)),IF(ISERROR(VLOOKUP(F754,Magic!T:T,1,0)),"N","Y"),"Y")</f>
        <v>N</v>
      </c>
      <c r="F754" s="13">
        <v>752</v>
      </c>
    </row>
    <row r="755" spans="1:6" x14ac:dyDescent="0.25">
      <c r="A755" s="16">
        <v>42801</v>
      </c>
      <c r="B755" s="13" t="s">
        <v>81</v>
      </c>
      <c r="C755" s="13">
        <v>41</v>
      </c>
      <c r="D755" s="13">
        <v>149.94999999999999</v>
      </c>
      <c r="E755" s="13" t="str">
        <f>IF(ISERROR(VLOOKUP(F755,Magic!H:H,1,0)),IF(ISERROR(VLOOKUP(F755,Magic!T:T,1,0)),"N","Y"),"Y")</f>
        <v>N</v>
      </c>
      <c r="F755" s="13">
        <v>753</v>
      </c>
    </row>
    <row r="756" spans="1:6" x14ac:dyDescent="0.25">
      <c r="A756" s="16">
        <v>42801</v>
      </c>
      <c r="B756" s="13" t="s">
        <v>81</v>
      </c>
      <c r="C756" s="13">
        <v>41</v>
      </c>
      <c r="D756" s="13">
        <v>252.9</v>
      </c>
      <c r="E756" s="13" t="str">
        <f>IF(ISERROR(VLOOKUP(F756,Magic!H:H,1,0)),IF(ISERROR(VLOOKUP(F756,Magic!T:T,1,0)),"N","Y"),"Y")</f>
        <v>N</v>
      </c>
      <c r="F756" s="13">
        <v>754</v>
      </c>
    </row>
    <row r="757" spans="1:6" x14ac:dyDescent="0.25">
      <c r="A757" s="16">
        <v>42801</v>
      </c>
      <c r="B757" s="13" t="s">
        <v>81</v>
      </c>
      <c r="C757" s="13">
        <v>41</v>
      </c>
      <c r="D757" s="13">
        <v>264.89999999999998</v>
      </c>
      <c r="E757" s="13" t="str">
        <f>IF(ISERROR(VLOOKUP(F757,Magic!H:H,1,0)),IF(ISERROR(VLOOKUP(F757,Magic!T:T,1,0)),"N","Y"),"Y")</f>
        <v>N</v>
      </c>
      <c r="F757" s="13">
        <v>755</v>
      </c>
    </row>
    <row r="758" spans="1:6" x14ac:dyDescent="0.25">
      <c r="A758" s="16">
        <v>42801</v>
      </c>
      <c r="B758" s="13" t="s">
        <v>81</v>
      </c>
      <c r="C758" s="13">
        <v>41</v>
      </c>
      <c r="D758" s="13">
        <v>309.89999999999998</v>
      </c>
      <c r="E758" s="13" t="str">
        <f>IF(ISERROR(VLOOKUP(F758,Magic!H:H,1,0)),IF(ISERROR(VLOOKUP(F758,Magic!T:T,1,0)),"N","Y"),"Y")</f>
        <v>N</v>
      </c>
      <c r="F758" s="13">
        <v>756</v>
      </c>
    </row>
    <row r="759" spans="1:6" x14ac:dyDescent="0.25">
      <c r="A759" s="16">
        <v>42801</v>
      </c>
      <c r="B759" s="13" t="s">
        <v>472</v>
      </c>
      <c r="C759" s="13">
        <v>43</v>
      </c>
      <c r="D759" s="13">
        <v>822.7</v>
      </c>
      <c r="E759" s="13" t="str">
        <f>IF(ISERROR(VLOOKUP(F759,Magic!H:H,1,0)),IF(ISERROR(VLOOKUP(F759,Magic!T:T,1,0)),"N","Y"),"Y")</f>
        <v>N</v>
      </c>
      <c r="F759" s="13">
        <v>757</v>
      </c>
    </row>
    <row r="760" spans="1:6" x14ac:dyDescent="0.25">
      <c r="A760" s="16">
        <v>42801</v>
      </c>
      <c r="B760" s="13" t="s">
        <v>25</v>
      </c>
      <c r="C760" s="13">
        <v>44</v>
      </c>
      <c r="D760" s="13">
        <v>174.9</v>
      </c>
      <c r="E760" s="13" t="str">
        <f>IF(ISERROR(VLOOKUP(F760,Magic!H:H,1,0)),IF(ISERROR(VLOOKUP(F760,Magic!T:T,1,0)),"N","Y"),"Y")</f>
        <v>N</v>
      </c>
      <c r="F760" s="13">
        <v>758</v>
      </c>
    </row>
    <row r="761" spans="1:6" x14ac:dyDescent="0.25">
      <c r="A761" s="16">
        <v>42801</v>
      </c>
      <c r="B761" s="13" t="s">
        <v>27</v>
      </c>
      <c r="C761" s="13">
        <v>101</v>
      </c>
      <c r="D761" s="13">
        <v>395.4</v>
      </c>
      <c r="E761" s="13" t="str">
        <f>IF(ISERROR(VLOOKUP(F761,Magic!H:H,1,0)),IF(ISERROR(VLOOKUP(F761,Magic!T:T,1,0)),"N","Y"),"Y")</f>
        <v>N</v>
      </c>
      <c r="F761" s="13">
        <v>759</v>
      </c>
    </row>
    <row r="762" spans="1:6" x14ac:dyDescent="0.25">
      <c r="A762" s="16">
        <v>42801</v>
      </c>
      <c r="B762" s="13" t="s">
        <v>28</v>
      </c>
      <c r="C762" s="13">
        <v>103</v>
      </c>
      <c r="D762" s="13">
        <v>27.7</v>
      </c>
      <c r="E762" s="13" t="str">
        <f>IF(ISERROR(VLOOKUP(F762,Magic!H:H,1,0)),IF(ISERROR(VLOOKUP(F762,Magic!T:T,1,0)),"N","Y"),"Y")</f>
        <v>N</v>
      </c>
      <c r="F762" s="13">
        <v>760</v>
      </c>
    </row>
    <row r="763" spans="1:6" x14ac:dyDescent="0.25">
      <c r="A763" s="16">
        <v>42801</v>
      </c>
      <c r="B763" s="13" t="s">
        <v>28</v>
      </c>
      <c r="C763" s="13">
        <v>103</v>
      </c>
      <c r="D763" s="13">
        <v>2.8</v>
      </c>
      <c r="E763" s="13" t="str">
        <f>IF(ISERROR(VLOOKUP(F763,Magic!H:H,1,0)),IF(ISERROR(VLOOKUP(F763,Magic!T:T,1,0)),"N","Y"),"Y")</f>
        <v>N</v>
      </c>
      <c r="F763" s="13">
        <v>761</v>
      </c>
    </row>
    <row r="764" spans="1:6" x14ac:dyDescent="0.25">
      <c r="A764" s="16">
        <v>42801</v>
      </c>
      <c r="B764" s="13" t="s">
        <v>28</v>
      </c>
      <c r="C764" s="13">
        <v>103</v>
      </c>
      <c r="D764" s="13">
        <v>724.95</v>
      </c>
      <c r="E764" s="13" t="str">
        <f>IF(ISERROR(VLOOKUP(F764,Magic!H:H,1,0)),IF(ISERROR(VLOOKUP(F764,Magic!T:T,1,0)),"N","Y"),"Y")</f>
        <v>N</v>
      </c>
      <c r="F764" s="13">
        <v>762</v>
      </c>
    </row>
    <row r="765" spans="1:6" x14ac:dyDescent="0.25">
      <c r="A765" s="16">
        <v>42801</v>
      </c>
      <c r="B765" s="13" t="s">
        <v>212</v>
      </c>
      <c r="C765" s="13">
        <v>38</v>
      </c>
      <c r="D765" s="13">
        <v>0.5</v>
      </c>
      <c r="E765" s="13" t="str">
        <f>IF(ISERROR(VLOOKUP(F765,Magic!H:H,1,0)),IF(ISERROR(VLOOKUP(F765,Magic!T:T,1,0)),"N","Y"),"Y")</f>
        <v>N</v>
      </c>
      <c r="F765" s="13">
        <v>763</v>
      </c>
    </row>
    <row r="766" spans="1:6" x14ac:dyDescent="0.25">
      <c r="A766" s="16">
        <v>42802</v>
      </c>
      <c r="B766" s="13" t="s">
        <v>29</v>
      </c>
      <c r="C766" s="13">
        <v>35</v>
      </c>
      <c r="D766" s="13">
        <v>800</v>
      </c>
      <c r="E766" s="13" t="str">
        <f>IF(ISERROR(VLOOKUP(F766,Magic!H:H,1,0)),IF(ISERROR(VLOOKUP(F766,Magic!T:T,1,0)),"N","Y"),"Y")</f>
        <v>N</v>
      </c>
      <c r="F766" s="13">
        <v>764</v>
      </c>
    </row>
    <row r="767" spans="1:6" x14ac:dyDescent="0.25">
      <c r="A767" s="16">
        <v>42802</v>
      </c>
      <c r="B767" s="13" t="s">
        <v>82</v>
      </c>
      <c r="C767" s="13">
        <v>35</v>
      </c>
      <c r="D767" s="13">
        <v>4.6500000000000004</v>
      </c>
      <c r="E767" s="13" t="str">
        <f>IF(ISERROR(VLOOKUP(F767,Magic!H:H,1,0)),IF(ISERROR(VLOOKUP(F767,Magic!T:T,1,0)),"N","Y"),"Y")</f>
        <v>N</v>
      </c>
      <c r="F767" s="13">
        <v>765</v>
      </c>
    </row>
    <row r="768" spans="1:6" x14ac:dyDescent="0.25">
      <c r="A768" s="16">
        <v>42802</v>
      </c>
      <c r="B768" s="13" t="s">
        <v>31</v>
      </c>
      <c r="C768" s="13">
        <v>37</v>
      </c>
      <c r="D768" s="13">
        <v>204.35</v>
      </c>
      <c r="E768" s="13" t="str">
        <f>IF(ISERROR(VLOOKUP(F768,Magic!H:H,1,0)),IF(ISERROR(VLOOKUP(F768,Magic!T:T,1,0)),"N","Y"),"Y")</f>
        <v>N</v>
      </c>
      <c r="F768" s="13">
        <v>766</v>
      </c>
    </row>
    <row r="769" spans="1:6" x14ac:dyDescent="0.25">
      <c r="A769" s="16">
        <v>42802</v>
      </c>
      <c r="B769" s="13" t="s">
        <v>81</v>
      </c>
      <c r="C769" s="13">
        <v>41</v>
      </c>
      <c r="D769" s="13">
        <v>226.7</v>
      </c>
      <c r="E769" s="13" t="str">
        <f>IF(ISERROR(VLOOKUP(F769,Magic!H:H,1,0)),IF(ISERROR(VLOOKUP(F769,Magic!T:T,1,0)),"N","Y"),"Y")</f>
        <v>N</v>
      </c>
      <c r="F769" s="13">
        <v>767</v>
      </c>
    </row>
    <row r="770" spans="1:6" x14ac:dyDescent="0.25">
      <c r="A770" s="16">
        <v>42802</v>
      </c>
      <c r="B770" s="13" t="s">
        <v>24</v>
      </c>
      <c r="C770" s="13">
        <v>43</v>
      </c>
      <c r="D770" s="13">
        <v>444.95</v>
      </c>
      <c r="E770" s="13" t="str">
        <f>IF(ISERROR(VLOOKUP(F770,Magic!H:H,1,0)),IF(ISERROR(VLOOKUP(F770,Magic!T:T,1,0)),"N","Y"),"Y")</f>
        <v>N</v>
      </c>
      <c r="F770" s="13">
        <v>768</v>
      </c>
    </row>
    <row r="771" spans="1:6" x14ac:dyDescent="0.25">
      <c r="A771" s="16">
        <v>42802</v>
      </c>
      <c r="B771" s="13" t="s">
        <v>25</v>
      </c>
      <c r="C771" s="13">
        <v>44</v>
      </c>
      <c r="D771" s="13">
        <v>414.85</v>
      </c>
      <c r="E771" s="13" t="str">
        <f>IF(ISERROR(VLOOKUP(F771,Magic!H:H,1,0)),IF(ISERROR(VLOOKUP(F771,Magic!T:T,1,0)),"N","Y"),"Y")</f>
        <v>N</v>
      </c>
      <c r="F771" s="13">
        <v>769</v>
      </c>
    </row>
    <row r="772" spans="1:6" x14ac:dyDescent="0.25">
      <c r="A772" s="16">
        <v>42802</v>
      </c>
      <c r="B772" s="13" t="s">
        <v>27</v>
      </c>
      <c r="C772" s="13">
        <v>101</v>
      </c>
      <c r="D772" s="13">
        <v>344.8</v>
      </c>
      <c r="E772" s="13" t="str">
        <f>IF(ISERROR(VLOOKUP(F772,Magic!H:H,1,0)),IF(ISERROR(VLOOKUP(F772,Magic!T:T,1,0)),"N","Y"),"Y")</f>
        <v>N</v>
      </c>
      <c r="F772" s="13">
        <v>770</v>
      </c>
    </row>
    <row r="773" spans="1:6" x14ac:dyDescent="0.25">
      <c r="A773" s="16">
        <v>42802</v>
      </c>
      <c r="B773" s="13" t="s">
        <v>28</v>
      </c>
      <c r="C773" s="13">
        <v>103</v>
      </c>
      <c r="D773" s="13">
        <v>770.35</v>
      </c>
      <c r="E773" s="13" t="str">
        <f>IF(ISERROR(VLOOKUP(F773,Magic!H:H,1,0)),IF(ISERROR(VLOOKUP(F773,Magic!T:T,1,0)),"N","Y"),"Y")</f>
        <v>N</v>
      </c>
      <c r="F773" s="13">
        <v>771</v>
      </c>
    </row>
    <row r="774" spans="1:6" x14ac:dyDescent="0.25">
      <c r="A774" s="16">
        <v>42803</v>
      </c>
      <c r="B774" s="13" t="s">
        <v>29</v>
      </c>
      <c r="C774" s="13">
        <v>35</v>
      </c>
      <c r="D774" s="13">
        <v>890</v>
      </c>
      <c r="E774" s="13" t="str">
        <f>IF(ISERROR(VLOOKUP(F774,Magic!H:H,1,0)),IF(ISERROR(VLOOKUP(F774,Magic!T:T,1,0)),"N","Y"),"Y")</f>
        <v>N</v>
      </c>
      <c r="F774" s="13">
        <v>772</v>
      </c>
    </row>
    <row r="775" spans="1:6" x14ac:dyDescent="0.25">
      <c r="A775" s="16">
        <v>42803</v>
      </c>
      <c r="B775" s="13" t="s">
        <v>146</v>
      </c>
      <c r="C775" s="13">
        <v>37</v>
      </c>
      <c r="D775" s="13">
        <v>418.3</v>
      </c>
      <c r="E775" s="13" t="str">
        <f>IF(ISERROR(VLOOKUP(F775,Magic!H:H,1,0)),IF(ISERROR(VLOOKUP(F775,Magic!T:T,1,0)),"N","Y"),"Y")</f>
        <v>N</v>
      </c>
      <c r="F775" s="13">
        <v>773</v>
      </c>
    </row>
    <row r="776" spans="1:6" x14ac:dyDescent="0.25">
      <c r="A776" s="16">
        <v>42803</v>
      </c>
      <c r="B776" s="13" t="s">
        <v>142</v>
      </c>
      <c r="C776" s="13">
        <v>38</v>
      </c>
      <c r="D776" s="13">
        <v>935</v>
      </c>
      <c r="E776" s="13" t="str">
        <f>IF(ISERROR(VLOOKUP(F776,Magic!H:H,1,0)),IF(ISERROR(VLOOKUP(F776,Magic!T:T,1,0)),"N","Y"),"Y")</f>
        <v>N</v>
      </c>
      <c r="F776" s="13">
        <v>774</v>
      </c>
    </row>
    <row r="777" spans="1:6" x14ac:dyDescent="0.25">
      <c r="A777" s="16">
        <v>42803</v>
      </c>
      <c r="B777" s="13" t="s">
        <v>26</v>
      </c>
      <c r="C777" s="13">
        <v>38</v>
      </c>
      <c r="D777" s="13">
        <v>715.15</v>
      </c>
      <c r="E777" s="13" t="str">
        <f>IF(ISERROR(VLOOKUP(F777,Magic!H:H,1,0)),IF(ISERROR(VLOOKUP(F777,Magic!T:T,1,0)),"N","Y"),"Y")</f>
        <v>N</v>
      </c>
      <c r="F777" s="13">
        <v>775</v>
      </c>
    </row>
    <row r="778" spans="1:6" x14ac:dyDescent="0.25">
      <c r="A778" s="16">
        <v>42803</v>
      </c>
      <c r="B778" s="13" t="s">
        <v>81</v>
      </c>
      <c r="C778" s="13">
        <v>41</v>
      </c>
      <c r="D778" s="13">
        <v>314.8</v>
      </c>
      <c r="E778" s="13" t="str">
        <f>IF(ISERROR(VLOOKUP(F778,Magic!H:H,1,0)),IF(ISERROR(VLOOKUP(F778,Magic!T:T,1,0)),"N","Y"),"Y")</f>
        <v>N</v>
      </c>
      <c r="F778" s="13">
        <v>776</v>
      </c>
    </row>
    <row r="779" spans="1:6" x14ac:dyDescent="0.25">
      <c r="A779" s="16">
        <v>42803</v>
      </c>
      <c r="B779" s="13" t="s">
        <v>24</v>
      </c>
      <c r="C779" s="13">
        <v>43</v>
      </c>
      <c r="D779" s="13">
        <v>527.75</v>
      </c>
      <c r="E779" s="13" t="str">
        <f>IF(ISERROR(VLOOKUP(F779,Magic!H:H,1,0)),IF(ISERROR(VLOOKUP(F779,Magic!T:T,1,0)),"N","Y"),"Y")</f>
        <v>N</v>
      </c>
      <c r="F779" s="13">
        <v>777</v>
      </c>
    </row>
    <row r="780" spans="1:6" x14ac:dyDescent="0.25">
      <c r="A780" s="16">
        <v>42803</v>
      </c>
      <c r="B780" s="13" t="s">
        <v>27</v>
      </c>
      <c r="C780" s="13">
        <v>101</v>
      </c>
      <c r="D780" s="13">
        <v>534.54999999999995</v>
      </c>
      <c r="E780" s="13" t="str">
        <f>IF(ISERROR(VLOOKUP(F780,Magic!H:H,1,0)),IF(ISERROR(VLOOKUP(F780,Magic!T:T,1,0)),"N","Y"),"Y")</f>
        <v>N</v>
      </c>
      <c r="F780" s="13">
        <v>778</v>
      </c>
    </row>
    <row r="781" spans="1:6" x14ac:dyDescent="0.25">
      <c r="A781" s="16">
        <v>42803</v>
      </c>
      <c r="B781" s="13" t="s">
        <v>28</v>
      </c>
      <c r="C781" s="13">
        <v>103</v>
      </c>
      <c r="D781" s="13">
        <v>297.89999999999998</v>
      </c>
      <c r="E781" s="13" t="str">
        <f>IF(ISERROR(VLOOKUP(F781,Magic!H:H,1,0)),IF(ISERROR(VLOOKUP(F781,Magic!T:T,1,0)),"N","Y"),"Y")</f>
        <v>N</v>
      </c>
      <c r="F781" s="13">
        <v>779</v>
      </c>
    </row>
    <row r="782" spans="1:6" x14ac:dyDescent="0.25">
      <c r="A782" s="16">
        <v>42803</v>
      </c>
      <c r="B782" s="13" t="s">
        <v>510</v>
      </c>
      <c r="C782" s="13">
        <v>44</v>
      </c>
      <c r="D782" s="13">
        <v>394.8</v>
      </c>
      <c r="E782" s="13" t="str">
        <f>IF(ISERROR(VLOOKUP(F782,Magic!H:H,1,0)),IF(ISERROR(VLOOKUP(F782,Magic!T:T,1,0)),"N","Y"),"Y")</f>
        <v>N</v>
      </c>
      <c r="F782" s="13">
        <v>780</v>
      </c>
    </row>
    <row r="783" spans="1:6" x14ac:dyDescent="0.25">
      <c r="A783" s="16">
        <v>42806</v>
      </c>
      <c r="B783" s="13" t="s">
        <v>26</v>
      </c>
      <c r="C783" s="13">
        <v>38</v>
      </c>
      <c r="D783" s="13">
        <v>500</v>
      </c>
      <c r="E783" s="13" t="str">
        <f>IF(ISERROR(VLOOKUP(F783,Magic!H:H,1,0)),IF(ISERROR(VLOOKUP(F783,Magic!T:T,1,0)),"N","Y"),"Y")</f>
        <v>N</v>
      </c>
      <c r="F783" s="13">
        <v>781</v>
      </c>
    </row>
    <row r="784" spans="1:6" x14ac:dyDescent="0.25">
      <c r="A784" s="16">
        <v>42804</v>
      </c>
      <c r="B784" s="13" t="s">
        <v>82</v>
      </c>
      <c r="C784" s="13">
        <v>35</v>
      </c>
      <c r="D784" s="13">
        <v>4.75</v>
      </c>
      <c r="E784" s="13" t="str">
        <f>IF(ISERROR(VLOOKUP(F784,Magic!H:H,1,0)),IF(ISERROR(VLOOKUP(F784,Magic!T:T,1,0)),"N","Y"),"Y")</f>
        <v>N</v>
      </c>
      <c r="F784" s="13">
        <v>782</v>
      </c>
    </row>
    <row r="785" spans="1:6" x14ac:dyDescent="0.25">
      <c r="A785" s="16">
        <v>42804</v>
      </c>
      <c r="B785" s="13" t="s">
        <v>82</v>
      </c>
      <c r="C785" s="13">
        <v>35</v>
      </c>
      <c r="D785" s="13">
        <v>3.55</v>
      </c>
      <c r="E785" s="13" t="str">
        <f>IF(ISERROR(VLOOKUP(F785,Magic!H:H,1,0)),IF(ISERROR(VLOOKUP(F785,Magic!T:T,1,0)),"N","Y"),"Y")</f>
        <v>N</v>
      </c>
      <c r="F785" s="13">
        <v>783</v>
      </c>
    </row>
    <row r="786" spans="1:6" x14ac:dyDescent="0.25">
      <c r="A786" s="16">
        <v>42804</v>
      </c>
      <c r="B786" s="13" t="s">
        <v>26</v>
      </c>
      <c r="C786" s="13">
        <v>38</v>
      </c>
      <c r="D786" s="13">
        <v>718.3</v>
      </c>
      <c r="E786" s="13" t="str">
        <f>IF(ISERROR(VLOOKUP(F786,Magic!H:H,1,0)),IF(ISERROR(VLOOKUP(F786,Magic!T:T,1,0)),"N","Y"),"Y")</f>
        <v>N</v>
      </c>
      <c r="F786" s="13">
        <v>784</v>
      </c>
    </row>
    <row r="787" spans="1:6" x14ac:dyDescent="0.25">
      <c r="A787" s="16">
        <v>42804</v>
      </c>
      <c r="B787" s="13" t="s">
        <v>26</v>
      </c>
      <c r="C787" s="13">
        <v>38</v>
      </c>
      <c r="D787" s="13">
        <v>4.9000000000000004</v>
      </c>
      <c r="E787" s="13" t="str">
        <f>IF(ISERROR(VLOOKUP(F787,Magic!H:H,1,0)),IF(ISERROR(VLOOKUP(F787,Magic!T:T,1,0)),"N","Y"),"Y")</f>
        <v>N</v>
      </c>
      <c r="F787" s="13">
        <v>785</v>
      </c>
    </row>
    <row r="788" spans="1:6" x14ac:dyDescent="0.25">
      <c r="A788" s="16">
        <v>42804</v>
      </c>
      <c r="B788" s="13" t="s">
        <v>81</v>
      </c>
      <c r="C788" s="13">
        <v>41</v>
      </c>
      <c r="D788" s="13">
        <v>384.8</v>
      </c>
      <c r="E788" s="13" t="str">
        <f>IF(ISERROR(VLOOKUP(F788,Magic!H:H,1,0)),IF(ISERROR(VLOOKUP(F788,Magic!T:T,1,0)),"N","Y"),"Y")</f>
        <v>N</v>
      </c>
      <c r="F788" s="13">
        <v>786</v>
      </c>
    </row>
    <row r="789" spans="1:6" x14ac:dyDescent="0.25">
      <c r="A789" s="16">
        <v>42804</v>
      </c>
      <c r="B789" s="13" t="s">
        <v>24</v>
      </c>
      <c r="C789" s="13">
        <v>43</v>
      </c>
      <c r="D789" s="13">
        <v>742.2</v>
      </c>
      <c r="E789" s="13" t="str">
        <f>IF(ISERROR(VLOOKUP(F789,Magic!H:H,1,0)),IF(ISERROR(VLOOKUP(F789,Magic!T:T,1,0)),"N","Y"),"Y")</f>
        <v>N</v>
      </c>
      <c r="F789" s="13">
        <v>787</v>
      </c>
    </row>
    <row r="790" spans="1:6" x14ac:dyDescent="0.25">
      <c r="A790" s="16">
        <v>42804</v>
      </c>
      <c r="B790" s="13" t="s">
        <v>27</v>
      </c>
      <c r="C790" s="13">
        <v>101</v>
      </c>
      <c r="D790" s="13">
        <v>357.75</v>
      </c>
      <c r="E790" s="13" t="str">
        <f>IF(ISERROR(VLOOKUP(F790,Magic!H:H,1,0)),IF(ISERROR(VLOOKUP(F790,Magic!T:T,1,0)),"N","Y"),"Y")</f>
        <v>N</v>
      </c>
      <c r="F790" s="13">
        <v>788</v>
      </c>
    </row>
    <row r="791" spans="1:6" x14ac:dyDescent="0.25">
      <c r="A791" s="16">
        <v>42804</v>
      </c>
      <c r="B791" s="13" t="s">
        <v>28</v>
      </c>
      <c r="C791" s="13">
        <v>103</v>
      </c>
      <c r="D791" s="13">
        <v>3.55</v>
      </c>
      <c r="E791" s="13" t="str">
        <f>IF(ISERROR(VLOOKUP(F791,Magic!H:H,1,0)),IF(ISERROR(VLOOKUP(F791,Magic!T:T,1,0)),"N","Y"),"Y")</f>
        <v>N</v>
      </c>
      <c r="F791" s="13">
        <v>789</v>
      </c>
    </row>
    <row r="792" spans="1:6" x14ac:dyDescent="0.25">
      <c r="A792" s="16">
        <v>42804</v>
      </c>
      <c r="B792" s="13" t="s">
        <v>113</v>
      </c>
      <c r="C792" s="13">
        <v>103</v>
      </c>
      <c r="D792" s="13">
        <v>950</v>
      </c>
      <c r="E792" s="13" t="str">
        <f>IF(ISERROR(VLOOKUP(F792,Magic!H:H,1,0)),IF(ISERROR(VLOOKUP(F792,Magic!T:T,1,0)),"N","Y"),"Y")</f>
        <v>N</v>
      </c>
      <c r="F792" s="13">
        <v>790</v>
      </c>
    </row>
    <row r="793" spans="1:6" x14ac:dyDescent="0.25">
      <c r="A793" s="16">
        <v>42804</v>
      </c>
      <c r="B793" s="13" t="s">
        <v>529</v>
      </c>
      <c r="C793" s="13">
        <v>37</v>
      </c>
      <c r="D793" s="13">
        <v>609.54999999999995</v>
      </c>
      <c r="E793" s="13" t="str">
        <f>IF(ISERROR(VLOOKUP(F793,Magic!H:H,1,0)),IF(ISERROR(VLOOKUP(F793,Magic!T:T,1,0)),"N","Y"),"Y")</f>
        <v>N</v>
      </c>
      <c r="F793" s="13">
        <v>791</v>
      </c>
    </row>
    <row r="794" spans="1:6" x14ac:dyDescent="0.25">
      <c r="A794" s="16">
        <v>42804</v>
      </c>
      <c r="B794" s="13" t="s">
        <v>510</v>
      </c>
      <c r="C794" s="13">
        <v>44</v>
      </c>
      <c r="D794" s="13">
        <v>404.75</v>
      </c>
      <c r="E794" s="13" t="str">
        <f>IF(ISERROR(VLOOKUP(F794,Magic!H:H,1,0)),IF(ISERROR(VLOOKUP(F794,Magic!T:T,1,0)),"N","Y"),"Y")</f>
        <v>N</v>
      </c>
      <c r="F794" s="13">
        <v>792</v>
      </c>
    </row>
    <row r="795" spans="1:6" x14ac:dyDescent="0.25">
      <c r="A795" s="16">
        <v>42805</v>
      </c>
      <c r="B795" s="13" t="s">
        <v>28</v>
      </c>
      <c r="C795" s="13">
        <v>103</v>
      </c>
      <c r="D795" s="13">
        <v>858.45</v>
      </c>
      <c r="E795" s="13" t="str">
        <f>IF(ISERROR(VLOOKUP(F795,Magic!H:H,1,0)),IF(ISERROR(VLOOKUP(F795,Magic!T:T,1,0)),"N","Y"),"Y")</f>
        <v>N</v>
      </c>
      <c r="F795" s="13">
        <v>793</v>
      </c>
    </row>
    <row r="796" spans="1:6" x14ac:dyDescent="0.25">
      <c r="A796" s="16">
        <v>42806</v>
      </c>
      <c r="B796" s="13" t="s">
        <v>29</v>
      </c>
      <c r="C796" s="13">
        <v>35</v>
      </c>
      <c r="D796" s="13">
        <v>195</v>
      </c>
      <c r="E796" s="13" t="str">
        <f>IF(ISERROR(VLOOKUP(F796,Magic!H:H,1,0)),IF(ISERROR(VLOOKUP(F796,Magic!T:T,1,0)),"N","Y"),"Y")</f>
        <v>N</v>
      </c>
      <c r="F796" s="13">
        <v>794</v>
      </c>
    </row>
    <row r="797" spans="1:6" x14ac:dyDescent="0.25">
      <c r="A797" s="16">
        <v>42806</v>
      </c>
      <c r="B797" s="13" t="s">
        <v>26</v>
      </c>
      <c r="C797" s="13">
        <v>38</v>
      </c>
      <c r="D797" s="13">
        <v>675</v>
      </c>
      <c r="E797" s="13" t="str">
        <f>IF(ISERROR(VLOOKUP(F797,Magic!H:H,1,0)),IF(ISERROR(VLOOKUP(F797,Magic!T:T,1,0)),"N","Y"),"Y")</f>
        <v>N</v>
      </c>
      <c r="F797" s="13">
        <v>795</v>
      </c>
    </row>
    <row r="798" spans="1:6" x14ac:dyDescent="0.25">
      <c r="A798" s="16">
        <v>42807</v>
      </c>
      <c r="B798" s="13" t="s">
        <v>26</v>
      </c>
      <c r="C798" s="13">
        <v>38</v>
      </c>
      <c r="D798" s="13">
        <v>520</v>
      </c>
      <c r="E798" s="13" t="str">
        <f>IF(ISERROR(VLOOKUP(F798,Magic!H:H,1,0)),IF(ISERROR(VLOOKUP(F798,Magic!T:T,1,0)),"N","Y"),"Y")</f>
        <v>N</v>
      </c>
      <c r="F798" s="13">
        <v>796</v>
      </c>
    </row>
    <row r="799" spans="1:6" x14ac:dyDescent="0.25">
      <c r="A799" s="16">
        <v>42807</v>
      </c>
      <c r="B799" s="13" t="s">
        <v>82</v>
      </c>
      <c r="C799" s="13">
        <v>35</v>
      </c>
      <c r="D799" s="13">
        <v>3.7</v>
      </c>
      <c r="E799" s="13" t="str">
        <f>IF(ISERROR(VLOOKUP(F799,Magic!H:H,1,0)),IF(ISERROR(VLOOKUP(F799,Magic!T:T,1,0)),"N","Y"),"Y")</f>
        <v>N</v>
      </c>
      <c r="F799" s="13">
        <v>797</v>
      </c>
    </row>
    <row r="800" spans="1:6" x14ac:dyDescent="0.25">
      <c r="A800" s="16">
        <v>42807</v>
      </c>
      <c r="B800" s="13" t="s">
        <v>82</v>
      </c>
      <c r="C800" s="13">
        <v>35</v>
      </c>
      <c r="D800" s="13">
        <v>897.2</v>
      </c>
      <c r="E800" s="13" t="str">
        <f>IF(ISERROR(VLOOKUP(F800,Magic!H:H,1,0)),IF(ISERROR(VLOOKUP(F800,Magic!T:T,1,0)),"N","Y"),"Y")</f>
        <v>N</v>
      </c>
      <c r="F800" s="13">
        <v>798</v>
      </c>
    </row>
    <row r="801" spans="1:6" x14ac:dyDescent="0.25">
      <c r="A801" s="16">
        <v>42807</v>
      </c>
      <c r="B801" s="13" t="s">
        <v>82</v>
      </c>
      <c r="C801" s="13">
        <v>35</v>
      </c>
      <c r="D801" s="13">
        <v>714.15</v>
      </c>
      <c r="E801" s="13" t="str">
        <f>IF(ISERROR(VLOOKUP(F801,Magic!H:H,1,0)),IF(ISERROR(VLOOKUP(F801,Magic!T:T,1,0)),"N","Y"),"Y")</f>
        <v>N</v>
      </c>
      <c r="F801" s="13">
        <v>799</v>
      </c>
    </row>
    <row r="802" spans="1:6" x14ac:dyDescent="0.25">
      <c r="A802" s="16">
        <v>42807</v>
      </c>
      <c r="B802" s="13" t="s">
        <v>31</v>
      </c>
      <c r="C802" s="13">
        <v>37</v>
      </c>
      <c r="D802" s="13">
        <v>257.10000000000002</v>
      </c>
      <c r="E802" s="13" t="str">
        <f>IF(ISERROR(VLOOKUP(F802,Magic!H:H,1,0)),IF(ISERROR(VLOOKUP(F802,Magic!T:T,1,0)),"N","Y"),"Y")</f>
        <v>N</v>
      </c>
      <c r="F802" s="13">
        <v>800</v>
      </c>
    </row>
    <row r="803" spans="1:6" x14ac:dyDescent="0.25">
      <c r="A803" s="16">
        <v>42807</v>
      </c>
      <c r="B803" s="13" t="s">
        <v>31</v>
      </c>
      <c r="C803" s="13">
        <v>37</v>
      </c>
      <c r="D803" s="13">
        <v>548.4</v>
      </c>
      <c r="E803" s="13" t="str">
        <f>IF(ISERROR(VLOOKUP(F803,Magic!H:H,1,0)),IF(ISERROR(VLOOKUP(F803,Magic!T:T,1,0)),"N","Y"),"Y")</f>
        <v>N</v>
      </c>
      <c r="F803" s="13">
        <v>801</v>
      </c>
    </row>
    <row r="804" spans="1:6" x14ac:dyDescent="0.25">
      <c r="A804" s="16">
        <v>42807</v>
      </c>
      <c r="B804" s="13" t="s">
        <v>31</v>
      </c>
      <c r="C804" s="13">
        <v>37</v>
      </c>
      <c r="D804" s="13">
        <v>413.15</v>
      </c>
      <c r="E804" s="13" t="str">
        <f>IF(ISERROR(VLOOKUP(F804,Magic!H:H,1,0)),IF(ISERROR(VLOOKUP(F804,Magic!T:T,1,0)),"N","Y"),"Y")</f>
        <v>N</v>
      </c>
      <c r="F804" s="13">
        <v>802</v>
      </c>
    </row>
    <row r="805" spans="1:6" x14ac:dyDescent="0.25">
      <c r="A805" s="16">
        <v>42807</v>
      </c>
      <c r="B805" s="13" t="s">
        <v>800</v>
      </c>
      <c r="C805" s="13">
        <v>41</v>
      </c>
      <c r="D805" s="13">
        <v>144.69999999999999</v>
      </c>
      <c r="E805" s="13" t="str">
        <f>IF(ISERROR(VLOOKUP(F805,Magic!H:H,1,0)),IF(ISERROR(VLOOKUP(F805,Magic!T:T,1,0)),"N","Y"),"Y")</f>
        <v>N</v>
      </c>
      <c r="F805" s="13">
        <v>803</v>
      </c>
    </row>
    <row r="806" spans="1:6" x14ac:dyDescent="0.25">
      <c r="A806" s="16">
        <v>42807</v>
      </c>
      <c r="B806" s="13" t="s">
        <v>800</v>
      </c>
      <c r="C806" s="13">
        <v>41</v>
      </c>
      <c r="D806" s="13">
        <v>289.85000000000002</v>
      </c>
      <c r="E806" s="13" t="str">
        <f>IF(ISERROR(VLOOKUP(F806,Magic!H:H,1,0)),IF(ISERROR(VLOOKUP(F806,Magic!T:T,1,0)),"N","Y"),"Y")</f>
        <v>N</v>
      </c>
      <c r="F806" s="13">
        <v>804</v>
      </c>
    </row>
    <row r="807" spans="1:6" x14ac:dyDescent="0.25">
      <c r="A807" s="16">
        <v>42807</v>
      </c>
      <c r="B807" s="13" t="s">
        <v>800</v>
      </c>
      <c r="C807" s="13">
        <v>41</v>
      </c>
      <c r="D807" s="13">
        <v>40</v>
      </c>
      <c r="E807" s="13" t="str">
        <f>IF(ISERROR(VLOOKUP(F807,Magic!H:H,1,0)),IF(ISERROR(VLOOKUP(F807,Magic!T:T,1,0)),"N","Y"),"Y")</f>
        <v>N</v>
      </c>
      <c r="F807" s="13">
        <v>805</v>
      </c>
    </row>
    <row r="808" spans="1:6" x14ac:dyDescent="0.25">
      <c r="A808" s="16">
        <v>42807</v>
      </c>
      <c r="B808" s="13" t="s">
        <v>24</v>
      </c>
      <c r="C808" s="13">
        <v>43</v>
      </c>
      <c r="D808" s="13">
        <v>966.95</v>
      </c>
      <c r="E808" s="13" t="str">
        <f>IF(ISERROR(VLOOKUP(F808,Magic!H:H,1,0)),IF(ISERROR(VLOOKUP(F808,Magic!T:T,1,0)),"N","Y"),"Y")</f>
        <v>N</v>
      </c>
      <c r="F808" s="13">
        <v>806</v>
      </c>
    </row>
    <row r="809" spans="1:6" x14ac:dyDescent="0.25">
      <c r="A809" s="16">
        <v>42807</v>
      </c>
      <c r="B809" s="13" t="s">
        <v>24</v>
      </c>
      <c r="C809" s="13">
        <v>43</v>
      </c>
      <c r="D809" s="13">
        <v>422.55</v>
      </c>
      <c r="E809" s="13" t="str">
        <f>IF(ISERROR(VLOOKUP(F809,Magic!H:H,1,0)),IF(ISERROR(VLOOKUP(F809,Magic!T:T,1,0)),"N","Y"),"Y")</f>
        <v>N</v>
      </c>
      <c r="F809" s="13">
        <v>807</v>
      </c>
    </row>
    <row r="810" spans="1:6" x14ac:dyDescent="0.25">
      <c r="A810" s="16">
        <v>42807</v>
      </c>
      <c r="B810" s="13" t="s">
        <v>24</v>
      </c>
      <c r="C810" s="13">
        <v>43</v>
      </c>
      <c r="D810" s="13">
        <v>749.25</v>
      </c>
      <c r="E810" s="13" t="str">
        <f>IF(ISERROR(VLOOKUP(F810,Magic!H:H,1,0)),IF(ISERROR(VLOOKUP(F810,Magic!T:T,1,0)),"N","Y"),"Y")</f>
        <v>N</v>
      </c>
      <c r="F810" s="13">
        <v>808</v>
      </c>
    </row>
    <row r="811" spans="1:6" x14ac:dyDescent="0.25">
      <c r="A811" s="16">
        <v>42807</v>
      </c>
      <c r="B811" s="13" t="s">
        <v>25</v>
      </c>
      <c r="C811" s="13">
        <v>44</v>
      </c>
      <c r="D811" s="13">
        <v>202.8</v>
      </c>
      <c r="E811" s="13" t="str">
        <f>IF(ISERROR(VLOOKUP(F811,Magic!H:H,1,0)),IF(ISERROR(VLOOKUP(F811,Magic!T:T,1,0)),"N","Y"),"Y")</f>
        <v>N</v>
      </c>
      <c r="F811" s="13">
        <v>809</v>
      </c>
    </row>
    <row r="812" spans="1:6" x14ac:dyDescent="0.25">
      <c r="A812" s="16">
        <v>42807</v>
      </c>
      <c r="B812" s="13" t="s">
        <v>25</v>
      </c>
      <c r="C812" s="13">
        <v>44</v>
      </c>
      <c r="D812" s="13">
        <v>334.6</v>
      </c>
      <c r="E812" s="13" t="str">
        <f>IF(ISERROR(VLOOKUP(F812,Magic!H:H,1,0)),IF(ISERROR(VLOOKUP(F812,Magic!T:T,1,0)),"N","Y"),"Y")</f>
        <v>N</v>
      </c>
      <c r="F812" s="13">
        <v>810</v>
      </c>
    </row>
    <row r="813" spans="1:6" x14ac:dyDescent="0.25">
      <c r="A813" s="16">
        <v>42807</v>
      </c>
      <c r="B813" s="13" t="s">
        <v>25</v>
      </c>
      <c r="C813" s="13">
        <v>44</v>
      </c>
      <c r="D813" s="13">
        <v>124.85</v>
      </c>
      <c r="E813" s="13" t="str">
        <f>IF(ISERROR(VLOOKUP(F813,Magic!H:H,1,0)),IF(ISERROR(VLOOKUP(F813,Magic!T:T,1,0)),"N","Y"),"Y")</f>
        <v>N</v>
      </c>
      <c r="F813" s="13">
        <v>811</v>
      </c>
    </row>
    <row r="814" spans="1:6" x14ac:dyDescent="0.25">
      <c r="A814" s="16">
        <v>42807</v>
      </c>
      <c r="B814" s="13" t="s">
        <v>27</v>
      </c>
      <c r="C814" s="13">
        <v>101</v>
      </c>
      <c r="D814" s="13">
        <v>622.25</v>
      </c>
      <c r="E814" s="13" t="str">
        <f>IF(ISERROR(VLOOKUP(F814,Magic!H:H,1,0)),IF(ISERROR(VLOOKUP(F814,Magic!T:T,1,0)),"N","Y"),"Y")</f>
        <v>N</v>
      </c>
      <c r="F814" s="13">
        <v>812</v>
      </c>
    </row>
    <row r="815" spans="1:6" x14ac:dyDescent="0.25">
      <c r="A815" s="16">
        <v>42807</v>
      </c>
      <c r="B815" s="13" t="s">
        <v>27</v>
      </c>
      <c r="C815" s="13">
        <v>101</v>
      </c>
      <c r="D815" s="13">
        <v>197.35</v>
      </c>
      <c r="E815" s="13" t="str">
        <f>IF(ISERROR(VLOOKUP(F815,Magic!H:H,1,0)),IF(ISERROR(VLOOKUP(F815,Magic!T:T,1,0)),"N","Y"),"Y")</f>
        <v>N</v>
      </c>
      <c r="F815" s="13">
        <v>813</v>
      </c>
    </row>
    <row r="816" spans="1:6" x14ac:dyDescent="0.25">
      <c r="A816" s="16">
        <v>42807</v>
      </c>
      <c r="B816" s="13" t="s">
        <v>27</v>
      </c>
      <c r="C816" s="13">
        <v>101</v>
      </c>
      <c r="D816" s="13">
        <v>75</v>
      </c>
      <c r="E816" s="13" t="str">
        <f>IF(ISERROR(VLOOKUP(F816,Magic!H:H,1,0)),IF(ISERROR(VLOOKUP(F816,Magic!T:T,1,0)),"N","Y"),"Y")</f>
        <v>N</v>
      </c>
      <c r="F816" s="13">
        <v>814</v>
      </c>
    </row>
    <row r="817" spans="1:6" x14ac:dyDescent="0.25">
      <c r="A817" s="16">
        <v>42807</v>
      </c>
      <c r="B817" s="13" t="s">
        <v>28</v>
      </c>
      <c r="C817" s="13">
        <v>103</v>
      </c>
      <c r="D817" s="13">
        <v>377.95</v>
      </c>
      <c r="E817" s="13" t="str">
        <f>IF(ISERROR(VLOOKUP(F817,Magic!H:H,1,0)),IF(ISERROR(VLOOKUP(F817,Magic!T:T,1,0)),"N","Y"),"Y")</f>
        <v>N</v>
      </c>
      <c r="F817" s="13">
        <v>815</v>
      </c>
    </row>
    <row r="818" spans="1:6" x14ac:dyDescent="0.25">
      <c r="A818" s="16">
        <v>42807</v>
      </c>
      <c r="B818" s="13" t="s">
        <v>28</v>
      </c>
      <c r="C818" s="13">
        <v>103</v>
      </c>
      <c r="D818" s="13">
        <v>567.85</v>
      </c>
      <c r="E818" s="13" t="str">
        <f>IF(ISERROR(VLOOKUP(F818,Magic!H:H,1,0)),IF(ISERROR(VLOOKUP(F818,Magic!T:T,1,0)),"N","Y"),"Y")</f>
        <v>N</v>
      </c>
      <c r="F818" s="13">
        <v>816</v>
      </c>
    </row>
    <row r="819" spans="1:6" x14ac:dyDescent="0.25">
      <c r="A819" s="16">
        <v>42808</v>
      </c>
      <c r="B819" s="13" t="s">
        <v>26</v>
      </c>
      <c r="C819" s="13">
        <v>38</v>
      </c>
      <c r="D819" s="13">
        <v>628.54999999999995</v>
      </c>
      <c r="E819" s="13" t="str">
        <f>IF(ISERROR(VLOOKUP(F819,Magic!H:H,1,0)),IF(ISERROR(VLOOKUP(F819,Magic!T:T,1,0)),"N","Y"),"Y")</f>
        <v>N</v>
      </c>
      <c r="F819" s="13">
        <v>817</v>
      </c>
    </row>
    <row r="820" spans="1:6" x14ac:dyDescent="0.25">
      <c r="A820" s="16">
        <v>42808</v>
      </c>
      <c r="B820" s="13" t="s">
        <v>82</v>
      </c>
      <c r="C820" s="13">
        <v>35</v>
      </c>
      <c r="D820" s="13">
        <v>380.5</v>
      </c>
      <c r="E820" s="13" t="str">
        <f>IF(ISERROR(VLOOKUP(F820,Magic!H:H,1,0)),IF(ISERROR(VLOOKUP(F820,Magic!T:T,1,0)),"N","Y"),"Y")</f>
        <v>N</v>
      </c>
      <c r="F820" s="13">
        <v>818</v>
      </c>
    </row>
    <row r="821" spans="1:6" x14ac:dyDescent="0.25">
      <c r="A821" s="16">
        <v>42808</v>
      </c>
      <c r="B821" s="13" t="s">
        <v>31</v>
      </c>
      <c r="C821" s="13">
        <v>37</v>
      </c>
      <c r="D821" s="13">
        <v>265.3</v>
      </c>
      <c r="E821" s="13" t="str">
        <f>IF(ISERROR(VLOOKUP(F821,Magic!H:H,1,0)),IF(ISERROR(VLOOKUP(F821,Magic!T:T,1,0)),"N","Y"),"Y")</f>
        <v>N</v>
      </c>
      <c r="F821" s="13">
        <v>819</v>
      </c>
    </row>
    <row r="822" spans="1:6" x14ac:dyDescent="0.25">
      <c r="A822" s="16">
        <v>42808</v>
      </c>
      <c r="B822" s="13" t="s">
        <v>26</v>
      </c>
      <c r="C822" s="13">
        <v>38</v>
      </c>
      <c r="D822" s="13">
        <v>2.4</v>
      </c>
      <c r="E822" s="13" t="str">
        <f>IF(ISERROR(VLOOKUP(F822,Magic!H:H,1,0)),IF(ISERROR(VLOOKUP(F822,Magic!T:T,1,0)),"N","Y"),"Y")</f>
        <v>N</v>
      </c>
      <c r="F822" s="13">
        <v>820</v>
      </c>
    </row>
    <row r="823" spans="1:6" x14ac:dyDescent="0.25">
      <c r="A823" s="16">
        <v>42808</v>
      </c>
      <c r="B823" s="13" t="s">
        <v>26</v>
      </c>
      <c r="C823" s="13">
        <v>38</v>
      </c>
      <c r="D823" s="13">
        <v>13.7</v>
      </c>
      <c r="E823" s="13" t="str">
        <f>IF(ISERROR(VLOOKUP(F823,Magic!H:H,1,0)),IF(ISERROR(VLOOKUP(F823,Magic!T:T,1,0)),"N","Y"),"Y")</f>
        <v>N</v>
      </c>
      <c r="F823" s="13">
        <v>821</v>
      </c>
    </row>
    <row r="824" spans="1:6" x14ac:dyDescent="0.25">
      <c r="A824" s="16">
        <v>42808</v>
      </c>
      <c r="B824" s="13" t="s">
        <v>26</v>
      </c>
      <c r="C824" s="13">
        <v>38</v>
      </c>
      <c r="D824" s="13">
        <v>23.2</v>
      </c>
      <c r="E824" s="13" t="str">
        <f>IF(ISERROR(VLOOKUP(F824,Magic!H:H,1,0)),IF(ISERROR(VLOOKUP(F824,Magic!T:T,1,0)),"N","Y"),"Y")</f>
        <v>N</v>
      </c>
      <c r="F824" s="13">
        <v>822</v>
      </c>
    </row>
    <row r="825" spans="1:6" x14ac:dyDescent="0.25">
      <c r="A825" s="16">
        <v>42808</v>
      </c>
      <c r="B825" s="13" t="s">
        <v>24</v>
      </c>
      <c r="C825" s="13">
        <v>43</v>
      </c>
      <c r="D825" s="13">
        <v>447.7</v>
      </c>
      <c r="E825" s="13" t="str">
        <f>IF(ISERROR(VLOOKUP(F825,Magic!H:H,1,0)),IF(ISERROR(VLOOKUP(F825,Magic!T:T,1,0)),"N","Y"),"Y")</f>
        <v>N</v>
      </c>
      <c r="F825" s="13">
        <v>823</v>
      </c>
    </row>
    <row r="826" spans="1:6" x14ac:dyDescent="0.25">
      <c r="A826" s="16">
        <v>42808</v>
      </c>
      <c r="B826" s="13" t="s">
        <v>25</v>
      </c>
      <c r="C826" s="13">
        <v>44</v>
      </c>
      <c r="D826" s="13">
        <v>385.4</v>
      </c>
      <c r="E826" s="13" t="str">
        <f>IF(ISERROR(VLOOKUP(F826,Magic!H:H,1,0)),IF(ISERROR(VLOOKUP(F826,Magic!T:T,1,0)),"N","Y"),"Y")</f>
        <v>N</v>
      </c>
      <c r="F826" s="13">
        <v>824</v>
      </c>
    </row>
    <row r="827" spans="1:6" x14ac:dyDescent="0.25">
      <c r="A827" s="16">
        <v>42808</v>
      </c>
      <c r="B827" s="13" t="s">
        <v>27</v>
      </c>
      <c r="C827" s="13">
        <v>101</v>
      </c>
      <c r="D827" s="13">
        <v>389.25</v>
      </c>
      <c r="E827" s="13" t="str">
        <f>IF(ISERROR(VLOOKUP(F827,Magic!H:H,1,0)),IF(ISERROR(VLOOKUP(F827,Magic!T:T,1,0)),"N","Y"),"Y")</f>
        <v>N</v>
      </c>
      <c r="F827" s="13">
        <v>825</v>
      </c>
    </row>
    <row r="828" spans="1:6" x14ac:dyDescent="0.25">
      <c r="A828" s="16">
        <v>42808</v>
      </c>
      <c r="B828" s="13" t="s">
        <v>28</v>
      </c>
      <c r="C828" s="13">
        <v>103</v>
      </c>
      <c r="D828" s="13">
        <v>1008.45</v>
      </c>
      <c r="E828" s="13" t="str">
        <f>IF(ISERROR(VLOOKUP(F828,Magic!H:H,1,0)),IF(ISERROR(VLOOKUP(F828,Magic!T:T,1,0)),"N","Y"),"Y")</f>
        <v>N</v>
      </c>
      <c r="F828" s="13">
        <v>826</v>
      </c>
    </row>
    <row r="829" spans="1:6" x14ac:dyDescent="0.25">
      <c r="A829" s="16">
        <v>42809</v>
      </c>
      <c r="B829" s="13" t="s">
        <v>29</v>
      </c>
      <c r="C829" s="13">
        <v>35</v>
      </c>
      <c r="D829" s="13">
        <v>495</v>
      </c>
      <c r="E829" s="13" t="str">
        <f>IF(ISERROR(VLOOKUP(F829,Magic!H:H,1,0)),IF(ISERROR(VLOOKUP(F829,Magic!T:T,1,0)),"N","Y"),"Y")</f>
        <v>N</v>
      </c>
      <c r="F829" s="13">
        <v>827</v>
      </c>
    </row>
    <row r="830" spans="1:6" x14ac:dyDescent="0.25">
      <c r="A830" s="16">
        <v>42809</v>
      </c>
      <c r="B830" s="13" t="s">
        <v>82</v>
      </c>
      <c r="C830" s="13">
        <v>35</v>
      </c>
      <c r="D830" s="13">
        <v>867.4</v>
      </c>
      <c r="E830" s="13" t="str">
        <f>IF(ISERROR(VLOOKUP(F830,Magic!H:H,1,0)),IF(ISERROR(VLOOKUP(F830,Magic!T:T,1,0)),"N","Y"),"Y")</f>
        <v>N</v>
      </c>
      <c r="F830" s="13">
        <v>828</v>
      </c>
    </row>
    <row r="831" spans="1:6" x14ac:dyDescent="0.25">
      <c r="A831" s="16">
        <v>42809</v>
      </c>
      <c r="B831" s="13" t="s">
        <v>31</v>
      </c>
      <c r="C831" s="13">
        <v>37</v>
      </c>
      <c r="D831" s="13">
        <v>397.45</v>
      </c>
      <c r="E831" s="13" t="str">
        <f>IF(ISERROR(VLOOKUP(F831,Magic!H:H,1,0)),IF(ISERROR(VLOOKUP(F831,Magic!T:T,1,0)),"N","Y"),"Y")</f>
        <v>N</v>
      </c>
      <c r="F831" s="13">
        <v>829</v>
      </c>
    </row>
    <row r="832" spans="1:6" x14ac:dyDescent="0.25">
      <c r="A832" s="16">
        <v>42809</v>
      </c>
      <c r="B832" s="13" t="s">
        <v>81</v>
      </c>
      <c r="C832" s="13">
        <v>41</v>
      </c>
      <c r="D832" s="13">
        <v>454.9</v>
      </c>
      <c r="E832" s="13" t="str">
        <f>IF(ISERROR(VLOOKUP(F832,Magic!H:H,1,0)),IF(ISERROR(VLOOKUP(F832,Magic!T:T,1,0)),"N","Y"),"Y")</f>
        <v>N</v>
      </c>
      <c r="F832" s="13">
        <v>830</v>
      </c>
    </row>
    <row r="833" spans="1:6" x14ac:dyDescent="0.25">
      <c r="A833" s="16">
        <v>42809</v>
      </c>
      <c r="B833" s="13" t="s">
        <v>81</v>
      </c>
      <c r="C833" s="13">
        <v>41</v>
      </c>
      <c r="D833" s="13">
        <v>314.8</v>
      </c>
      <c r="E833" s="13" t="str">
        <f>IF(ISERROR(VLOOKUP(F833,Magic!H:H,1,0)),IF(ISERROR(VLOOKUP(F833,Magic!T:T,1,0)),"N","Y"),"Y")</f>
        <v>N</v>
      </c>
      <c r="F833" s="13">
        <v>831</v>
      </c>
    </row>
    <row r="834" spans="1:6" x14ac:dyDescent="0.25">
      <c r="A834" s="16">
        <v>42809</v>
      </c>
      <c r="B834" s="13" t="s">
        <v>819</v>
      </c>
      <c r="C834" s="13">
        <v>43</v>
      </c>
      <c r="D834" s="13">
        <v>522.4</v>
      </c>
      <c r="E834" s="13" t="str">
        <f>IF(ISERROR(VLOOKUP(F834,Magic!H:H,1,0)),IF(ISERROR(VLOOKUP(F834,Magic!T:T,1,0)),"N","Y"),"Y")</f>
        <v>N</v>
      </c>
      <c r="F834" s="13">
        <v>832</v>
      </c>
    </row>
    <row r="835" spans="1:6" x14ac:dyDescent="0.25">
      <c r="A835" s="16">
        <v>42809</v>
      </c>
      <c r="B835" s="13" t="s">
        <v>25</v>
      </c>
      <c r="C835" s="13">
        <v>44</v>
      </c>
      <c r="D835" s="13">
        <v>375.1</v>
      </c>
      <c r="E835" s="13" t="str">
        <f>IF(ISERROR(VLOOKUP(F835,Magic!H:H,1,0)),IF(ISERROR(VLOOKUP(F835,Magic!T:T,1,0)),"N","Y"),"Y")</f>
        <v>N</v>
      </c>
      <c r="F835" s="13">
        <v>833</v>
      </c>
    </row>
    <row r="836" spans="1:6" x14ac:dyDescent="0.25">
      <c r="A836" s="16">
        <v>42809</v>
      </c>
      <c r="B836" s="13" t="s">
        <v>27</v>
      </c>
      <c r="C836" s="13">
        <v>101</v>
      </c>
      <c r="D836" s="13">
        <v>500.7</v>
      </c>
      <c r="E836" s="13" t="str">
        <f>IF(ISERROR(VLOOKUP(F836,Magic!H:H,1,0)),IF(ISERROR(VLOOKUP(F836,Magic!T:T,1,0)),"N","Y"),"Y")</f>
        <v>N</v>
      </c>
      <c r="F836" s="13">
        <v>834</v>
      </c>
    </row>
    <row r="837" spans="1:6" x14ac:dyDescent="0.25">
      <c r="A837" s="16">
        <v>42809</v>
      </c>
      <c r="B837" s="13" t="s">
        <v>28</v>
      </c>
      <c r="C837" s="13">
        <v>103</v>
      </c>
      <c r="D837" s="13">
        <v>1050</v>
      </c>
      <c r="E837" s="13" t="str">
        <f>IF(ISERROR(VLOOKUP(F837,Magic!H:H,1,0)),IF(ISERROR(VLOOKUP(F837,Magic!T:T,1,0)),"N","Y"),"Y")</f>
        <v>N</v>
      </c>
      <c r="F837" s="13">
        <v>835</v>
      </c>
    </row>
    <row r="838" spans="1:6" x14ac:dyDescent="0.25">
      <c r="A838" s="16">
        <v>42809</v>
      </c>
      <c r="B838" s="13" t="s">
        <v>611</v>
      </c>
      <c r="C838" s="13">
        <v>201</v>
      </c>
      <c r="D838" s="13">
        <v>621</v>
      </c>
      <c r="E838" s="13" t="str">
        <f>IF(ISERROR(VLOOKUP(F838,Magic!H:H,1,0)),IF(ISERROR(VLOOKUP(F838,Magic!T:T,1,0)),"N","Y"),"Y")</f>
        <v>N</v>
      </c>
      <c r="F838" s="13">
        <v>836</v>
      </c>
    </row>
    <row r="839" spans="1:6" x14ac:dyDescent="0.25">
      <c r="A839" s="16">
        <v>42809</v>
      </c>
      <c r="B839" s="13" t="s">
        <v>611</v>
      </c>
      <c r="C839" s="13">
        <v>201</v>
      </c>
      <c r="D839" s="13">
        <v>590</v>
      </c>
      <c r="E839" s="13" t="str">
        <f>IF(ISERROR(VLOOKUP(F839,Magic!H:H,1,0)),IF(ISERROR(VLOOKUP(F839,Magic!T:T,1,0)),"N","Y"),"Y")</f>
        <v>N</v>
      </c>
      <c r="F839" s="13">
        <v>837</v>
      </c>
    </row>
    <row r="840" spans="1:6" x14ac:dyDescent="0.25">
      <c r="A840" s="16">
        <v>42809</v>
      </c>
      <c r="B840" s="13" t="s">
        <v>611</v>
      </c>
      <c r="C840" s="13">
        <v>201</v>
      </c>
      <c r="D840" s="13">
        <v>509.65</v>
      </c>
      <c r="E840" s="13" t="str">
        <f>IF(ISERROR(VLOOKUP(F840,Magic!H:H,1,0)),IF(ISERROR(VLOOKUP(F840,Magic!T:T,1,0)),"N","Y"),"Y")</f>
        <v>N</v>
      </c>
      <c r="F840" s="13">
        <v>838</v>
      </c>
    </row>
    <row r="841" spans="1:6" x14ac:dyDescent="0.25">
      <c r="A841" s="16">
        <v>42809</v>
      </c>
      <c r="B841" s="13" t="s">
        <v>611</v>
      </c>
      <c r="C841" s="13">
        <v>201</v>
      </c>
      <c r="D841" s="13">
        <v>417.95</v>
      </c>
      <c r="E841" s="13" t="str">
        <f>IF(ISERROR(VLOOKUP(F841,Magic!H:H,1,0)),IF(ISERROR(VLOOKUP(F841,Magic!T:T,1,0)),"N","Y"),"Y")</f>
        <v>N</v>
      </c>
      <c r="F841" s="13">
        <v>839</v>
      </c>
    </row>
    <row r="842" spans="1:6" x14ac:dyDescent="0.25">
      <c r="A842" s="16">
        <v>42809</v>
      </c>
      <c r="B842" s="13" t="s">
        <v>611</v>
      </c>
      <c r="C842" s="13">
        <v>201</v>
      </c>
      <c r="D842" s="13">
        <v>402</v>
      </c>
      <c r="E842" s="13" t="str">
        <f>IF(ISERROR(VLOOKUP(F842,Magic!H:H,1,0)),IF(ISERROR(VLOOKUP(F842,Magic!T:T,1,0)),"N","Y"),"Y")</f>
        <v>N</v>
      </c>
      <c r="F842" s="13">
        <v>840</v>
      </c>
    </row>
    <row r="843" spans="1:6" x14ac:dyDescent="0.25">
      <c r="A843" s="16">
        <v>42809</v>
      </c>
      <c r="B843" s="13" t="s">
        <v>611</v>
      </c>
      <c r="C843" s="13">
        <v>201</v>
      </c>
      <c r="D843" s="13">
        <v>258</v>
      </c>
      <c r="E843" s="13" t="str">
        <f>IF(ISERROR(VLOOKUP(F843,Magic!H:H,1,0)),IF(ISERROR(VLOOKUP(F843,Magic!T:T,1,0)),"N","Y"),"Y")</f>
        <v>N</v>
      </c>
      <c r="F843" s="13">
        <v>841</v>
      </c>
    </row>
    <row r="844" spans="1:6" x14ac:dyDescent="0.25">
      <c r="A844" s="16">
        <v>42809</v>
      </c>
      <c r="B844" s="13" t="s">
        <v>611</v>
      </c>
      <c r="C844" s="13">
        <v>201</v>
      </c>
      <c r="D844" s="13">
        <v>206</v>
      </c>
      <c r="E844" s="13" t="str">
        <f>IF(ISERROR(VLOOKUP(F844,Magic!H:H,1,0)),IF(ISERROR(VLOOKUP(F844,Magic!T:T,1,0)),"N","Y"),"Y")</f>
        <v>N</v>
      </c>
      <c r="F844" s="13">
        <v>842</v>
      </c>
    </row>
    <row r="845" spans="1:6" x14ac:dyDescent="0.25">
      <c r="A845" s="16">
        <v>42809</v>
      </c>
      <c r="B845" s="13" t="s">
        <v>611</v>
      </c>
      <c r="C845" s="13">
        <v>201</v>
      </c>
      <c r="D845" s="13">
        <v>159.94999999999999</v>
      </c>
      <c r="E845" s="13" t="str">
        <f>IF(ISERROR(VLOOKUP(F845,Magic!H:H,1,0)),IF(ISERROR(VLOOKUP(F845,Magic!T:T,1,0)),"N","Y"),"Y")</f>
        <v>N</v>
      </c>
      <c r="F845" s="13">
        <v>843</v>
      </c>
    </row>
    <row r="846" spans="1:6" x14ac:dyDescent="0.25">
      <c r="A846" s="16">
        <v>42809</v>
      </c>
      <c r="B846" s="13" t="s">
        <v>355</v>
      </c>
      <c r="C846" s="13">
        <v>103</v>
      </c>
      <c r="D846" s="13">
        <v>25.6</v>
      </c>
      <c r="E846" s="13" t="str">
        <f>IF(ISERROR(VLOOKUP(F846,Magic!H:H,1,0)),IF(ISERROR(VLOOKUP(F846,Magic!T:T,1,0)),"N","Y"),"Y")</f>
        <v>N</v>
      </c>
      <c r="F846" s="13">
        <v>844</v>
      </c>
    </row>
    <row r="847" spans="1:6" x14ac:dyDescent="0.25">
      <c r="A847" s="16">
        <v>42810</v>
      </c>
      <c r="B847" s="13" t="s">
        <v>26</v>
      </c>
      <c r="C847" s="13">
        <v>38</v>
      </c>
      <c r="D847" s="13">
        <v>865.25</v>
      </c>
      <c r="E847" s="13" t="str">
        <f>IF(ISERROR(VLOOKUP(F847,Magic!H:H,1,0)),IF(ISERROR(VLOOKUP(F847,Magic!T:T,1,0)),"N","Y"),"Y")</f>
        <v>N</v>
      </c>
      <c r="F847" s="13">
        <v>845</v>
      </c>
    </row>
    <row r="848" spans="1:6" x14ac:dyDescent="0.25">
      <c r="A848" s="16">
        <v>42810</v>
      </c>
      <c r="B848" s="13" t="s">
        <v>82</v>
      </c>
      <c r="C848" s="13">
        <v>35</v>
      </c>
      <c r="D848" s="13">
        <v>4.8499999999999996</v>
      </c>
      <c r="E848" s="13" t="str">
        <f>IF(ISERROR(VLOOKUP(F848,Magic!H:H,1,0)),IF(ISERROR(VLOOKUP(F848,Magic!T:T,1,0)),"N","Y"),"Y")</f>
        <v>N</v>
      </c>
      <c r="F848" s="13">
        <v>846</v>
      </c>
    </row>
    <row r="849" spans="1:6" x14ac:dyDescent="0.25">
      <c r="A849" s="16">
        <v>42810</v>
      </c>
      <c r="B849" s="13" t="s">
        <v>31</v>
      </c>
      <c r="C849" s="13">
        <v>37</v>
      </c>
      <c r="D849" s="13">
        <v>314</v>
      </c>
      <c r="E849" s="13" t="str">
        <f>IF(ISERROR(VLOOKUP(F849,Magic!H:H,1,0)),IF(ISERROR(VLOOKUP(F849,Magic!T:T,1,0)),"N","Y"),"Y")</f>
        <v>N</v>
      </c>
      <c r="F849" s="13">
        <v>847</v>
      </c>
    </row>
    <row r="850" spans="1:6" x14ac:dyDescent="0.25">
      <c r="A850" s="16">
        <v>42810</v>
      </c>
      <c r="B850" s="13" t="s">
        <v>26</v>
      </c>
      <c r="C850" s="13">
        <v>38</v>
      </c>
      <c r="D850" s="13">
        <v>702.6</v>
      </c>
      <c r="E850" s="13" t="str">
        <f>IF(ISERROR(VLOOKUP(F850,Magic!H:H,1,0)),IF(ISERROR(VLOOKUP(F850,Magic!T:T,1,0)),"N","Y"),"Y")</f>
        <v>N</v>
      </c>
      <c r="F850" s="13">
        <v>848</v>
      </c>
    </row>
    <row r="851" spans="1:6" x14ac:dyDescent="0.25">
      <c r="A851" s="16">
        <v>42810</v>
      </c>
      <c r="B851" s="13" t="s">
        <v>24</v>
      </c>
      <c r="C851" s="13">
        <v>43</v>
      </c>
      <c r="D851" s="13">
        <v>582.45000000000005</v>
      </c>
      <c r="E851" s="13" t="str">
        <f>IF(ISERROR(VLOOKUP(F851,Magic!H:H,1,0)),IF(ISERROR(VLOOKUP(F851,Magic!T:T,1,0)),"N","Y"),"Y")</f>
        <v>N</v>
      </c>
      <c r="F851" s="13">
        <v>849</v>
      </c>
    </row>
    <row r="852" spans="1:6" x14ac:dyDescent="0.25">
      <c r="A852" s="16">
        <v>42810</v>
      </c>
      <c r="B852" s="13" t="s">
        <v>25</v>
      </c>
      <c r="C852" s="13">
        <v>44</v>
      </c>
      <c r="D852" s="13">
        <v>328.05</v>
      </c>
      <c r="E852" s="13" t="str">
        <f>IF(ISERROR(VLOOKUP(F852,Magic!H:H,1,0)),IF(ISERROR(VLOOKUP(F852,Magic!T:T,1,0)),"N","Y"),"Y")</f>
        <v>N</v>
      </c>
      <c r="F852" s="13">
        <v>850</v>
      </c>
    </row>
    <row r="853" spans="1:6" x14ac:dyDescent="0.25">
      <c r="A853" s="16">
        <v>42810</v>
      </c>
      <c r="B853" s="13" t="s">
        <v>27</v>
      </c>
      <c r="C853" s="13">
        <v>101</v>
      </c>
      <c r="D853" s="13">
        <v>473.3</v>
      </c>
      <c r="E853" s="13" t="str">
        <f>IF(ISERROR(VLOOKUP(F853,Magic!H:H,1,0)),IF(ISERROR(VLOOKUP(F853,Magic!T:T,1,0)),"N","Y"),"Y")</f>
        <v>N</v>
      </c>
      <c r="F853" s="13">
        <v>851</v>
      </c>
    </row>
    <row r="854" spans="1:6" x14ac:dyDescent="0.25">
      <c r="A854" s="16">
        <v>42810</v>
      </c>
      <c r="B854" s="13" t="s">
        <v>28</v>
      </c>
      <c r="C854" s="13">
        <v>103</v>
      </c>
      <c r="D854" s="13">
        <v>1172.3</v>
      </c>
      <c r="E854" s="13" t="str">
        <f>IF(ISERROR(VLOOKUP(F854,Magic!H:H,1,0)),IF(ISERROR(VLOOKUP(F854,Magic!T:T,1,0)),"N","Y"),"Y")</f>
        <v>N</v>
      </c>
      <c r="F854" s="13">
        <v>852</v>
      </c>
    </row>
    <row r="855" spans="1:6" x14ac:dyDescent="0.25">
      <c r="A855" s="16">
        <v>42812</v>
      </c>
      <c r="B855" s="13" t="s">
        <v>28</v>
      </c>
      <c r="C855" s="13">
        <v>103</v>
      </c>
      <c r="D855" s="13">
        <v>641.5</v>
      </c>
      <c r="E855" s="13" t="str">
        <f>IF(ISERROR(VLOOKUP(F855,Magic!H:H,1,0)),IF(ISERROR(VLOOKUP(F855,Magic!T:T,1,0)),"N","Y"),"Y")</f>
        <v>N</v>
      </c>
      <c r="F855" s="13">
        <v>853</v>
      </c>
    </row>
    <row r="856" spans="1:6" x14ac:dyDescent="0.25">
      <c r="A856" s="16">
        <v>42811</v>
      </c>
      <c r="B856" s="13" t="s">
        <v>82</v>
      </c>
      <c r="C856" s="13">
        <v>35</v>
      </c>
      <c r="D856" s="13">
        <v>711.5</v>
      </c>
      <c r="E856" s="13" t="str">
        <f>IF(ISERROR(VLOOKUP(F856,Magic!H:H,1,0)),IF(ISERROR(VLOOKUP(F856,Magic!T:T,1,0)),"N","Y"),"Y")</f>
        <v>N</v>
      </c>
      <c r="F856" s="13">
        <v>854</v>
      </c>
    </row>
    <row r="857" spans="1:6" x14ac:dyDescent="0.25">
      <c r="A857" s="16">
        <v>42811</v>
      </c>
      <c r="B857" s="13" t="s">
        <v>146</v>
      </c>
      <c r="C857" s="13">
        <v>37</v>
      </c>
      <c r="D857" s="13">
        <v>535.75</v>
      </c>
      <c r="E857" s="13" t="str">
        <f>IF(ISERROR(VLOOKUP(F857,Magic!H:H,1,0)),IF(ISERROR(VLOOKUP(F857,Magic!T:T,1,0)),"N","Y"),"Y")</f>
        <v>N</v>
      </c>
      <c r="F857" s="13">
        <v>855</v>
      </c>
    </row>
    <row r="858" spans="1:6" x14ac:dyDescent="0.25">
      <c r="A858" s="16">
        <v>42811</v>
      </c>
      <c r="B858" s="13" t="s">
        <v>31</v>
      </c>
      <c r="C858" s="13">
        <v>37</v>
      </c>
      <c r="D858" s="13">
        <v>1.5</v>
      </c>
      <c r="E858" s="13" t="str">
        <f>IF(ISERROR(VLOOKUP(F858,Magic!H:H,1,0)),IF(ISERROR(VLOOKUP(F858,Magic!T:T,1,0)),"N","Y"),"Y")</f>
        <v>N</v>
      </c>
      <c r="F858" s="13">
        <v>856</v>
      </c>
    </row>
    <row r="859" spans="1:6" x14ac:dyDescent="0.25">
      <c r="A859" s="16">
        <v>42811</v>
      </c>
      <c r="B859" s="13" t="s">
        <v>26</v>
      </c>
      <c r="C859" s="13">
        <v>38</v>
      </c>
      <c r="D859" s="13">
        <v>1094.55</v>
      </c>
      <c r="E859" s="13" t="str">
        <f>IF(ISERROR(VLOOKUP(F859,Magic!H:H,1,0)),IF(ISERROR(VLOOKUP(F859,Magic!T:T,1,0)),"N","Y"),"Y")</f>
        <v>N</v>
      </c>
      <c r="F859" s="13">
        <v>857</v>
      </c>
    </row>
    <row r="860" spans="1:6" x14ac:dyDescent="0.25">
      <c r="A860" s="16">
        <v>42811</v>
      </c>
      <c r="B860" s="13" t="s">
        <v>81</v>
      </c>
      <c r="C860" s="13">
        <v>41</v>
      </c>
      <c r="D860" s="13">
        <v>531.4</v>
      </c>
      <c r="E860" s="13" t="str">
        <f>IF(ISERROR(VLOOKUP(F860,Magic!H:H,1,0)),IF(ISERROR(VLOOKUP(F860,Magic!T:T,1,0)),"N","Y"),"Y")</f>
        <v>N</v>
      </c>
      <c r="F860" s="13">
        <v>858</v>
      </c>
    </row>
    <row r="861" spans="1:6" x14ac:dyDescent="0.25">
      <c r="A861" s="16">
        <v>42811</v>
      </c>
      <c r="B861" s="13" t="s">
        <v>81</v>
      </c>
      <c r="C861" s="13">
        <v>41</v>
      </c>
      <c r="D861" s="13">
        <v>483.4</v>
      </c>
      <c r="E861" s="13" t="str">
        <f>IF(ISERROR(VLOOKUP(F861,Magic!H:H,1,0)),IF(ISERROR(VLOOKUP(F861,Magic!T:T,1,0)),"N","Y"),"Y")</f>
        <v>N</v>
      </c>
      <c r="F861" s="13">
        <v>859</v>
      </c>
    </row>
    <row r="862" spans="1:6" x14ac:dyDescent="0.25">
      <c r="A862" s="16">
        <v>42811</v>
      </c>
      <c r="B862" s="13" t="s">
        <v>819</v>
      </c>
      <c r="C862" s="13">
        <v>43</v>
      </c>
      <c r="D862" s="13">
        <v>919.3</v>
      </c>
      <c r="E862" s="13" t="str">
        <f>IF(ISERROR(VLOOKUP(F862,Magic!H:H,1,0)),IF(ISERROR(VLOOKUP(F862,Magic!T:T,1,0)),"N","Y"),"Y")</f>
        <v>N</v>
      </c>
      <c r="F862" s="13">
        <v>860</v>
      </c>
    </row>
    <row r="863" spans="1:6" x14ac:dyDescent="0.25">
      <c r="A863" s="16">
        <v>42811</v>
      </c>
      <c r="B863" s="13" t="s">
        <v>27</v>
      </c>
      <c r="C863" s="13">
        <v>101</v>
      </c>
      <c r="D863" s="13">
        <v>578.45000000000005</v>
      </c>
      <c r="E863" s="13" t="str">
        <f>IF(ISERROR(VLOOKUP(F863,Magic!H:H,1,0)),IF(ISERROR(VLOOKUP(F863,Magic!T:T,1,0)),"N","Y"),"Y")</f>
        <v>N</v>
      </c>
      <c r="F863" s="13">
        <v>861</v>
      </c>
    </row>
    <row r="864" spans="1:6" x14ac:dyDescent="0.25">
      <c r="A864" s="16">
        <v>42811</v>
      </c>
      <c r="B864" s="13" t="s">
        <v>28</v>
      </c>
      <c r="C864" s="13">
        <v>103</v>
      </c>
      <c r="D864" s="13">
        <v>1381.15</v>
      </c>
      <c r="E864" s="13" t="str">
        <f>IF(ISERROR(VLOOKUP(F864,Magic!H:H,1,0)),IF(ISERROR(VLOOKUP(F864,Magic!T:T,1,0)),"N","Y"),"Y")</f>
        <v>N</v>
      </c>
      <c r="F864" s="13">
        <v>862</v>
      </c>
    </row>
    <row r="865" spans="1:6" x14ac:dyDescent="0.25">
      <c r="A865" s="16">
        <v>42811</v>
      </c>
      <c r="B865" s="13" t="s">
        <v>510</v>
      </c>
      <c r="C865" s="13">
        <v>44</v>
      </c>
      <c r="D865" s="13">
        <v>206.65</v>
      </c>
      <c r="E865" s="13" t="str">
        <f>IF(ISERROR(VLOOKUP(F865,Magic!H:H,1,0)),IF(ISERROR(VLOOKUP(F865,Magic!T:T,1,0)),"N","Y"),"Y")</f>
        <v>N</v>
      </c>
      <c r="F865" s="13">
        <v>863</v>
      </c>
    </row>
    <row r="866" spans="1:6" x14ac:dyDescent="0.25">
      <c r="A866" s="16">
        <v>42814</v>
      </c>
      <c r="B866" s="13" t="s">
        <v>29</v>
      </c>
      <c r="C866" s="13">
        <v>35</v>
      </c>
      <c r="D866" s="13">
        <v>680</v>
      </c>
      <c r="E866" s="13" t="str">
        <f>IF(ISERROR(VLOOKUP(F866,Magic!H:H,1,0)),IF(ISERROR(VLOOKUP(F866,Magic!T:T,1,0)),"N","Y"),"Y")</f>
        <v>N</v>
      </c>
      <c r="F866" s="13">
        <v>864</v>
      </c>
    </row>
    <row r="867" spans="1:6" x14ac:dyDescent="0.25">
      <c r="A867" s="16">
        <v>42814</v>
      </c>
      <c r="B867" s="13" t="s">
        <v>82</v>
      </c>
      <c r="C867" s="13">
        <v>35</v>
      </c>
      <c r="D867" s="13">
        <v>562.5</v>
      </c>
      <c r="E867" s="13" t="str">
        <f>IF(ISERROR(VLOOKUP(F867,Magic!H:H,1,0)),IF(ISERROR(VLOOKUP(F867,Magic!T:T,1,0)),"N","Y"),"Y")</f>
        <v>N</v>
      </c>
      <c r="F867" s="13">
        <v>865</v>
      </c>
    </row>
    <row r="868" spans="1:6" x14ac:dyDescent="0.25">
      <c r="A868" s="16">
        <v>42814</v>
      </c>
      <c r="B868" s="13" t="s">
        <v>82</v>
      </c>
      <c r="C868" s="13">
        <v>35</v>
      </c>
      <c r="D868" s="13">
        <v>820.35</v>
      </c>
      <c r="E868" s="13" t="str">
        <f>IF(ISERROR(VLOOKUP(F868,Magic!H:H,1,0)),IF(ISERROR(VLOOKUP(F868,Magic!T:T,1,0)),"N","Y"),"Y")</f>
        <v>N</v>
      </c>
      <c r="F868" s="13">
        <v>866</v>
      </c>
    </row>
    <row r="869" spans="1:6" x14ac:dyDescent="0.25">
      <c r="A869" s="16">
        <v>42814</v>
      </c>
      <c r="B869" s="13" t="s">
        <v>57</v>
      </c>
      <c r="C869" s="13">
        <v>35</v>
      </c>
      <c r="D869" s="13">
        <v>895.55</v>
      </c>
      <c r="E869" s="13" t="str">
        <f>IF(ISERROR(VLOOKUP(F869,Magic!H:H,1,0)),IF(ISERROR(VLOOKUP(F869,Magic!T:T,1,0)),"N","Y"),"Y")</f>
        <v>N</v>
      </c>
      <c r="F869" s="13">
        <v>867</v>
      </c>
    </row>
    <row r="870" spans="1:6" x14ac:dyDescent="0.25">
      <c r="A870" s="16">
        <v>42814</v>
      </c>
      <c r="B870" s="13" t="s">
        <v>870</v>
      </c>
      <c r="C870" s="13">
        <v>37</v>
      </c>
      <c r="D870" s="13">
        <v>418.7</v>
      </c>
      <c r="E870" s="13" t="str">
        <f>IF(ISERROR(VLOOKUP(F870,Magic!H:H,1,0)),IF(ISERROR(VLOOKUP(F870,Magic!T:T,1,0)),"N","Y"),"Y")</f>
        <v>N</v>
      </c>
      <c r="F870" s="13">
        <v>869</v>
      </c>
    </row>
    <row r="871" spans="1:6" x14ac:dyDescent="0.25">
      <c r="A871" s="16">
        <v>42814</v>
      </c>
      <c r="B871" s="13" t="s">
        <v>31</v>
      </c>
      <c r="C871" s="13">
        <v>37</v>
      </c>
      <c r="D871" s="13">
        <v>164.85</v>
      </c>
      <c r="E871" s="13" t="str">
        <f>IF(ISERROR(VLOOKUP(F871,Magic!H:H,1,0)),IF(ISERROR(VLOOKUP(F871,Magic!T:T,1,0)),"N","Y"),"Y")</f>
        <v>N</v>
      </c>
      <c r="F871" s="13">
        <v>870</v>
      </c>
    </row>
    <row r="872" spans="1:6" x14ac:dyDescent="0.25">
      <c r="A872" s="16">
        <v>42814</v>
      </c>
      <c r="B872" s="13" t="s">
        <v>31</v>
      </c>
      <c r="C872" s="13">
        <v>37</v>
      </c>
      <c r="D872" s="13">
        <v>179.8</v>
      </c>
      <c r="E872" s="13" t="str">
        <f>IF(ISERROR(VLOOKUP(F872,Magic!H:H,1,0)),IF(ISERROR(VLOOKUP(F872,Magic!T:T,1,0)),"N","Y"),"Y")</f>
        <v>N</v>
      </c>
      <c r="F872" s="13">
        <v>871</v>
      </c>
    </row>
    <row r="873" spans="1:6" x14ac:dyDescent="0.25">
      <c r="A873" s="16">
        <v>42814</v>
      </c>
      <c r="B873" s="13" t="s">
        <v>26</v>
      </c>
      <c r="C873" s="13">
        <v>38</v>
      </c>
      <c r="D873" s="13">
        <v>292.8</v>
      </c>
      <c r="E873" s="13" t="str">
        <f>IF(ISERROR(VLOOKUP(F873,Magic!H:H,1,0)),IF(ISERROR(VLOOKUP(F873,Magic!T:T,1,0)),"N","Y"),"Y")</f>
        <v>N</v>
      </c>
      <c r="F873" s="13">
        <v>872</v>
      </c>
    </row>
    <row r="874" spans="1:6" x14ac:dyDescent="0.25">
      <c r="A874" s="16">
        <v>42814</v>
      </c>
      <c r="B874" s="13" t="s">
        <v>26</v>
      </c>
      <c r="C874" s="13">
        <v>38</v>
      </c>
      <c r="D874" s="13">
        <v>982.45</v>
      </c>
      <c r="E874" s="13" t="str">
        <f>IF(ISERROR(VLOOKUP(F874,Magic!H:H,1,0)),IF(ISERROR(VLOOKUP(F874,Magic!T:T,1,0)),"N","Y"),"Y")</f>
        <v>N</v>
      </c>
      <c r="F874" s="13">
        <v>873</v>
      </c>
    </row>
    <row r="875" spans="1:6" x14ac:dyDescent="0.25">
      <c r="A875" s="16">
        <v>42814</v>
      </c>
      <c r="B875" s="13" t="s">
        <v>81</v>
      </c>
      <c r="C875" s="13">
        <v>41</v>
      </c>
      <c r="D875" s="13">
        <v>124.95</v>
      </c>
      <c r="E875" s="13" t="str">
        <f>IF(ISERROR(VLOOKUP(F875,Magic!H:H,1,0)),IF(ISERROR(VLOOKUP(F875,Magic!T:T,1,0)),"N","Y"),"Y")</f>
        <v>N</v>
      </c>
      <c r="F875" s="13">
        <v>874</v>
      </c>
    </row>
    <row r="876" spans="1:6" x14ac:dyDescent="0.25">
      <c r="A876" s="16">
        <v>42814</v>
      </c>
      <c r="B876" s="13" t="s">
        <v>81</v>
      </c>
      <c r="C876" s="13">
        <v>41</v>
      </c>
      <c r="D876" s="13">
        <v>332.85</v>
      </c>
      <c r="E876" s="13" t="str">
        <f>IF(ISERROR(VLOOKUP(F876,Magic!H:H,1,0)),IF(ISERROR(VLOOKUP(F876,Magic!T:T,1,0)),"N","Y"),"Y")</f>
        <v>N</v>
      </c>
      <c r="F876" s="13">
        <v>875</v>
      </c>
    </row>
    <row r="877" spans="1:6" x14ac:dyDescent="0.25">
      <c r="A877" s="16">
        <v>42814</v>
      </c>
      <c r="B877" s="13" t="s">
        <v>56</v>
      </c>
      <c r="C877" s="13">
        <v>41</v>
      </c>
      <c r="D877" s="13">
        <v>225.8</v>
      </c>
      <c r="E877" s="13" t="str">
        <f>IF(ISERROR(VLOOKUP(F877,Magic!H:H,1,0)),IF(ISERROR(VLOOKUP(F877,Magic!T:T,1,0)),"N","Y"),"Y")</f>
        <v>N</v>
      </c>
      <c r="F877" s="13">
        <v>876</v>
      </c>
    </row>
    <row r="878" spans="1:6" x14ac:dyDescent="0.25">
      <c r="A878" s="16">
        <v>42814</v>
      </c>
      <c r="B878" s="13" t="s">
        <v>472</v>
      </c>
      <c r="C878" s="13">
        <v>43</v>
      </c>
      <c r="D878" s="13">
        <v>837.5</v>
      </c>
      <c r="E878" s="13" t="str">
        <f>IF(ISERROR(VLOOKUP(F878,Magic!H:H,1,0)),IF(ISERROR(VLOOKUP(F878,Magic!T:T,1,0)),"N","Y"),"Y")</f>
        <v>N</v>
      </c>
      <c r="F878" s="13">
        <v>877</v>
      </c>
    </row>
    <row r="879" spans="1:6" x14ac:dyDescent="0.25">
      <c r="A879" s="16">
        <v>42814</v>
      </c>
      <c r="B879" s="13" t="s">
        <v>472</v>
      </c>
      <c r="C879" s="13">
        <v>43</v>
      </c>
      <c r="D879" s="13">
        <v>389.8</v>
      </c>
      <c r="E879" s="13" t="str">
        <f>IF(ISERROR(VLOOKUP(F879,Magic!H:H,1,0)),IF(ISERROR(VLOOKUP(F879,Magic!T:T,1,0)),"N","Y"),"Y")</f>
        <v>N</v>
      </c>
      <c r="F879" s="13">
        <v>878</v>
      </c>
    </row>
    <row r="880" spans="1:6" x14ac:dyDescent="0.25">
      <c r="A880" s="16">
        <v>42814</v>
      </c>
      <c r="B880" s="13" t="s">
        <v>25</v>
      </c>
      <c r="C880" s="13">
        <v>44</v>
      </c>
      <c r="D880" s="13">
        <v>380.45</v>
      </c>
      <c r="E880" s="13" t="str">
        <f>IF(ISERROR(VLOOKUP(F880,Magic!H:H,1,0)),IF(ISERROR(VLOOKUP(F880,Magic!T:T,1,0)),"N","Y"),"Y")</f>
        <v>N</v>
      </c>
      <c r="F880" s="13">
        <v>879</v>
      </c>
    </row>
    <row r="881" spans="1:6" x14ac:dyDescent="0.25">
      <c r="A881" s="16">
        <v>42814</v>
      </c>
      <c r="B881" s="13" t="s">
        <v>25</v>
      </c>
      <c r="C881" s="13">
        <v>44</v>
      </c>
      <c r="D881" s="13">
        <v>237.6</v>
      </c>
      <c r="E881" s="13" t="str">
        <f>IF(ISERROR(VLOOKUP(F881,Magic!H:H,1,0)),IF(ISERROR(VLOOKUP(F881,Magic!T:T,1,0)),"N","Y"),"Y")</f>
        <v>N</v>
      </c>
      <c r="F881" s="13">
        <v>880</v>
      </c>
    </row>
    <row r="882" spans="1:6" x14ac:dyDescent="0.25">
      <c r="A882" s="16">
        <v>42814</v>
      </c>
      <c r="B882" s="13" t="s">
        <v>25</v>
      </c>
      <c r="C882" s="13">
        <v>44</v>
      </c>
      <c r="D882" s="13">
        <v>134.75</v>
      </c>
      <c r="E882" s="13" t="str">
        <f>IF(ISERROR(VLOOKUP(F882,Magic!H:H,1,0)),IF(ISERROR(VLOOKUP(F882,Magic!T:T,1,0)),"N","Y"),"Y")</f>
        <v>N</v>
      </c>
      <c r="F882" s="13">
        <v>881</v>
      </c>
    </row>
    <row r="883" spans="1:6" x14ac:dyDescent="0.25">
      <c r="A883" s="16">
        <v>42814</v>
      </c>
      <c r="B883" s="13" t="s">
        <v>27</v>
      </c>
      <c r="C883" s="13">
        <v>101</v>
      </c>
      <c r="D883" s="13">
        <v>366.6</v>
      </c>
      <c r="E883" s="13" t="str">
        <f>IF(ISERROR(VLOOKUP(F883,Magic!H:H,1,0)),IF(ISERROR(VLOOKUP(F883,Magic!T:T,1,0)),"N","Y"),"Y")</f>
        <v>N</v>
      </c>
      <c r="F883" s="13">
        <v>882</v>
      </c>
    </row>
    <row r="884" spans="1:6" x14ac:dyDescent="0.25">
      <c r="A884" s="16">
        <v>42814</v>
      </c>
      <c r="B884" s="13" t="s">
        <v>27</v>
      </c>
      <c r="C884" s="13">
        <v>101</v>
      </c>
      <c r="D884" s="13">
        <v>233.8</v>
      </c>
      <c r="E884" s="13" t="str">
        <f>IF(ISERROR(VLOOKUP(F884,Magic!H:H,1,0)),IF(ISERROR(VLOOKUP(F884,Magic!T:T,1,0)),"N","Y"),"Y")</f>
        <v>N</v>
      </c>
      <c r="F884" s="13">
        <v>883</v>
      </c>
    </row>
    <row r="885" spans="1:6" x14ac:dyDescent="0.25">
      <c r="A885" s="16">
        <v>42814</v>
      </c>
      <c r="B885" s="13" t="s">
        <v>27</v>
      </c>
      <c r="C885" s="13">
        <v>101</v>
      </c>
      <c r="D885" s="13">
        <v>162.80000000000001</v>
      </c>
      <c r="E885" s="13" t="str">
        <f>IF(ISERROR(VLOOKUP(F885,Magic!H:H,1,0)),IF(ISERROR(VLOOKUP(F885,Magic!T:T,1,0)),"N","Y"),"Y")</f>
        <v>N</v>
      </c>
      <c r="F885" s="13">
        <v>884</v>
      </c>
    </row>
    <row r="886" spans="1:6" x14ac:dyDescent="0.25">
      <c r="A886" s="16">
        <v>42814</v>
      </c>
      <c r="B886" s="13" t="s">
        <v>28</v>
      </c>
      <c r="C886" s="13">
        <v>103</v>
      </c>
      <c r="D886" s="13">
        <v>328.85</v>
      </c>
      <c r="E886" s="13" t="str">
        <f>IF(ISERROR(VLOOKUP(F886,Magic!H:H,1,0)),IF(ISERROR(VLOOKUP(F886,Magic!T:T,1,0)),"N","Y"),"Y")</f>
        <v>N</v>
      </c>
      <c r="F886" s="13">
        <v>885</v>
      </c>
    </row>
    <row r="887" spans="1:6" x14ac:dyDescent="0.25">
      <c r="A887" s="16">
        <v>42814</v>
      </c>
      <c r="B887" s="13" t="s">
        <v>28</v>
      </c>
      <c r="C887" s="13">
        <v>103</v>
      </c>
      <c r="D887" s="13">
        <v>982.4</v>
      </c>
      <c r="E887" s="13" t="str">
        <f>IF(ISERROR(VLOOKUP(F887,Magic!H:H,1,0)),IF(ISERROR(VLOOKUP(F887,Magic!T:T,1,0)),"N","Y"),"Y")</f>
        <v>N</v>
      </c>
      <c r="F887" s="13">
        <v>886</v>
      </c>
    </row>
    <row r="888" spans="1:6" x14ac:dyDescent="0.25">
      <c r="A888" s="16">
        <v>42814</v>
      </c>
      <c r="B888" s="13" t="s">
        <v>611</v>
      </c>
      <c r="C888" s="13">
        <v>201</v>
      </c>
      <c r="D888" s="13">
        <v>678.6</v>
      </c>
      <c r="E888" s="13" t="str">
        <f>IF(ISERROR(VLOOKUP(F888,Magic!H:H,1,0)),IF(ISERROR(VLOOKUP(F888,Magic!T:T,1,0)),"N","Y"),"Y")</f>
        <v>N</v>
      </c>
      <c r="F888" s="13">
        <v>887</v>
      </c>
    </row>
    <row r="889" spans="1:6" x14ac:dyDescent="0.25">
      <c r="A889" s="16">
        <v>42814</v>
      </c>
      <c r="B889" s="13" t="s">
        <v>611</v>
      </c>
      <c r="C889" s="13">
        <v>201</v>
      </c>
      <c r="D889" s="13">
        <v>668.7</v>
      </c>
      <c r="E889" s="13" t="str">
        <f>IF(ISERROR(VLOOKUP(F889,Magic!H:H,1,0)),IF(ISERROR(VLOOKUP(F889,Magic!T:T,1,0)),"N","Y"),"Y")</f>
        <v>N</v>
      </c>
      <c r="F889" s="13">
        <v>888</v>
      </c>
    </row>
    <row r="890" spans="1:6" x14ac:dyDescent="0.25">
      <c r="A890" s="16">
        <v>42814</v>
      </c>
      <c r="B890" s="13" t="s">
        <v>611</v>
      </c>
      <c r="C890" s="13">
        <v>201</v>
      </c>
      <c r="D890" s="13">
        <v>602.85</v>
      </c>
      <c r="E890" s="13" t="str">
        <f>IF(ISERROR(VLOOKUP(F890,Magic!H:H,1,0)),IF(ISERROR(VLOOKUP(F890,Magic!T:T,1,0)),"N","Y"),"Y")</f>
        <v>N</v>
      </c>
      <c r="F890" s="13">
        <v>889</v>
      </c>
    </row>
    <row r="891" spans="1:6" x14ac:dyDescent="0.25">
      <c r="A891" s="16">
        <v>42814</v>
      </c>
      <c r="B891" s="13" t="s">
        <v>611</v>
      </c>
      <c r="C891" s="13">
        <v>201</v>
      </c>
      <c r="D891" s="13">
        <v>325</v>
      </c>
      <c r="E891" s="13" t="str">
        <f>IF(ISERROR(VLOOKUP(F891,Magic!H:H,1,0)),IF(ISERROR(VLOOKUP(F891,Magic!T:T,1,0)),"N","Y"),"Y")</f>
        <v>N</v>
      </c>
      <c r="F891" s="13">
        <v>890</v>
      </c>
    </row>
    <row r="892" spans="1:6" x14ac:dyDescent="0.25">
      <c r="A892" s="16">
        <v>42814</v>
      </c>
      <c r="B892" s="13" t="s">
        <v>611</v>
      </c>
      <c r="C892" s="13">
        <v>201</v>
      </c>
      <c r="D892" s="13">
        <v>234.9</v>
      </c>
      <c r="E892" s="13" t="str">
        <f>IF(ISERROR(VLOOKUP(F892,Magic!H:H,1,0)),IF(ISERROR(VLOOKUP(F892,Magic!T:T,1,0)),"N","Y"),"Y")</f>
        <v>N</v>
      </c>
      <c r="F892" s="13">
        <v>891</v>
      </c>
    </row>
    <row r="893" spans="1:6" x14ac:dyDescent="0.25">
      <c r="A893" s="16">
        <v>42814</v>
      </c>
      <c r="B893" s="13" t="s">
        <v>867</v>
      </c>
      <c r="C893" s="13">
        <v>43</v>
      </c>
      <c r="D893" s="13">
        <v>467.6</v>
      </c>
      <c r="E893" s="13" t="str">
        <f>IF(ISERROR(VLOOKUP(F893,Magic!H:H,1,0)),IF(ISERROR(VLOOKUP(F893,Magic!T:T,1,0)),"N","Y"),"Y")</f>
        <v>N</v>
      </c>
      <c r="F893" s="13">
        <v>892</v>
      </c>
    </row>
    <row r="894" spans="1:6" x14ac:dyDescent="0.25">
      <c r="A894" s="16">
        <v>42815</v>
      </c>
      <c r="B894" s="13" t="s">
        <v>29</v>
      </c>
      <c r="C894" s="13">
        <v>35</v>
      </c>
      <c r="D894" s="13">
        <v>645</v>
      </c>
      <c r="E894" s="13" t="str">
        <f>IF(ISERROR(VLOOKUP(F894,Magic!H:H,1,0)),IF(ISERROR(VLOOKUP(F894,Magic!T:T,1,0)),"N","Y"),"Y")</f>
        <v>N</v>
      </c>
      <c r="F894" s="13">
        <v>893</v>
      </c>
    </row>
    <row r="895" spans="1:6" x14ac:dyDescent="0.25">
      <c r="A895" s="16">
        <v>42815</v>
      </c>
      <c r="B895" s="13" t="s">
        <v>82</v>
      </c>
      <c r="C895" s="13">
        <v>35</v>
      </c>
      <c r="D895" s="13">
        <v>4.3499999999999996</v>
      </c>
      <c r="E895" s="13" t="str">
        <f>IF(ISERROR(VLOOKUP(F895,Magic!H:H,1,0)),IF(ISERROR(VLOOKUP(F895,Magic!T:T,1,0)),"N","Y"),"Y")</f>
        <v>N</v>
      </c>
      <c r="F895" s="13">
        <v>894</v>
      </c>
    </row>
    <row r="896" spans="1:6" x14ac:dyDescent="0.25">
      <c r="A896" s="16">
        <v>42815</v>
      </c>
      <c r="B896" s="13" t="s">
        <v>31</v>
      </c>
      <c r="C896" s="13">
        <v>37</v>
      </c>
      <c r="D896" s="13">
        <v>332.45</v>
      </c>
      <c r="E896" s="13" t="str">
        <f>IF(ISERROR(VLOOKUP(F896,Magic!H:H,1,0)),IF(ISERROR(VLOOKUP(F896,Magic!T:T,1,0)),"N","Y"),"Y")</f>
        <v>N</v>
      </c>
      <c r="F896" s="13">
        <v>895</v>
      </c>
    </row>
    <row r="897" spans="1:6" x14ac:dyDescent="0.25">
      <c r="A897" s="16">
        <v>42815</v>
      </c>
      <c r="B897" s="13" t="s">
        <v>81</v>
      </c>
      <c r="C897" s="13">
        <v>41</v>
      </c>
      <c r="D897" s="13">
        <v>333.55</v>
      </c>
      <c r="E897" s="13" t="str">
        <f>IF(ISERROR(VLOOKUP(F897,Magic!H:H,1,0)),IF(ISERROR(VLOOKUP(F897,Magic!T:T,1,0)),"N","Y"),"Y")</f>
        <v>N</v>
      </c>
      <c r="F897" s="13">
        <v>896</v>
      </c>
    </row>
    <row r="898" spans="1:6" x14ac:dyDescent="0.25">
      <c r="A898" s="16">
        <v>42815</v>
      </c>
      <c r="B898" s="13" t="s">
        <v>24</v>
      </c>
      <c r="C898" s="13">
        <v>43</v>
      </c>
      <c r="D898" s="13">
        <v>384.85</v>
      </c>
      <c r="E898" s="13" t="str">
        <f>IF(ISERROR(VLOOKUP(F898,Magic!H:H,1,0)),IF(ISERROR(VLOOKUP(F898,Magic!T:T,1,0)),"N","Y"),"Y")</f>
        <v>N</v>
      </c>
      <c r="F898" s="13">
        <v>897</v>
      </c>
    </row>
    <row r="899" spans="1:6" x14ac:dyDescent="0.25">
      <c r="A899" s="16">
        <v>42815</v>
      </c>
      <c r="B899" s="13" t="s">
        <v>25</v>
      </c>
      <c r="C899" s="13">
        <v>44</v>
      </c>
      <c r="D899" s="13">
        <v>209.8</v>
      </c>
      <c r="E899" s="13" t="str">
        <f>IF(ISERROR(VLOOKUP(F899,Magic!H:H,1,0)),IF(ISERROR(VLOOKUP(F899,Magic!T:T,1,0)),"N","Y"),"Y")</f>
        <v>N</v>
      </c>
      <c r="F899" s="13">
        <v>898</v>
      </c>
    </row>
    <row r="900" spans="1:6" x14ac:dyDescent="0.25">
      <c r="A900" s="16">
        <v>42815</v>
      </c>
      <c r="B900" s="13" t="s">
        <v>27</v>
      </c>
      <c r="C900" s="13">
        <v>101</v>
      </c>
      <c r="D900" s="13">
        <v>482.9</v>
      </c>
      <c r="E900" s="13" t="str">
        <f>IF(ISERROR(VLOOKUP(F900,Magic!H:H,1,0)),IF(ISERROR(VLOOKUP(F900,Magic!T:T,1,0)),"N","Y"),"Y")</f>
        <v>N</v>
      </c>
      <c r="F900" s="13">
        <v>899</v>
      </c>
    </row>
    <row r="901" spans="1:6" x14ac:dyDescent="0.25">
      <c r="A901" s="16">
        <v>42815</v>
      </c>
      <c r="B901" s="13" t="s">
        <v>28</v>
      </c>
      <c r="C901" s="13">
        <v>103</v>
      </c>
      <c r="D901" s="13">
        <v>1114.25</v>
      </c>
      <c r="E901" s="13" t="str">
        <f>IF(ISERROR(VLOOKUP(F901,Magic!H:H,1,0)),IF(ISERROR(VLOOKUP(F901,Magic!T:T,1,0)),"N","Y"),"Y")</f>
        <v>N</v>
      </c>
      <c r="F901" s="13">
        <v>900</v>
      </c>
    </row>
    <row r="902" spans="1:6" x14ac:dyDescent="0.25">
      <c r="A902" s="16">
        <v>42815</v>
      </c>
      <c r="B902" s="13" t="s">
        <v>611</v>
      </c>
      <c r="C902" s="13">
        <v>201</v>
      </c>
      <c r="D902" s="13">
        <v>215</v>
      </c>
      <c r="E902" s="13" t="str">
        <f>IF(ISERROR(VLOOKUP(F902,Magic!H:H,1,0)),IF(ISERROR(VLOOKUP(F902,Magic!T:T,1,0)),"N","Y"),"Y")</f>
        <v>N</v>
      </c>
      <c r="F902" s="13">
        <v>901</v>
      </c>
    </row>
    <row r="903" spans="1:6" x14ac:dyDescent="0.25">
      <c r="A903" s="16">
        <v>42815</v>
      </c>
      <c r="B903" s="13" t="s">
        <v>29</v>
      </c>
      <c r="C903" s="13">
        <v>35</v>
      </c>
      <c r="D903" s="13">
        <v>645</v>
      </c>
      <c r="E903" s="13" t="str">
        <f>IF(ISERROR(VLOOKUP(F903,Magic!H:H,1,0)),IF(ISERROR(VLOOKUP(F903,Magic!T:T,1,0)),"N","Y"),"Y")</f>
        <v>N</v>
      </c>
      <c r="F903" s="13">
        <v>902</v>
      </c>
    </row>
    <row r="904" spans="1:6" x14ac:dyDescent="0.25">
      <c r="A904" s="16">
        <v>42816</v>
      </c>
      <c r="B904" s="13" t="s">
        <v>82</v>
      </c>
      <c r="C904" s="13">
        <v>35</v>
      </c>
      <c r="D904" s="13">
        <v>4.95</v>
      </c>
      <c r="E904" s="13" t="str">
        <f>IF(ISERROR(VLOOKUP(F904,Magic!H:H,1,0)),IF(ISERROR(VLOOKUP(F904,Magic!T:T,1,0)),"N","Y"),"Y")</f>
        <v>N</v>
      </c>
      <c r="F904" s="13">
        <v>903</v>
      </c>
    </row>
    <row r="905" spans="1:6" x14ac:dyDescent="0.25">
      <c r="A905" s="16">
        <v>42816</v>
      </c>
      <c r="B905" s="13" t="s">
        <v>31</v>
      </c>
      <c r="C905" s="13">
        <v>37</v>
      </c>
      <c r="D905" s="13">
        <v>282.8</v>
      </c>
      <c r="E905" s="13" t="str">
        <f>IF(ISERROR(VLOOKUP(F905,Magic!H:H,1,0)),IF(ISERROR(VLOOKUP(F905,Magic!T:T,1,0)),"N","Y"),"Y")</f>
        <v>N</v>
      </c>
      <c r="F905" s="13">
        <v>904</v>
      </c>
    </row>
    <row r="906" spans="1:6" x14ac:dyDescent="0.25">
      <c r="A906" s="16">
        <v>42816</v>
      </c>
      <c r="B906" s="13" t="s">
        <v>26</v>
      </c>
      <c r="C906" s="13">
        <v>38</v>
      </c>
      <c r="D906" s="13">
        <v>251.05</v>
      </c>
      <c r="E906" s="13" t="str">
        <f>IF(ISERROR(VLOOKUP(F906,Magic!H:H,1,0)),IF(ISERROR(VLOOKUP(F906,Magic!T:T,1,0)),"N","Y"),"Y")</f>
        <v>N</v>
      </c>
      <c r="F906" s="13">
        <v>905</v>
      </c>
    </row>
    <row r="907" spans="1:6" x14ac:dyDescent="0.25">
      <c r="A907" s="16">
        <v>42816</v>
      </c>
      <c r="B907" s="13" t="s">
        <v>26</v>
      </c>
      <c r="C907" s="13">
        <v>38</v>
      </c>
      <c r="D907" s="13">
        <v>729.7</v>
      </c>
      <c r="E907" s="13" t="str">
        <f>IF(ISERROR(VLOOKUP(F907,Magic!H:H,1,0)),IF(ISERROR(VLOOKUP(F907,Magic!T:T,1,0)),"N","Y"),"Y")</f>
        <v>N</v>
      </c>
      <c r="F907" s="13">
        <v>906</v>
      </c>
    </row>
    <row r="908" spans="1:6" x14ac:dyDescent="0.25">
      <c r="A908" s="16">
        <v>42816</v>
      </c>
      <c r="B908" s="13" t="s">
        <v>819</v>
      </c>
      <c r="C908" s="13">
        <v>43</v>
      </c>
      <c r="D908" s="13">
        <v>729.9</v>
      </c>
      <c r="E908" s="13" t="str">
        <f>IF(ISERROR(VLOOKUP(F908,Magic!H:H,1,0)),IF(ISERROR(VLOOKUP(F908,Magic!T:T,1,0)),"N","Y"),"Y")</f>
        <v>N</v>
      </c>
      <c r="F908" s="13">
        <v>907</v>
      </c>
    </row>
    <row r="909" spans="1:6" x14ac:dyDescent="0.25">
      <c r="A909" s="16">
        <v>42816</v>
      </c>
      <c r="B909" s="13" t="s">
        <v>25</v>
      </c>
      <c r="C909" s="13">
        <v>44</v>
      </c>
      <c r="D909" s="13">
        <v>358.85</v>
      </c>
      <c r="E909" s="13" t="str">
        <f>IF(ISERROR(VLOOKUP(F909,Magic!H:H,1,0)),IF(ISERROR(VLOOKUP(F909,Magic!T:T,1,0)),"N","Y"),"Y")</f>
        <v>N</v>
      </c>
      <c r="F909" s="13">
        <v>908</v>
      </c>
    </row>
    <row r="910" spans="1:6" x14ac:dyDescent="0.25">
      <c r="A910" s="16">
        <v>42816</v>
      </c>
      <c r="B910" s="13" t="s">
        <v>27</v>
      </c>
      <c r="C910" s="13">
        <v>101</v>
      </c>
      <c r="D910" s="13">
        <v>247.95</v>
      </c>
      <c r="E910" s="13" t="str">
        <f>IF(ISERROR(VLOOKUP(F910,Magic!H:H,1,0)),IF(ISERROR(VLOOKUP(F910,Magic!T:T,1,0)),"N","Y"),"Y")</f>
        <v>N</v>
      </c>
      <c r="F910" s="13">
        <v>909</v>
      </c>
    </row>
    <row r="911" spans="1:6" x14ac:dyDescent="0.25">
      <c r="A911" s="16">
        <v>42816</v>
      </c>
      <c r="B911" s="13" t="s">
        <v>28</v>
      </c>
      <c r="C911" s="13">
        <v>103</v>
      </c>
      <c r="D911" s="13">
        <v>18.8</v>
      </c>
      <c r="E911" s="13" t="s">
        <v>71</v>
      </c>
      <c r="F911" s="13">
        <v>910</v>
      </c>
    </row>
    <row r="912" spans="1:6" x14ac:dyDescent="0.25">
      <c r="A912" s="16">
        <v>42816</v>
      </c>
      <c r="B912" s="13" t="s">
        <v>113</v>
      </c>
      <c r="C912" s="13">
        <v>103</v>
      </c>
      <c r="D912" s="13">
        <v>100</v>
      </c>
      <c r="E912" s="13" t="s">
        <v>71</v>
      </c>
      <c r="F912" s="13">
        <v>911</v>
      </c>
    </row>
    <row r="913" spans="1:6" x14ac:dyDescent="0.25">
      <c r="A913" s="16">
        <v>42816</v>
      </c>
      <c r="B913" s="13" t="s">
        <v>113</v>
      </c>
      <c r="C913" s="13">
        <v>103</v>
      </c>
      <c r="D913" s="13">
        <v>610</v>
      </c>
      <c r="E913" s="13" t="s">
        <v>71</v>
      </c>
      <c r="F913" s="13">
        <v>912</v>
      </c>
    </row>
    <row r="914" spans="1:6" x14ac:dyDescent="0.25">
      <c r="A914" s="16">
        <v>42816</v>
      </c>
      <c r="B914" s="13" t="s">
        <v>113</v>
      </c>
      <c r="C914" s="13">
        <v>103</v>
      </c>
      <c r="D914" s="13">
        <f>SUM(D911:D913)</f>
        <v>728.8</v>
      </c>
      <c r="E914" s="13" t="str">
        <f>IF(ISERROR(VLOOKUP(F914,Magic!H:H,1,0)),IF(ISERROR(VLOOKUP(F914,Magic!T:T,1,0)),"N","Y"),"Y")</f>
        <v>N</v>
      </c>
      <c r="F914" s="13">
        <v>913</v>
      </c>
    </row>
    <row r="915" spans="1:6" x14ac:dyDescent="0.25">
      <c r="A915" s="16">
        <v>42817</v>
      </c>
      <c r="B915" s="13" t="s">
        <v>24</v>
      </c>
      <c r="C915" s="13">
        <v>43</v>
      </c>
      <c r="D915" s="13">
        <v>1144.95</v>
      </c>
      <c r="E915" s="13" t="str">
        <f>IF(ISERROR(VLOOKUP(F915,Magic!H:H,1,0)),IF(ISERROR(VLOOKUP(F915,Magic!T:T,1,0)),"N","Y"),"Y")</f>
        <v>N</v>
      </c>
      <c r="F915" s="13">
        <v>914</v>
      </c>
    </row>
    <row r="916" spans="1:6" x14ac:dyDescent="0.25">
      <c r="A916" s="16">
        <v>42817</v>
      </c>
      <c r="B916" s="13" t="s">
        <v>29</v>
      </c>
      <c r="C916" s="13">
        <v>35</v>
      </c>
      <c r="D916" s="13">
        <v>805</v>
      </c>
      <c r="E916" s="13" t="str">
        <f>IF(ISERROR(VLOOKUP(F916,Magic!H:H,1,0)),IF(ISERROR(VLOOKUP(F916,Magic!T:T,1,0)),"N","Y"),"Y")</f>
        <v>N</v>
      </c>
      <c r="F916" s="13">
        <v>915</v>
      </c>
    </row>
    <row r="917" spans="1:6" x14ac:dyDescent="0.25">
      <c r="A917" s="16">
        <v>42817</v>
      </c>
      <c r="B917" s="13" t="s">
        <v>31</v>
      </c>
      <c r="C917" s="13">
        <v>37</v>
      </c>
      <c r="D917" s="13">
        <v>600.65</v>
      </c>
      <c r="E917" s="13" t="str">
        <f>IF(ISERROR(VLOOKUP(F917,Magic!H:H,1,0)),IF(ISERROR(VLOOKUP(F917,Magic!T:T,1,0)),"N","Y"),"Y")</f>
        <v>N</v>
      </c>
      <c r="F917" s="13">
        <v>916</v>
      </c>
    </row>
    <row r="918" spans="1:6" x14ac:dyDescent="0.25">
      <c r="A918" s="16">
        <v>42817</v>
      </c>
      <c r="B918" s="13" t="s">
        <v>81</v>
      </c>
      <c r="C918" s="13">
        <v>41</v>
      </c>
      <c r="D918" s="13">
        <v>349.95</v>
      </c>
      <c r="E918" s="13" t="str">
        <f>IF(ISERROR(VLOOKUP(F918,Magic!H:H,1,0)),IF(ISERROR(VLOOKUP(F918,Magic!T:T,1,0)),"N","Y"),"Y")</f>
        <v>N</v>
      </c>
      <c r="F918" s="13">
        <v>917</v>
      </c>
    </row>
    <row r="919" spans="1:6" x14ac:dyDescent="0.25">
      <c r="A919" s="16">
        <v>42817</v>
      </c>
      <c r="B919" s="13" t="s">
        <v>25</v>
      </c>
      <c r="C919" s="13">
        <v>44</v>
      </c>
      <c r="D919" s="13">
        <v>295.89999999999998</v>
      </c>
      <c r="E919" s="13" t="str">
        <f>IF(ISERROR(VLOOKUP(F919,Magic!H:H,1,0)),IF(ISERROR(VLOOKUP(F919,Magic!T:T,1,0)),"N","Y"),"Y")</f>
        <v>N</v>
      </c>
      <c r="F919" s="13">
        <v>918</v>
      </c>
    </row>
    <row r="920" spans="1:6" x14ac:dyDescent="0.25">
      <c r="A920" s="16">
        <v>42817</v>
      </c>
      <c r="B920" s="13" t="s">
        <v>27</v>
      </c>
      <c r="C920" s="13">
        <v>101</v>
      </c>
      <c r="D920" s="13">
        <v>320.95</v>
      </c>
      <c r="E920" s="13" t="str">
        <f>IF(ISERROR(VLOOKUP(F920,Magic!H:H,1,0)),IF(ISERROR(VLOOKUP(F920,Magic!T:T,1,0)),"N","Y"),"Y")</f>
        <v>N</v>
      </c>
      <c r="F920" s="13">
        <v>919</v>
      </c>
    </row>
    <row r="921" spans="1:6" x14ac:dyDescent="0.25">
      <c r="A921" s="16">
        <v>42817</v>
      </c>
      <c r="B921" s="13" t="s">
        <v>28</v>
      </c>
      <c r="C921" s="13">
        <v>103</v>
      </c>
      <c r="D921" s="13">
        <v>740.7</v>
      </c>
      <c r="E921" s="13" t="str">
        <f>IF(ISERROR(VLOOKUP(F921,Magic!H:H,1,0)),IF(ISERROR(VLOOKUP(F921,Magic!T:T,1,0)),"N","Y"),"Y")</f>
        <v>N</v>
      </c>
      <c r="F921" s="13">
        <v>920</v>
      </c>
    </row>
    <row r="922" spans="1:6" x14ac:dyDescent="0.25">
      <c r="A922" s="16">
        <v>42819</v>
      </c>
      <c r="B922" s="13" t="s">
        <v>28</v>
      </c>
      <c r="C922" s="13">
        <v>103</v>
      </c>
      <c r="D922" s="13">
        <v>932.65</v>
      </c>
      <c r="E922" s="13" t="str">
        <f>IF(ISERROR(VLOOKUP(F922,Magic!H:H,1,0)),IF(ISERROR(VLOOKUP(F922,Magic!T:T,1,0)),"N","Y"),"Y")</f>
        <v>N</v>
      </c>
      <c r="F922" s="13">
        <v>921</v>
      </c>
    </row>
    <row r="923" spans="1:6" x14ac:dyDescent="0.25">
      <c r="A923" s="16">
        <v>42818</v>
      </c>
      <c r="B923" s="13" t="s">
        <v>29</v>
      </c>
      <c r="C923" s="13">
        <v>35</v>
      </c>
      <c r="D923" s="13">
        <v>835</v>
      </c>
      <c r="E923" s="13" t="str">
        <f>IF(ISERROR(VLOOKUP(F923,Magic!H:H,1,0)),IF(ISERROR(VLOOKUP(F923,Magic!T:T,1,0)),"N","Y"),"Y")</f>
        <v>N</v>
      </c>
      <c r="F923" s="13">
        <v>922</v>
      </c>
    </row>
    <row r="924" spans="1:6" x14ac:dyDescent="0.25">
      <c r="A924" s="16">
        <v>42818</v>
      </c>
      <c r="B924" s="13" t="s">
        <v>82</v>
      </c>
      <c r="C924" s="13">
        <v>35</v>
      </c>
      <c r="D924" s="13">
        <v>802.2</v>
      </c>
      <c r="E924" s="13" t="str">
        <f>IF(ISERROR(VLOOKUP(F924,Magic!H:H,1,0)),IF(ISERROR(VLOOKUP(F924,Magic!T:T,1,0)),"N","Y"),"Y")</f>
        <v>N</v>
      </c>
      <c r="F924" s="13">
        <v>923</v>
      </c>
    </row>
    <row r="925" spans="1:6" x14ac:dyDescent="0.25">
      <c r="A925" s="16">
        <v>42818</v>
      </c>
      <c r="B925" s="13" t="s">
        <v>31</v>
      </c>
      <c r="C925" s="13">
        <v>37</v>
      </c>
      <c r="D925" s="13">
        <v>1155.6500000000001</v>
      </c>
      <c r="E925" s="13" t="str">
        <f>IF(ISERROR(VLOOKUP(F925,Magic!H:H,1,0)),IF(ISERROR(VLOOKUP(F925,Magic!T:T,1,0)),"N","Y"),"Y")</f>
        <v>N</v>
      </c>
      <c r="F925" s="13">
        <v>924</v>
      </c>
    </row>
    <row r="926" spans="1:6" x14ac:dyDescent="0.25">
      <c r="A926" s="16">
        <v>42818</v>
      </c>
      <c r="B926" s="13" t="s">
        <v>81</v>
      </c>
      <c r="C926" s="13">
        <v>41</v>
      </c>
      <c r="D926" s="13">
        <v>880.9</v>
      </c>
      <c r="E926" s="13" t="str">
        <f>IF(ISERROR(VLOOKUP(F926,Magic!H:H,1,0)),IF(ISERROR(VLOOKUP(F926,Magic!T:T,1,0)),"N","Y"),"Y")</f>
        <v>N</v>
      </c>
      <c r="F926" s="13">
        <v>925</v>
      </c>
    </row>
    <row r="927" spans="1:6" x14ac:dyDescent="0.25">
      <c r="A927" s="16">
        <v>42818</v>
      </c>
      <c r="B927" s="13" t="s">
        <v>81</v>
      </c>
      <c r="C927" s="13">
        <v>41</v>
      </c>
      <c r="D927" s="13">
        <v>520.9</v>
      </c>
      <c r="E927" s="13" t="str">
        <f>IF(ISERROR(VLOOKUP(F927,Magic!H:H,1,0)),IF(ISERROR(VLOOKUP(F927,Magic!T:T,1,0)),"N","Y"),"Y")</f>
        <v>N</v>
      </c>
      <c r="F927" s="13">
        <v>926</v>
      </c>
    </row>
    <row r="928" spans="1:6" x14ac:dyDescent="0.25">
      <c r="A928" s="16">
        <v>42818</v>
      </c>
      <c r="B928" s="13" t="s">
        <v>24</v>
      </c>
      <c r="C928" s="13">
        <v>43</v>
      </c>
      <c r="D928" s="13">
        <v>1107.8</v>
      </c>
      <c r="E928" s="13" t="str">
        <f>IF(ISERROR(VLOOKUP(F928,Magic!H:H,1,0)),IF(ISERROR(VLOOKUP(F928,Magic!T:T,1,0)),"N","Y"),"Y")</f>
        <v>N</v>
      </c>
      <c r="F928" s="13">
        <v>927</v>
      </c>
    </row>
    <row r="929" spans="1:6" x14ac:dyDescent="0.25">
      <c r="A929" s="16">
        <v>42818</v>
      </c>
      <c r="B929" s="13" t="s">
        <v>25</v>
      </c>
      <c r="C929" s="13">
        <v>44</v>
      </c>
      <c r="D929" s="13">
        <v>374.95</v>
      </c>
      <c r="E929" s="13" t="str">
        <f>IF(ISERROR(VLOOKUP(F929,Magic!H:H,1,0)),IF(ISERROR(VLOOKUP(F929,Magic!T:T,1,0)),"N","Y"),"Y")</f>
        <v>N</v>
      </c>
      <c r="F929" s="13">
        <v>928</v>
      </c>
    </row>
    <row r="930" spans="1:6" x14ac:dyDescent="0.25">
      <c r="A930" s="16">
        <v>42818</v>
      </c>
      <c r="B930" s="13" t="s">
        <v>27</v>
      </c>
      <c r="C930" s="13">
        <v>101</v>
      </c>
      <c r="D930" s="13">
        <v>782.75</v>
      </c>
      <c r="E930" s="13" t="str">
        <f>IF(ISERROR(VLOOKUP(F930,Magic!H:H,1,0)),IF(ISERROR(VLOOKUP(F930,Magic!T:T,1,0)),"N","Y"),"Y")</f>
        <v>N</v>
      </c>
      <c r="F930" s="13">
        <v>929</v>
      </c>
    </row>
    <row r="931" spans="1:6" x14ac:dyDescent="0.25">
      <c r="A931" s="16">
        <v>42818</v>
      </c>
      <c r="B931" s="13" t="s">
        <v>28</v>
      </c>
      <c r="C931" s="13">
        <v>103</v>
      </c>
      <c r="D931" s="13">
        <v>1358.65</v>
      </c>
      <c r="E931" s="13" t="str">
        <f>IF(ISERROR(VLOOKUP(F931,Magic!H:H,1,0)),IF(ISERROR(VLOOKUP(F931,Magic!T:T,1,0)),"N","Y"),"Y")</f>
        <v>N</v>
      </c>
      <c r="F931" s="13">
        <v>930</v>
      </c>
    </row>
    <row r="932" spans="1:6" x14ac:dyDescent="0.25">
      <c r="A932" s="16">
        <v>42821</v>
      </c>
      <c r="B932" s="13" t="s">
        <v>29</v>
      </c>
      <c r="C932" s="13">
        <v>35</v>
      </c>
      <c r="D932" s="13">
        <v>655</v>
      </c>
      <c r="E932" s="13" t="str">
        <f>IF(ISERROR(VLOOKUP(F932,Magic!H:H,1,0)),IF(ISERROR(VLOOKUP(F932,Magic!T:T,1,0)),"N","Y"),"Y")</f>
        <v>N</v>
      </c>
      <c r="F932" s="13">
        <v>931</v>
      </c>
    </row>
    <row r="933" spans="1:6" x14ac:dyDescent="0.25">
      <c r="A933" s="16">
        <v>42821</v>
      </c>
      <c r="B933" s="13" t="s">
        <v>82</v>
      </c>
      <c r="C933" s="13">
        <v>35</v>
      </c>
      <c r="D933" s="13">
        <v>0.9</v>
      </c>
      <c r="E933" s="13" t="str">
        <f>IF(ISERROR(VLOOKUP(F933,Magic!H:H,1,0)),IF(ISERROR(VLOOKUP(F933,Magic!T:T,1,0)),"N","Y"),"Y")</f>
        <v>N</v>
      </c>
      <c r="F933" s="13">
        <v>932</v>
      </c>
    </row>
    <row r="934" spans="1:6" x14ac:dyDescent="0.25">
      <c r="A934" s="16">
        <v>42821</v>
      </c>
      <c r="B934" s="13" t="s">
        <v>82</v>
      </c>
      <c r="C934" s="13">
        <v>35</v>
      </c>
      <c r="D934" s="13">
        <v>585.45000000000005</v>
      </c>
      <c r="E934" s="13" t="str">
        <f>IF(ISERROR(VLOOKUP(F934,Magic!H:H,1,0)),IF(ISERROR(VLOOKUP(F934,Magic!T:T,1,0)),"N","Y"),"Y")</f>
        <v>N</v>
      </c>
      <c r="F934" s="13">
        <v>933</v>
      </c>
    </row>
    <row r="935" spans="1:6" x14ac:dyDescent="0.25">
      <c r="A935" s="16">
        <v>42821</v>
      </c>
      <c r="B935" s="13" t="s">
        <v>82</v>
      </c>
      <c r="C935" s="13">
        <v>35</v>
      </c>
      <c r="D935" s="13">
        <v>435</v>
      </c>
      <c r="E935" s="13" t="str">
        <f>IF(ISERROR(VLOOKUP(F935,Magic!H:H,1,0)),IF(ISERROR(VLOOKUP(F935,Magic!T:T,1,0)),"N","Y"),"Y")</f>
        <v>N</v>
      </c>
      <c r="F935" s="13">
        <v>934</v>
      </c>
    </row>
    <row r="936" spans="1:6" x14ac:dyDescent="0.25">
      <c r="A936" s="16">
        <v>42821</v>
      </c>
      <c r="B936" s="13" t="s">
        <v>146</v>
      </c>
      <c r="C936" s="13">
        <v>37</v>
      </c>
      <c r="D936" s="13">
        <v>659.6</v>
      </c>
      <c r="E936" s="13" t="str">
        <f>IF(ISERROR(VLOOKUP(F936,Magic!H:H,1,0)),IF(ISERROR(VLOOKUP(F936,Magic!T:T,1,0)),"N","Y"),"Y")</f>
        <v>N</v>
      </c>
      <c r="F936" s="13">
        <v>936</v>
      </c>
    </row>
    <row r="937" spans="1:6" x14ac:dyDescent="0.25">
      <c r="A937" s="16">
        <v>42821</v>
      </c>
      <c r="B937" s="13" t="s">
        <v>146</v>
      </c>
      <c r="C937" s="13">
        <v>37</v>
      </c>
      <c r="D937" s="13">
        <v>279.89999999999998</v>
      </c>
      <c r="E937" s="13" t="str">
        <f>IF(ISERROR(VLOOKUP(F937,Magic!H:H,1,0)),IF(ISERROR(VLOOKUP(F937,Magic!T:T,1,0)),"N","Y"),"Y")</f>
        <v>N</v>
      </c>
      <c r="F937" s="13">
        <v>937</v>
      </c>
    </row>
    <row r="938" spans="1:6" x14ac:dyDescent="0.25">
      <c r="A938" s="16">
        <v>42821</v>
      </c>
      <c r="B938" s="13" t="s">
        <v>81</v>
      </c>
      <c r="C938" s="13">
        <v>41</v>
      </c>
      <c r="D938" s="13">
        <v>125</v>
      </c>
      <c r="E938" s="13" t="str">
        <f>IF(ISERROR(VLOOKUP(F938,Magic!H:H,1,0)),IF(ISERROR(VLOOKUP(F938,Magic!T:T,1,0)),"N","Y"),"Y")</f>
        <v>N</v>
      </c>
      <c r="F938" s="13">
        <v>938</v>
      </c>
    </row>
    <row r="939" spans="1:6" x14ac:dyDescent="0.25">
      <c r="A939" s="16">
        <v>42821</v>
      </c>
      <c r="B939" s="13" t="s">
        <v>81</v>
      </c>
      <c r="C939" s="13">
        <v>41</v>
      </c>
      <c r="D939" s="13">
        <v>855</v>
      </c>
      <c r="E939" s="13" t="str">
        <f>IF(ISERROR(VLOOKUP(F939,Magic!H:H,1,0)),IF(ISERROR(VLOOKUP(F939,Magic!T:T,1,0)),"N","Y"),"Y")</f>
        <v>N</v>
      </c>
      <c r="F939" s="13">
        <v>939</v>
      </c>
    </row>
    <row r="940" spans="1:6" x14ac:dyDescent="0.25">
      <c r="A940" s="16">
        <v>42821</v>
      </c>
      <c r="B940" s="13" t="s">
        <v>81</v>
      </c>
      <c r="C940" s="13">
        <v>41</v>
      </c>
      <c r="D940" s="13">
        <v>305</v>
      </c>
      <c r="E940" s="13" t="str">
        <f>IF(ISERROR(VLOOKUP(F940,Magic!H:H,1,0)),IF(ISERROR(VLOOKUP(F940,Magic!T:T,1,0)),"N","Y"),"Y")</f>
        <v>N</v>
      </c>
      <c r="F940" s="13">
        <v>940</v>
      </c>
    </row>
    <row r="941" spans="1:6" x14ac:dyDescent="0.25">
      <c r="A941" s="16">
        <v>42821</v>
      </c>
      <c r="B941" s="13" t="s">
        <v>24</v>
      </c>
      <c r="C941" s="13">
        <v>43</v>
      </c>
      <c r="D941" s="13">
        <v>747.9</v>
      </c>
      <c r="E941" s="13" t="str">
        <f>IF(ISERROR(VLOOKUP(F941,Magic!H:H,1,0)),IF(ISERROR(VLOOKUP(F941,Magic!T:T,1,0)),"N","Y"),"Y")</f>
        <v>N</v>
      </c>
      <c r="F941" s="13">
        <v>941</v>
      </c>
    </row>
    <row r="942" spans="1:6" x14ac:dyDescent="0.25">
      <c r="A942" s="16">
        <v>42821</v>
      </c>
      <c r="B942" s="13" t="s">
        <v>24</v>
      </c>
      <c r="C942" s="13">
        <v>43</v>
      </c>
      <c r="D942" s="13">
        <v>762.9</v>
      </c>
      <c r="E942" s="13" t="str">
        <f>IF(ISERROR(VLOOKUP(F942,Magic!H:H,1,0)),IF(ISERROR(VLOOKUP(F942,Magic!T:T,1,0)),"N","Y"),"Y")</f>
        <v>N</v>
      </c>
      <c r="F942" s="13">
        <v>942</v>
      </c>
    </row>
    <row r="943" spans="1:6" x14ac:dyDescent="0.25">
      <c r="A943" s="16">
        <v>42821</v>
      </c>
      <c r="B943" s="13" t="s">
        <v>24</v>
      </c>
      <c r="C943" s="13">
        <v>43</v>
      </c>
      <c r="D943" s="13">
        <v>442.95</v>
      </c>
      <c r="E943" s="13" t="str">
        <f>IF(ISERROR(VLOOKUP(F943,Magic!H:H,1,0)),IF(ISERROR(VLOOKUP(F943,Magic!T:T,1,0)),"N","Y"),"Y")</f>
        <v>N</v>
      </c>
      <c r="F943" s="13">
        <v>943</v>
      </c>
    </row>
    <row r="944" spans="1:6" x14ac:dyDescent="0.25">
      <c r="A944" s="16">
        <v>42821</v>
      </c>
      <c r="B944" s="13" t="s">
        <v>25</v>
      </c>
      <c r="C944" s="13">
        <v>44</v>
      </c>
      <c r="D944" s="13">
        <v>270.85000000000002</v>
      </c>
      <c r="E944" s="13" t="str">
        <f>IF(ISERROR(VLOOKUP(F944,Magic!H:H,1,0)),IF(ISERROR(VLOOKUP(F944,Magic!T:T,1,0)),"N","Y"),"Y")</f>
        <v>N</v>
      </c>
      <c r="F944" s="13">
        <v>944</v>
      </c>
    </row>
    <row r="945" spans="1:6" x14ac:dyDescent="0.25">
      <c r="A945" s="16">
        <v>42821</v>
      </c>
      <c r="B945" s="13" t="s">
        <v>25</v>
      </c>
      <c r="C945" s="13">
        <v>44</v>
      </c>
      <c r="D945" s="13">
        <v>285</v>
      </c>
      <c r="E945" s="13" t="str">
        <f>IF(ISERROR(VLOOKUP(F945,Magic!H:H,1,0)),IF(ISERROR(VLOOKUP(F945,Magic!T:T,1,0)),"N","Y"),"Y")</f>
        <v>N</v>
      </c>
      <c r="F945" s="13">
        <v>945</v>
      </c>
    </row>
    <row r="946" spans="1:6" x14ac:dyDescent="0.25">
      <c r="A946" s="16">
        <v>42821</v>
      </c>
      <c r="B946" s="13" t="s">
        <v>25</v>
      </c>
      <c r="C946" s="13">
        <v>44</v>
      </c>
      <c r="D946" s="13">
        <v>309.95</v>
      </c>
      <c r="E946" s="13" t="str">
        <f>IF(ISERROR(VLOOKUP(F946,Magic!H:H,1,0)),IF(ISERROR(VLOOKUP(F946,Magic!T:T,1,0)),"N","Y"),"Y")</f>
        <v>N</v>
      </c>
      <c r="F946" s="13">
        <v>946</v>
      </c>
    </row>
    <row r="947" spans="1:6" x14ac:dyDescent="0.25">
      <c r="A947" s="16">
        <v>42821</v>
      </c>
      <c r="B947" s="13" t="s">
        <v>27</v>
      </c>
      <c r="C947" s="13">
        <v>101</v>
      </c>
      <c r="D947" s="13">
        <v>412.8</v>
      </c>
      <c r="E947" s="13" t="str">
        <f>IF(ISERROR(VLOOKUP(F947,Magic!H:H,1,0)),IF(ISERROR(VLOOKUP(F947,Magic!T:T,1,0)),"N","Y"),"Y")</f>
        <v>N</v>
      </c>
      <c r="F947" s="13">
        <v>947</v>
      </c>
    </row>
    <row r="948" spans="1:6" x14ac:dyDescent="0.25">
      <c r="A948" s="16">
        <v>42821</v>
      </c>
      <c r="B948" s="13" t="s">
        <v>27</v>
      </c>
      <c r="C948" s="13">
        <v>101</v>
      </c>
      <c r="D948" s="13">
        <v>220.85</v>
      </c>
      <c r="E948" s="13" t="str">
        <f>IF(ISERROR(VLOOKUP(F948,Magic!H:H,1,0)),IF(ISERROR(VLOOKUP(F948,Magic!T:T,1,0)),"N","Y"),"Y")</f>
        <v>N</v>
      </c>
      <c r="F948" s="13">
        <v>948</v>
      </c>
    </row>
    <row r="949" spans="1:6" x14ac:dyDescent="0.25">
      <c r="A949" s="16">
        <v>42821</v>
      </c>
      <c r="B949" s="13" t="s">
        <v>28</v>
      </c>
      <c r="C949" s="13">
        <v>103</v>
      </c>
      <c r="D949" s="13">
        <v>175</v>
      </c>
      <c r="E949" s="13" t="str">
        <f>IF(ISERROR(VLOOKUP(F949,Magic!H:H,1,0)),IF(ISERROR(VLOOKUP(F949,Magic!T:T,1,0)),"N","Y"),"Y")</f>
        <v>N</v>
      </c>
      <c r="F949" s="13">
        <v>949</v>
      </c>
    </row>
    <row r="950" spans="1:6" x14ac:dyDescent="0.25">
      <c r="A950" s="16">
        <v>42821</v>
      </c>
      <c r="B950" s="13" t="s">
        <v>28</v>
      </c>
      <c r="C950" s="13">
        <v>103</v>
      </c>
      <c r="D950" s="13">
        <v>983.8</v>
      </c>
      <c r="E950" s="13" t="str">
        <f>IF(ISERROR(VLOOKUP(F950,Magic!H:H,1,0)),IF(ISERROR(VLOOKUP(F950,Magic!T:T,1,0)),"N","Y"),"Y")</f>
        <v>N</v>
      </c>
      <c r="F950" s="13">
        <v>950</v>
      </c>
    </row>
    <row r="951" spans="1:6" x14ac:dyDescent="0.25">
      <c r="A951" s="16">
        <v>42821</v>
      </c>
      <c r="B951" s="13" t="s">
        <v>611</v>
      </c>
      <c r="C951" s="13">
        <v>201</v>
      </c>
      <c r="D951" s="13">
        <v>734.95</v>
      </c>
      <c r="E951" s="13" t="str">
        <f>IF(ISERROR(VLOOKUP(F951,Magic!H:H,1,0)),IF(ISERROR(VLOOKUP(F951,Magic!T:T,1,0)),"N","Y"),"Y")</f>
        <v>N</v>
      </c>
      <c r="F951" s="13">
        <v>951</v>
      </c>
    </row>
    <row r="952" spans="1:6" x14ac:dyDescent="0.25">
      <c r="A952" s="16">
        <v>42821</v>
      </c>
      <c r="B952" s="13" t="s">
        <v>611</v>
      </c>
      <c r="C952" s="13">
        <v>201</v>
      </c>
      <c r="D952" s="13">
        <v>660.7</v>
      </c>
      <c r="E952" s="13" t="str">
        <f>IF(ISERROR(VLOOKUP(F952,Magic!H:H,1,0)),IF(ISERROR(VLOOKUP(F952,Magic!T:T,1,0)),"N","Y"),"Y")</f>
        <v>N</v>
      </c>
      <c r="F952" s="13">
        <v>952</v>
      </c>
    </row>
    <row r="953" spans="1:6" x14ac:dyDescent="0.25">
      <c r="A953" s="16">
        <v>42821</v>
      </c>
      <c r="B953" s="13" t="s">
        <v>611</v>
      </c>
      <c r="C953" s="13">
        <v>201</v>
      </c>
      <c r="D953" s="13">
        <v>640</v>
      </c>
      <c r="E953" s="13" t="str">
        <f>IF(ISERROR(VLOOKUP(F953,Magic!H:H,1,0)),IF(ISERROR(VLOOKUP(F953,Magic!T:T,1,0)),"N","Y"),"Y")</f>
        <v>N</v>
      </c>
      <c r="F953" s="13">
        <v>953</v>
      </c>
    </row>
    <row r="954" spans="1:6" x14ac:dyDescent="0.25">
      <c r="A954" s="16">
        <v>42821</v>
      </c>
      <c r="B954" s="13" t="s">
        <v>611</v>
      </c>
      <c r="C954" s="13">
        <v>201</v>
      </c>
      <c r="D954" s="13">
        <v>595</v>
      </c>
      <c r="E954" s="13" t="str">
        <f>IF(ISERROR(VLOOKUP(F954,Magic!H:H,1,0)),IF(ISERROR(VLOOKUP(F954,Magic!T:T,1,0)),"N","Y"),"Y")</f>
        <v>N</v>
      </c>
      <c r="F954" s="13">
        <v>954</v>
      </c>
    </row>
    <row r="955" spans="1:6" x14ac:dyDescent="0.25">
      <c r="A955" s="16">
        <v>42821</v>
      </c>
      <c r="B955" s="13" t="s">
        <v>611</v>
      </c>
      <c r="C955" s="13">
        <v>201</v>
      </c>
      <c r="D955" s="13">
        <v>565</v>
      </c>
      <c r="E955" s="13" t="str">
        <f>IF(ISERROR(VLOOKUP(F955,Magic!H:H,1,0)),IF(ISERROR(VLOOKUP(F955,Magic!T:T,1,0)),"N","Y"),"Y")</f>
        <v>N</v>
      </c>
      <c r="F955" s="13">
        <v>955</v>
      </c>
    </row>
    <row r="956" spans="1:6" x14ac:dyDescent="0.25">
      <c r="A956" s="16">
        <v>42821</v>
      </c>
      <c r="B956" s="13" t="s">
        <v>611</v>
      </c>
      <c r="C956" s="13">
        <v>201</v>
      </c>
      <c r="D956" s="13">
        <v>355</v>
      </c>
      <c r="E956" s="13" t="str">
        <f>IF(ISERROR(VLOOKUP(F956,Magic!H:H,1,0)),IF(ISERROR(VLOOKUP(F956,Magic!T:T,1,0)),"N","Y"),"Y")</f>
        <v>N</v>
      </c>
      <c r="F956" s="13">
        <v>956</v>
      </c>
    </row>
    <row r="957" spans="1:6" x14ac:dyDescent="0.25">
      <c r="A957" s="16">
        <v>42822</v>
      </c>
      <c r="B957" s="13" t="s">
        <v>29</v>
      </c>
      <c r="C957" s="13">
        <v>35</v>
      </c>
      <c r="D957" s="13">
        <v>725</v>
      </c>
      <c r="E957" s="13" t="str">
        <f>IF(ISERROR(VLOOKUP(F957,Magic!H:H,1,0)),IF(ISERROR(VLOOKUP(F957,Magic!T:T,1,0)),"N","Y"),"Y")</f>
        <v>N</v>
      </c>
      <c r="F957" s="13">
        <v>957</v>
      </c>
    </row>
    <row r="958" spans="1:6" x14ac:dyDescent="0.25">
      <c r="A958" s="16">
        <v>42822</v>
      </c>
      <c r="B958" s="13" t="s">
        <v>82</v>
      </c>
      <c r="C958" s="13">
        <v>35</v>
      </c>
      <c r="D958" s="13">
        <v>2.95</v>
      </c>
      <c r="E958" s="13" t="str">
        <f>IF(ISERROR(VLOOKUP(F958,Magic!H:H,1,0)),IF(ISERROR(VLOOKUP(F958,Magic!T:T,1,0)),"N","Y"),"Y")</f>
        <v>N</v>
      </c>
      <c r="F958" s="13">
        <v>958</v>
      </c>
    </row>
    <row r="959" spans="1:6" x14ac:dyDescent="0.25">
      <c r="A959" s="16">
        <v>42822</v>
      </c>
      <c r="B959" s="13" t="s">
        <v>146</v>
      </c>
      <c r="C959" s="13">
        <v>37</v>
      </c>
      <c r="D959" s="13">
        <v>264.75</v>
      </c>
      <c r="E959" s="13" t="str">
        <f>IF(ISERROR(VLOOKUP(F959,Magic!H:H,1,0)),IF(ISERROR(VLOOKUP(F959,Magic!T:T,1,0)),"N","Y"),"Y")</f>
        <v>N</v>
      </c>
      <c r="F959" s="13">
        <v>959</v>
      </c>
    </row>
    <row r="960" spans="1:6" x14ac:dyDescent="0.25">
      <c r="A960" s="16">
        <v>42822</v>
      </c>
      <c r="B960" s="13" t="s">
        <v>472</v>
      </c>
      <c r="C960" s="13">
        <v>43</v>
      </c>
      <c r="D960" s="13">
        <v>1009.95</v>
      </c>
      <c r="E960" s="13" t="str">
        <f>IF(ISERROR(VLOOKUP(F960,Magic!H:H,1,0)),IF(ISERROR(VLOOKUP(F960,Magic!T:T,1,0)),"N","Y"),"Y")</f>
        <v>N</v>
      </c>
      <c r="F960" s="13">
        <v>961</v>
      </c>
    </row>
    <row r="961" spans="1:6" x14ac:dyDescent="0.25">
      <c r="A961" s="16">
        <v>42822</v>
      </c>
      <c r="B961" s="13" t="s">
        <v>25</v>
      </c>
      <c r="C961" s="13">
        <v>44</v>
      </c>
      <c r="D961" s="13">
        <v>137.94999999999999</v>
      </c>
      <c r="E961" s="13" t="str">
        <f>IF(ISERROR(VLOOKUP(F961,Magic!H:H,1,0)),IF(ISERROR(VLOOKUP(F961,Magic!T:T,1,0)),"N","Y"),"Y")</f>
        <v>N</v>
      </c>
      <c r="F961" s="13">
        <v>962</v>
      </c>
    </row>
    <row r="962" spans="1:6" x14ac:dyDescent="0.25">
      <c r="A962" s="16">
        <v>42822</v>
      </c>
      <c r="B962" s="13" t="s">
        <v>27</v>
      </c>
      <c r="C962" s="13">
        <v>101</v>
      </c>
      <c r="D962" s="13">
        <v>357.95</v>
      </c>
      <c r="E962" s="13" t="str">
        <f>IF(ISERROR(VLOOKUP(F962,Magic!H:H,1,0)),IF(ISERROR(VLOOKUP(F962,Magic!T:T,1,0)),"N","Y"),"Y")</f>
        <v>N</v>
      </c>
      <c r="F962" s="13">
        <v>963</v>
      </c>
    </row>
    <row r="963" spans="1:6" x14ac:dyDescent="0.25">
      <c r="A963" s="16">
        <v>42822</v>
      </c>
      <c r="B963" s="13" t="s">
        <v>27</v>
      </c>
      <c r="C963" s="13">
        <v>101</v>
      </c>
      <c r="D963" s="13">
        <v>70</v>
      </c>
      <c r="E963" s="13" t="str">
        <f>IF(ISERROR(VLOOKUP(F963,Magic!H:H,1,0)),IF(ISERROR(VLOOKUP(F963,Magic!T:T,1,0)),"N","Y"),"Y")</f>
        <v>N</v>
      </c>
      <c r="F963" s="13">
        <v>964</v>
      </c>
    </row>
    <row r="964" spans="1:6" x14ac:dyDescent="0.25">
      <c r="A964" s="16">
        <v>42822</v>
      </c>
      <c r="B964" s="13" t="s">
        <v>28</v>
      </c>
      <c r="C964" s="13">
        <v>103</v>
      </c>
      <c r="D964" s="13">
        <v>1016.7</v>
      </c>
      <c r="E964" s="13" t="str">
        <f>IF(ISERROR(VLOOKUP(F964,Magic!H:H,1,0)),IF(ISERROR(VLOOKUP(F964,Magic!T:T,1,0)),"N","Y"),"Y")</f>
        <v>N</v>
      </c>
      <c r="F964" s="13">
        <v>965</v>
      </c>
    </row>
    <row r="965" spans="1:6" x14ac:dyDescent="0.25">
      <c r="A965" s="16">
        <v>42822</v>
      </c>
      <c r="B965" s="13" t="s">
        <v>611</v>
      </c>
      <c r="C965" s="13">
        <v>201</v>
      </c>
      <c r="D965" s="13">
        <v>130</v>
      </c>
      <c r="E965" s="13" t="str">
        <f>IF(ISERROR(VLOOKUP(F965,Magic!H:H,1,0)),IF(ISERROR(VLOOKUP(F965,Magic!T:T,1,0)),"N","Y"),"Y")</f>
        <v>N</v>
      </c>
      <c r="F965" s="13">
        <v>966</v>
      </c>
    </row>
    <row r="966" spans="1:6" x14ac:dyDescent="0.25">
      <c r="A966" s="16">
        <v>42822</v>
      </c>
      <c r="B966" s="13" t="s">
        <v>146</v>
      </c>
      <c r="C966" s="13">
        <v>37</v>
      </c>
      <c r="D966" s="13">
        <v>1011.4</v>
      </c>
      <c r="E966" s="13" t="str">
        <f>IF(ISERROR(VLOOKUP(F966,Magic!H:H,1,0)),IF(ISERROR(VLOOKUP(F966,Magic!T:T,1,0)),"N","Y"),"Y")</f>
        <v>N</v>
      </c>
      <c r="F966" s="13">
        <v>967</v>
      </c>
    </row>
    <row r="967" spans="1:6" x14ac:dyDescent="0.25">
      <c r="A967" s="16">
        <v>42822</v>
      </c>
      <c r="B967" s="13" t="s">
        <v>146</v>
      </c>
      <c r="C967" s="13">
        <v>37</v>
      </c>
      <c r="D967" s="13">
        <v>667.4</v>
      </c>
      <c r="E967" s="13" t="s">
        <v>71</v>
      </c>
      <c r="F967" s="13">
        <v>960</v>
      </c>
    </row>
    <row r="968" spans="1:6" x14ac:dyDescent="0.25">
      <c r="A968" s="16">
        <v>42821</v>
      </c>
      <c r="B968" s="13" t="s">
        <v>146</v>
      </c>
      <c r="C968" s="13">
        <v>37</v>
      </c>
      <c r="D968" s="13">
        <v>344</v>
      </c>
      <c r="E968" s="13" t="s">
        <v>71</v>
      </c>
      <c r="F968" s="13">
        <v>935</v>
      </c>
    </row>
    <row r="969" spans="1:6" x14ac:dyDescent="0.25">
      <c r="A969" s="16">
        <v>42823</v>
      </c>
      <c r="B969" s="13" t="s">
        <v>29</v>
      </c>
      <c r="C969" s="13">
        <v>35</v>
      </c>
      <c r="D969" s="13">
        <v>740</v>
      </c>
      <c r="E969" s="13" t="str">
        <f>IF(ISERROR(VLOOKUP(F969,Magic!H:H,1,0)),IF(ISERROR(VLOOKUP(F969,Magic!T:T,1,0)),"N","Y"),"Y")</f>
        <v>N</v>
      </c>
      <c r="F969" s="13">
        <v>968</v>
      </c>
    </row>
    <row r="970" spans="1:6" x14ac:dyDescent="0.25">
      <c r="A970" s="16">
        <v>42823</v>
      </c>
      <c r="B970" s="13" t="s">
        <v>31</v>
      </c>
      <c r="C970" s="13">
        <v>37</v>
      </c>
      <c r="D970" s="13">
        <v>399.9</v>
      </c>
      <c r="E970" s="13" t="str">
        <f>IF(ISERROR(VLOOKUP(F970,Magic!H:H,1,0)),IF(ISERROR(VLOOKUP(F970,Magic!T:T,1,0)),"N","Y"),"Y")</f>
        <v>N</v>
      </c>
      <c r="F970" s="13">
        <v>969</v>
      </c>
    </row>
    <row r="971" spans="1:6" x14ac:dyDescent="0.25">
      <c r="A971" s="16">
        <v>42823</v>
      </c>
      <c r="B971" s="13" t="s">
        <v>81</v>
      </c>
      <c r="C971" s="13">
        <v>41</v>
      </c>
      <c r="D971" s="13">
        <v>325</v>
      </c>
      <c r="E971" s="13" t="str">
        <f>IF(ISERROR(VLOOKUP(F971,Magic!H:H,1,0)),IF(ISERROR(VLOOKUP(F971,Magic!T:T,1,0)),"N","Y"),"Y")</f>
        <v>N</v>
      </c>
      <c r="F971" s="13">
        <v>970</v>
      </c>
    </row>
    <row r="972" spans="1:6" x14ac:dyDescent="0.25">
      <c r="A972" s="16">
        <v>42823</v>
      </c>
      <c r="B972" s="13" t="s">
        <v>81</v>
      </c>
      <c r="C972" s="13">
        <v>41</v>
      </c>
      <c r="D972" s="13">
        <v>315</v>
      </c>
      <c r="E972" s="13" t="str">
        <f>IF(ISERROR(VLOOKUP(F972,Magic!H:H,1,0)),IF(ISERROR(VLOOKUP(F972,Magic!T:T,1,0)),"N","Y"),"Y")</f>
        <v>N</v>
      </c>
      <c r="F972" s="13">
        <v>971</v>
      </c>
    </row>
    <row r="973" spans="1:6" x14ac:dyDescent="0.25">
      <c r="A973" s="16">
        <v>42823</v>
      </c>
      <c r="B973" s="13" t="s">
        <v>24</v>
      </c>
      <c r="C973" s="13">
        <v>43</v>
      </c>
      <c r="D973" s="13">
        <v>1069.8</v>
      </c>
      <c r="E973" s="13" t="str">
        <f>IF(ISERROR(VLOOKUP(F973,Magic!H:H,1,0)),IF(ISERROR(VLOOKUP(F973,Magic!T:T,1,0)),"N","Y"),"Y")</f>
        <v>N</v>
      </c>
      <c r="F973" s="13">
        <v>972</v>
      </c>
    </row>
    <row r="974" spans="1:6" x14ac:dyDescent="0.25">
      <c r="A974" s="16">
        <v>42823</v>
      </c>
      <c r="B974" s="13" t="s">
        <v>25</v>
      </c>
      <c r="C974" s="13">
        <v>44</v>
      </c>
      <c r="D974" s="13">
        <v>384.65</v>
      </c>
      <c r="E974" s="13" t="str">
        <f>IF(ISERROR(VLOOKUP(F974,Magic!H:H,1,0)),IF(ISERROR(VLOOKUP(F974,Magic!T:T,1,0)),"N","Y"),"Y")</f>
        <v>N</v>
      </c>
      <c r="F974" s="13">
        <v>973</v>
      </c>
    </row>
    <row r="975" spans="1:6" x14ac:dyDescent="0.25">
      <c r="A975" s="16">
        <v>42823</v>
      </c>
      <c r="B975" s="13" t="s">
        <v>27</v>
      </c>
      <c r="C975" s="13">
        <v>101</v>
      </c>
      <c r="D975" s="13">
        <v>343.8</v>
      </c>
      <c r="E975" s="13" t="str">
        <f>IF(ISERROR(VLOOKUP(F975,Magic!H:H,1,0)),IF(ISERROR(VLOOKUP(F975,Magic!T:T,1,0)),"N","Y"),"Y")</f>
        <v>N</v>
      </c>
      <c r="F975" s="13">
        <v>974</v>
      </c>
    </row>
    <row r="976" spans="1:6" x14ac:dyDescent="0.25">
      <c r="A976" s="16">
        <v>42823</v>
      </c>
      <c r="B976" s="13" t="s">
        <v>28</v>
      </c>
      <c r="C976" s="13">
        <v>103</v>
      </c>
      <c r="D976" s="13">
        <v>629.85</v>
      </c>
      <c r="E976" s="13" t="str">
        <f>IF(ISERROR(VLOOKUP(F976,Magic!H:H,1,0)),IF(ISERROR(VLOOKUP(F976,Magic!T:T,1,0)),"N","Y"),"Y")</f>
        <v>N</v>
      </c>
      <c r="F976" s="13">
        <v>975</v>
      </c>
    </row>
    <row r="977" spans="1:6" x14ac:dyDescent="0.25">
      <c r="A977" s="16">
        <v>42824</v>
      </c>
      <c r="B977" s="13" t="s">
        <v>355</v>
      </c>
      <c r="C977" s="13">
        <v>103</v>
      </c>
      <c r="D977" s="13">
        <v>21.7</v>
      </c>
      <c r="E977" s="13" t="str">
        <f>IF(ISERROR(VLOOKUP(F977,Magic!H:H,1,0)),IF(ISERROR(VLOOKUP(F977,Magic!T:T,1,0)),"N","Y"),"Y")</f>
        <v>N</v>
      </c>
      <c r="F977" s="13">
        <v>976</v>
      </c>
    </row>
    <row r="978" spans="1:6" x14ac:dyDescent="0.25">
      <c r="A978" s="16">
        <v>42824</v>
      </c>
      <c r="B978" s="13" t="s">
        <v>31</v>
      </c>
      <c r="C978" s="13">
        <v>37</v>
      </c>
      <c r="D978" s="13">
        <v>224.95</v>
      </c>
      <c r="E978" s="13" t="str">
        <f>IF(ISERROR(VLOOKUP(F978,Magic!H:H,1,0)),IF(ISERROR(VLOOKUP(F978,Magic!T:T,1,0)),"N","Y"),"Y")</f>
        <v>N</v>
      </c>
      <c r="F978" s="13">
        <v>977</v>
      </c>
    </row>
    <row r="979" spans="1:6" x14ac:dyDescent="0.25">
      <c r="A979" s="16">
        <v>42824</v>
      </c>
      <c r="B979" s="13" t="s">
        <v>81</v>
      </c>
      <c r="C979" s="13">
        <v>41</v>
      </c>
      <c r="D979" s="13">
        <v>362.95</v>
      </c>
      <c r="E979" s="13" t="str">
        <f>IF(ISERROR(VLOOKUP(F979,Magic!H:H,1,0)),IF(ISERROR(VLOOKUP(F979,Magic!T:T,1,0)),"N","Y"),"Y")</f>
        <v>N</v>
      </c>
      <c r="F979" s="13">
        <v>978</v>
      </c>
    </row>
    <row r="980" spans="1:6" x14ac:dyDescent="0.25">
      <c r="A980" s="16">
        <v>42824</v>
      </c>
      <c r="B980" s="13" t="s">
        <v>25</v>
      </c>
      <c r="C980" s="13">
        <v>44</v>
      </c>
      <c r="D980" s="13">
        <v>197.95</v>
      </c>
      <c r="E980" s="13" t="str">
        <f>IF(ISERROR(VLOOKUP(F980,Magic!H:H,1,0)),IF(ISERROR(VLOOKUP(F980,Magic!T:T,1,0)),"N","Y"),"Y")</f>
        <v>N</v>
      </c>
      <c r="F980" s="13">
        <v>979</v>
      </c>
    </row>
    <row r="981" spans="1:6" x14ac:dyDescent="0.25">
      <c r="A981" s="16">
        <v>42824</v>
      </c>
      <c r="B981" s="13" t="s">
        <v>27</v>
      </c>
      <c r="C981" s="13">
        <v>101</v>
      </c>
      <c r="D981" s="13">
        <v>433.85</v>
      </c>
      <c r="E981" s="13" t="str">
        <f>IF(ISERROR(VLOOKUP(F981,Magic!H:H,1,0)),IF(ISERROR(VLOOKUP(F981,Magic!T:T,1,0)),"N","Y"),"Y")</f>
        <v>N</v>
      </c>
      <c r="F981" s="13">
        <v>980</v>
      </c>
    </row>
    <row r="982" spans="1:6" x14ac:dyDescent="0.25">
      <c r="A982" s="16">
        <v>42824</v>
      </c>
      <c r="B982" s="13" t="s">
        <v>202</v>
      </c>
      <c r="C982" s="13">
        <v>103</v>
      </c>
      <c r="D982" s="13">
        <v>650</v>
      </c>
      <c r="E982" s="13" t="str">
        <f>IF(ISERROR(VLOOKUP(F982,Magic!H:H,1,0)),IF(ISERROR(VLOOKUP(F982,Magic!T:T,1,0)),"N","Y"),"Y")</f>
        <v>N</v>
      </c>
      <c r="F982" s="13">
        <v>981</v>
      </c>
    </row>
    <row r="983" spans="1:6" x14ac:dyDescent="0.25">
      <c r="A983" s="16">
        <v>42824</v>
      </c>
      <c r="B983" s="13" t="s">
        <v>867</v>
      </c>
      <c r="C983" s="13">
        <v>43</v>
      </c>
      <c r="D983" s="13">
        <v>470</v>
      </c>
      <c r="E983" s="13" t="str">
        <f>IF(ISERROR(VLOOKUP(F983,Magic!H:H,1,0)),IF(ISERROR(VLOOKUP(F983,Magic!T:T,1,0)),"N","Y"),"Y")</f>
        <v>N</v>
      </c>
      <c r="F983" s="13">
        <v>982</v>
      </c>
    </row>
    <row r="984" spans="1:6" x14ac:dyDescent="0.25">
      <c r="A984" s="16">
        <v>42826</v>
      </c>
      <c r="B984" s="13" t="s">
        <v>29</v>
      </c>
      <c r="C984" s="13">
        <v>35</v>
      </c>
      <c r="D984" s="13">
        <v>765</v>
      </c>
      <c r="E984" s="13" t="str">
        <f>IF(ISERROR(VLOOKUP(F984,Magic!H:H,1,0)),IF(ISERROR(VLOOKUP(F984,Magic!T:T,1,0)),"N","Y"),"Y")</f>
        <v>Y</v>
      </c>
      <c r="F984" s="13">
        <v>983</v>
      </c>
    </row>
    <row r="985" spans="1:6" x14ac:dyDescent="0.25">
      <c r="A985" s="16">
        <v>42825</v>
      </c>
      <c r="B985" s="13" t="s">
        <v>29</v>
      </c>
      <c r="C985" s="13">
        <v>35</v>
      </c>
      <c r="D985" s="13">
        <v>815</v>
      </c>
      <c r="E985" s="13" t="str">
        <f>IF(ISERROR(VLOOKUP(F985,Magic!H:H,1,0)),IF(ISERROR(VLOOKUP(F985,Magic!T:T,1,0)),"N","Y"),"Y")</f>
        <v>N</v>
      </c>
      <c r="F985" s="13">
        <v>984</v>
      </c>
    </row>
    <row r="986" spans="1:6" x14ac:dyDescent="0.25">
      <c r="A986" s="16">
        <v>42825</v>
      </c>
      <c r="B986" s="13" t="s">
        <v>82</v>
      </c>
      <c r="C986" s="13">
        <v>35</v>
      </c>
      <c r="D986" s="13">
        <v>2.95</v>
      </c>
      <c r="E986" s="13" t="str">
        <f>IF(ISERROR(VLOOKUP(F986,Magic!H:H,1,0)),IF(ISERROR(VLOOKUP(F986,Magic!T:T,1,0)),"N","Y"),"Y")</f>
        <v>N</v>
      </c>
      <c r="F986" s="13">
        <v>985</v>
      </c>
    </row>
    <row r="987" spans="1:6" x14ac:dyDescent="0.25">
      <c r="A987" s="16">
        <v>42825</v>
      </c>
      <c r="B987" s="13" t="s">
        <v>82</v>
      </c>
      <c r="C987" s="13">
        <v>35</v>
      </c>
      <c r="D987" s="13">
        <v>700.7</v>
      </c>
      <c r="E987" s="13" t="str">
        <f>IF(ISERROR(VLOOKUP(F987,Magic!H:H,1,0)),IF(ISERROR(VLOOKUP(F987,Magic!T:T,1,0)),"N","Y"),"Y")</f>
        <v>N</v>
      </c>
      <c r="F987" s="13">
        <v>986</v>
      </c>
    </row>
    <row r="988" spans="1:6" x14ac:dyDescent="0.25">
      <c r="A988" s="16">
        <v>42825</v>
      </c>
      <c r="B988" s="13" t="s">
        <v>146</v>
      </c>
      <c r="C988" s="13">
        <v>37</v>
      </c>
      <c r="D988" s="13">
        <v>671.85</v>
      </c>
      <c r="E988" s="13" t="str">
        <f>IF(ISERROR(VLOOKUP(F988,Magic!H:H,1,0)),IF(ISERROR(VLOOKUP(F988,Magic!T:T,1,0)),"N","Y"),"Y")</f>
        <v>N</v>
      </c>
      <c r="F988" s="13">
        <v>987</v>
      </c>
    </row>
    <row r="989" spans="1:6" x14ac:dyDescent="0.25">
      <c r="A989" s="16">
        <v>42825</v>
      </c>
      <c r="B989" s="13" t="s">
        <v>146</v>
      </c>
      <c r="C989" s="13">
        <v>37</v>
      </c>
      <c r="D989" s="13">
        <v>5</v>
      </c>
      <c r="E989" s="13" t="str">
        <f>IF(ISERROR(VLOOKUP(F989,Magic!H:H,1,0)),IF(ISERROR(VLOOKUP(F989,Magic!T:T,1,0)),"N","Y"),"Y")</f>
        <v>N</v>
      </c>
      <c r="F989" s="13">
        <v>988</v>
      </c>
    </row>
    <row r="990" spans="1:6" x14ac:dyDescent="0.25">
      <c r="A990" s="16">
        <v>42825</v>
      </c>
      <c r="B990" s="13" t="s">
        <v>81</v>
      </c>
      <c r="C990" s="13">
        <v>41</v>
      </c>
      <c r="D990" s="13">
        <v>400</v>
      </c>
      <c r="E990" s="13" t="str">
        <f>IF(ISERROR(VLOOKUP(F990,Magic!H:H,1,0)),IF(ISERROR(VLOOKUP(F990,Magic!T:T,1,0)),"N","Y"),"Y")</f>
        <v>N</v>
      </c>
      <c r="F990" s="13">
        <v>990</v>
      </c>
    </row>
    <row r="991" spans="1:6" x14ac:dyDescent="0.25">
      <c r="A991" s="16">
        <v>42825</v>
      </c>
      <c r="B991" s="13" t="s">
        <v>24</v>
      </c>
      <c r="C991" s="13">
        <v>43</v>
      </c>
      <c r="D991" s="13">
        <v>742.95</v>
      </c>
      <c r="E991" s="13" t="str">
        <f>IF(ISERROR(VLOOKUP(F991,Magic!H:H,1,0)),IF(ISERROR(VLOOKUP(F991,Magic!T:T,1,0)),"N","Y"),"Y")</f>
        <v>N</v>
      </c>
      <c r="F991" s="13">
        <v>991</v>
      </c>
    </row>
    <row r="992" spans="1:6" x14ac:dyDescent="0.25">
      <c r="A992" s="16">
        <v>42825</v>
      </c>
      <c r="B992" s="13" t="s">
        <v>25</v>
      </c>
      <c r="C992" s="13">
        <v>44</v>
      </c>
      <c r="D992" s="13">
        <v>295.89999999999998</v>
      </c>
      <c r="E992" s="13" t="str">
        <f>IF(ISERROR(VLOOKUP(F992,Magic!H:H,1,0)),IF(ISERROR(VLOOKUP(F992,Magic!T:T,1,0)),"N","Y"),"Y")</f>
        <v>N</v>
      </c>
      <c r="F992" s="13">
        <v>992</v>
      </c>
    </row>
    <row r="993" spans="1:6" x14ac:dyDescent="0.25">
      <c r="A993" s="16">
        <v>42825</v>
      </c>
      <c r="B993" s="13" t="s">
        <v>27</v>
      </c>
      <c r="C993" s="13">
        <v>101</v>
      </c>
      <c r="D993" s="13">
        <v>497.95</v>
      </c>
      <c r="E993" s="13" t="str">
        <f>IF(ISERROR(VLOOKUP(F993,Magic!H:H,1,0)),IF(ISERROR(VLOOKUP(F993,Magic!T:T,1,0)),"N","Y"),"Y")</f>
        <v>N</v>
      </c>
      <c r="F993" s="13">
        <v>993</v>
      </c>
    </row>
    <row r="994" spans="1:6" x14ac:dyDescent="0.25">
      <c r="A994" s="16">
        <v>42825</v>
      </c>
      <c r="B994" s="13" t="s">
        <v>28</v>
      </c>
      <c r="C994" s="13">
        <v>103</v>
      </c>
      <c r="D994" s="13">
        <v>1085.5999999999999</v>
      </c>
      <c r="E994" s="13" t="str">
        <f>IF(ISERROR(VLOOKUP(F994,Magic!H:H,1,0)),IF(ISERROR(VLOOKUP(F994,Magic!T:T,1,0)),"N","Y"),"Y")</f>
        <v>N</v>
      </c>
      <c r="F994" s="13">
        <v>994</v>
      </c>
    </row>
    <row r="995" spans="1:6" x14ac:dyDescent="0.25">
      <c r="A995" s="16">
        <v>42825</v>
      </c>
      <c r="B995" s="13" t="s">
        <v>611</v>
      </c>
      <c r="C995" s="13">
        <v>201</v>
      </c>
      <c r="D995" s="13">
        <v>517.95000000000005</v>
      </c>
      <c r="E995" s="13" t="str">
        <f>IF(ISERROR(VLOOKUP(F995,Magic!H:H,1,0)),IF(ISERROR(VLOOKUP(F995,Magic!T:T,1,0)),"N","Y"),"Y")</f>
        <v>N</v>
      </c>
      <c r="F995" s="13">
        <v>995</v>
      </c>
    </row>
    <row r="996" spans="1:6" x14ac:dyDescent="0.25">
      <c r="A996" s="16">
        <v>42825</v>
      </c>
      <c r="B996" s="13" t="s">
        <v>611</v>
      </c>
      <c r="C996" s="13">
        <v>201</v>
      </c>
      <c r="D996" s="13">
        <v>447.5</v>
      </c>
      <c r="E996" s="13" t="str">
        <f>IF(ISERROR(VLOOKUP(F996,Magic!H:H,1,0)),IF(ISERROR(VLOOKUP(F996,Magic!T:T,1,0)),"N","Y"),"Y")</f>
        <v>N</v>
      </c>
      <c r="F996" s="13">
        <v>996</v>
      </c>
    </row>
    <row r="997" spans="1:6" x14ac:dyDescent="0.25">
      <c r="A997" s="16">
        <v>42825</v>
      </c>
      <c r="B997" s="13" t="s">
        <v>611</v>
      </c>
      <c r="C997" s="13">
        <v>201</v>
      </c>
      <c r="D997" s="13">
        <v>280</v>
      </c>
      <c r="E997" s="13" t="str">
        <f>IF(ISERROR(VLOOKUP(F997,Magic!H:H,1,0)),IF(ISERROR(VLOOKUP(F997,Magic!T:T,1,0)),"N","Y"),"Y")</f>
        <v>N</v>
      </c>
      <c r="F997" s="13">
        <v>997</v>
      </c>
    </row>
    <row r="998" spans="1:6" x14ac:dyDescent="0.25">
      <c r="A998" s="16">
        <v>42826</v>
      </c>
      <c r="B998" s="13" t="s">
        <v>28</v>
      </c>
      <c r="C998" s="13">
        <v>103</v>
      </c>
      <c r="D998" s="13">
        <v>1110.8</v>
      </c>
      <c r="E998" s="13" t="str">
        <f>IF(ISERROR(VLOOKUP(F998,Magic!H:H,1,0)),IF(ISERROR(VLOOKUP(F998,Magic!T:T,1,0)),"N","Y"),"Y")</f>
        <v>N</v>
      </c>
      <c r="F998" s="13">
        <v>998</v>
      </c>
    </row>
    <row r="999" spans="1:6" x14ac:dyDescent="0.25">
      <c r="A999" s="16">
        <v>42828</v>
      </c>
      <c r="B999" s="13" t="s">
        <v>29</v>
      </c>
      <c r="C999" s="13">
        <v>35</v>
      </c>
      <c r="D999" s="13">
        <v>345</v>
      </c>
      <c r="E999" s="13" t="str">
        <f>IF(ISERROR(VLOOKUP(F999,Magic!H:H,1,0)),IF(ISERROR(VLOOKUP(F999,Magic!T:T,1,0)),"N","Y"),"Y")</f>
        <v>Y</v>
      </c>
      <c r="F999" s="13">
        <v>999</v>
      </c>
    </row>
    <row r="1000" spans="1:6" x14ac:dyDescent="0.25">
      <c r="A1000" s="16">
        <v>42828</v>
      </c>
      <c r="B1000" s="13" t="s">
        <v>82</v>
      </c>
      <c r="C1000" s="13">
        <v>35</v>
      </c>
      <c r="D1000" s="13">
        <v>652.65</v>
      </c>
      <c r="E1000" s="13" t="str">
        <f>IF(ISERROR(VLOOKUP(F1000,Magic!H:H,1,0)),IF(ISERROR(VLOOKUP(F1000,Magic!T:T,1,0)),"N","Y"),"Y")</f>
        <v>Y</v>
      </c>
      <c r="F1000" s="13">
        <v>1000</v>
      </c>
    </row>
    <row r="1001" spans="1:6" x14ac:dyDescent="0.25">
      <c r="A1001" s="16">
        <v>42828</v>
      </c>
      <c r="B1001" s="13" t="s">
        <v>82</v>
      </c>
      <c r="C1001" s="13">
        <v>35</v>
      </c>
      <c r="D1001" s="13">
        <v>3.85</v>
      </c>
      <c r="E1001" s="13" t="str">
        <f>IF(ISERROR(VLOOKUP(F1001,Magic!H:H,1,0)),IF(ISERROR(VLOOKUP(F1001,Magic!T:T,1,0)),"N","Y"),"Y")</f>
        <v>Y</v>
      </c>
      <c r="F1001" s="13">
        <v>1001</v>
      </c>
    </row>
    <row r="1002" spans="1:6" x14ac:dyDescent="0.25">
      <c r="A1002" s="16">
        <v>42828</v>
      </c>
      <c r="B1002" s="13" t="s">
        <v>82</v>
      </c>
      <c r="C1002" s="13">
        <v>35</v>
      </c>
      <c r="D1002" s="13">
        <v>6.8</v>
      </c>
      <c r="E1002" s="13" t="str">
        <f>IF(ISERROR(VLOOKUP(F1002,Magic!H:H,1,0)),IF(ISERROR(VLOOKUP(F1002,Magic!T:T,1,0)),"N","Y"),"Y")</f>
        <v>N</v>
      </c>
      <c r="F1002" s="13">
        <v>1002</v>
      </c>
    </row>
    <row r="1003" spans="1:6" x14ac:dyDescent="0.25">
      <c r="A1003" s="16">
        <v>42828</v>
      </c>
      <c r="B1003" s="13" t="s">
        <v>146</v>
      </c>
      <c r="C1003" s="13">
        <v>37</v>
      </c>
      <c r="D1003" s="13">
        <v>557.95000000000005</v>
      </c>
      <c r="E1003" s="13" t="str">
        <f>IF(ISERROR(VLOOKUP(F1003,Magic!H:H,1,0)),IF(ISERROR(VLOOKUP(F1003,Magic!T:T,1,0)),"N","Y"),"Y")</f>
        <v>Y</v>
      </c>
      <c r="F1003" s="13">
        <v>1003</v>
      </c>
    </row>
    <row r="1004" spans="1:6" x14ac:dyDescent="0.25">
      <c r="A1004" s="16">
        <v>42828</v>
      </c>
      <c r="B1004" s="13" t="s">
        <v>146</v>
      </c>
      <c r="C1004" s="13">
        <v>37</v>
      </c>
      <c r="D1004" s="13">
        <v>590</v>
      </c>
      <c r="E1004" s="13" t="str">
        <f>IF(ISERROR(VLOOKUP(F1004,Magic!H:H,1,0)),IF(ISERROR(VLOOKUP(F1004,Magic!T:T,1,0)),"N","Y"),"Y")</f>
        <v>Y</v>
      </c>
      <c r="F1004" s="13">
        <v>1004</v>
      </c>
    </row>
    <row r="1005" spans="1:6" x14ac:dyDescent="0.25">
      <c r="A1005" s="16">
        <v>42828</v>
      </c>
      <c r="B1005" s="13" t="s">
        <v>81</v>
      </c>
      <c r="C1005" s="13">
        <v>41</v>
      </c>
      <c r="D1005" s="13">
        <v>285</v>
      </c>
      <c r="E1005" s="13" t="str">
        <f>IF(ISERROR(VLOOKUP(F1005,Magic!H:H,1,0)),IF(ISERROR(VLOOKUP(F1005,Magic!T:T,1,0)),"N","Y"),"Y")</f>
        <v>Y</v>
      </c>
      <c r="F1005" s="13">
        <v>1006</v>
      </c>
    </row>
    <row r="1006" spans="1:6" x14ac:dyDescent="0.25">
      <c r="A1006" s="16">
        <v>42828</v>
      </c>
      <c r="B1006" s="13" t="s">
        <v>81</v>
      </c>
      <c r="C1006" s="13">
        <v>41</v>
      </c>
      <c r="D1006" s="13">
        <v>420</v>
      </c>
      <c r="E1006" s="13" t="str">
        <f>IF(ISERROR(VLOOKUP(F1006,Magic!H:H,1,0)),IF(ISERROR(VLOOKUP(F1006,Magic!T:T,1,0)),"N","Y"),"Y")</f>
        <v>Y</v>
      </c>
      <c r="F1006" s="13">
        <v>1007</v>
      </c>
    </row>
    <row r="1007" spans="1:6" x14ac:dyDescent="0.25">
      <c r="A1007" s="16">
        <v>42828</v>
      </c>
      <c r="B1007" s="13" t="s">
        <v>81</v>
      </c>
      <c r="C1007" s="13">
        <v>41</v>
      </c>
      <c r="D1007" s="13">
        <v>842.95</v>
      </c>
      <c r="E1007" s="13" t="str">
        <f>IF(ISERROR(VLOOKUP(F1007,Magic!H:H,1,0)),IF(ISERROR(VLOOKUP(F1007,Magic!T:T,1,0)),"N","Y"),"Y")</f>
        <v>N</v>
      </c>
      <c r="F1007" s="13">
        <v>1008</v>
      </c>
    </row>
    <row r="1008" spans="1:6" x14ac:dyDescent="0.25">
      <c r="A1008" s="16">
        <v>42828</v>
      </c>
      <c r="B1008" s="13" t="s">
        <v>472</v>
      </c>
      <c r="C1008" s="13">
        <v>43</v>
      </c>
      <c r="D1008" s="13">
        <v>942.9</v>
      </c>
      <c r="E1008" s="13" t="str">
        <f>IF(ISERROR(VLOOKUP(F1008,Magic!H:H,1,0)),IF(ISERROR(VLOOKUP(F1008,Magic!T:T,1,0)),"N","Y"),"Y")</f>
        <v>N</v>
      </c>
      <c r="F1008" s="13">
        <v>1009</v>
      </c>
    </row>
    <row r="1009" spans="1:6" x14ac:dyDescent="0.25">
      <c r="A1009" s="16">
        <v>42828</v>
      </c>
      <c r="B1009" s="13" t="s">
        <v>472</v>
      </c>
      <c r="C1009" s="13">
        <v>43</v>
      </c>
      <c r="D1009" s="13">
        <v>589.95000000000005</v>
      </c>
      <c r="E1009" s="13" t="str">
        <f>IF(ISERROR(VLOOKUP(F1009,Magic!H:H,1,0)),IF(ISERROR(VLOOKUP(F1009,Magic!T:T,1,0)),"N","Y"),"Y")</f>
        <v>Y</v>
      </c>
      <c r="F1009" s="13">
        <v>1010</v>
      </c>
    </row>
    <row r="1010" spans="1:6" x14ac:dyDescent="0.25">
      <c r="A1010" s="16">
        <v>42828</v>
      </c>
      <c r="B1010" s="13" t="s">
        <v>472</v>
      </c>
      <c r="C1010" s="13">
        <v>43</v>
      </c>
      <c r="D1010" s="13">
        <v>640</v>
      </c>
      <c r="E1010" s="13" t="str">
        <f>IF(ISERROR(VLOOKUP(F1010,Magic!H:H,1,0)),IF(ISERROR(VLOOKUP(F1010,Magic!T:T,1,0)),"N","Y"),"Y")</f>
        <v>Y</v>
      </c>
      <c r="F1010" s="13">
        <v>1011</v>
      </c>
    </row>
    <row r="1011" spans="1:6" x14ac:dyDescent="0.25">
      <c r="A1011" s="16">
        <v>42828</v>
      </c>
      <c r="B1011" s="13" t="s">
        <v>25</v>
      </c>
      <c r="C1011" s="13">
        <v>44</v>
      </c>
      <c r="D1011" s="13">
        <v>220.9</v>
      </c>
      <c r="E1011" s="13" t="str">
        <f>IF(ISERROR(VLOOKUP(F1011,Magic!H:H,1,0)),IF(ISERROR(VLOOKUP(F1011,Magic!T:T,1,0)),"N","Y"),"Y")</f>
        <v>Y</v>
      </c>
      <c r="F1011" s="13">
        <v>1012</v>
      </c>
    </row>
    <row r="1012" spans="1:6" x14ac:dyDescent="0.25">
      <c r="A1012" s="16">
        <v>42828</v>
      </c>
      <c r="B1012" s="13" t="s">
        <v>25</v>
      </c>
      <c r="C1012" s="13">
        <v>44</v>
      </c>
      <c r="D1012" s="13">
        <v>433.85</v>
      </c>
      <c r="E1012" s="13" t="str">
        <f>IF(ISERROR(VLOOKUP(F1012,Magic!H:H,1,0)),IF(ISERROR(VLOOKUP(F1012,Magic!T:T,1,0)),"N","Y"),"Y")</f>
        <v>N</v>
      </c>
      <c r="F1012" s="13">
        <v>1013</v>
      </c>
    </row>
    <row r="1013" spans="1:6" x14ac:dyDescent="0.25">
      <c r="A1013" s="16">
        <v>42828</v>
      </c>
      <c r="B1013" s="13" t="s">
        <v>25</v>
      </c>
      <c r="C1013" s="13">
        <v>44</v>
      </c>
      <c r="D1013" s="13">
        <v>73.849999999999994</v>
      </c>
      <c r="E1013" s="13" t="str">
        <f>IF(ISERROR(VLOOKUP(F1013,Magic!H:H,1,0)),IF(ISERROR(VLOOKUP(F1013,Magic!T:T,1,0)),"N","Y"),"Y")</f>
        <v>Y</v>
      </c>
      <c r="F1013" s="13">
        <v>1014</v>
      </c>
    </row>
    <row r="1014" spans="1:6" x14ac:dyDescent="0.25">
      <c r="A1014" s="16">
        <v>42828</v>
      </c>
      <c r="B1014" s="13" t="s">
        <v>27</v>
      </c>
      <c r="C1014" s="13">
        <v>101</v>
      </c>
      <c r="D1014" s="13">
        <v>425.9</v>
      </c>
      <c r="E1014" s="13" t="str">
        <f>IF(ISERROR(VLOOKUP(F1014,Magic!H:H,1,0)),IF(ISERROR(VLOOKUP(F1014,Magic!T:T,1,0)),"N","Y"),"Y")</f>
        <v>Y</v>
      </c>
      <c r="F1014" s="13">
        <v>1015</v>
      </c>
    </row>
    <row r="1015" spans="1:6" x14ac:dyDescent="0.25">
      <c r="A1015" s="16">
        <v>42828</v>
      </c>
      <c r="B1015" s="13" t="s">
        <v>27</v>
      </c>
      <c r="C1015" s="13">
        <v>101</v>
      </c>
      <c r="D1015" s="13">
        <v>418</v>
      </c>
      <c r="E1015" s="13" t="str">
        <f>IF(ISERROR(VLOOKUP(F1015,Magic!H:H,1,0)),IF(ISERROR(VLOOKUP(F1015,Magic!T:T,1,0)),"N","Y"),"Y")</f>
        <v>N</v>
      </c>
      <c r="F1015" s="13">
        <v>1016</v>
      </c>
    </row>
    <row r="1016" spans="1:6" x14ac:dyDescent="0.25">
      <c r="A1016" s="16">
        <v>42828</v>
      </c>
      <c r="B1016" s="13" t="s">
        <v>27</v>
      </c>
      <c r="C1016" s="13">
        <v>101</v>
      </c>
      <c r="D1016" s="13">
        <v>65</v>
      </c>
      <c r="E1016" s="13" t="str">
        <f>IF(ISERROR(VLOOKUP(F1016,Magic!H:H,1,0)),IF(ISERROR(VLOOKUP(F1016,Magic!T:T,1,0)),"N","Y"),"Y")</f>
        <v>Y</v>
      </c>
      <c r="F1016" s="13">
        <v>1017</v>
      </c>
    </row>
    <row r="1017" spans="1:6" x14ac:dyDescent="0.25">
      <c r="A1017" s="16">
        <v>42828</v>
      </c>
      <c r="B1017" s="13" t="s">
        <v>28</v>
      </c>
      <c r="C1017" s="13">
        <v>103</v>
      </c>
      <c r="D1017" s="13">
        <v>686.35</v>
      </c>
      <c r="E1017" s="13" t="str">
        <f>IF(ISERROR(VLOOKUP(F1017,Magic!H:H,1,0)),IF(ISERROR(VLOOKUP(F1017,Magic!T:T,1,0)),"N","Y"),"Y")</f>
        <v>Y</v>
      </c>
      <c r="F1017" s="13">
        <v>1018</v>
      </c>
    </row>
    <row r="1018" spans="1:6" x14ac:dyDescent="0.25">
      <c r="A1018" s="16">
        <v>42828</v>
      </c>
      <c r="B1018" s="13" t="s">
        <v>28</v>
      </c>
      <c r="C1018" s="13">
        <v>103</v>
      </c>
      <c r="D1018" s="13">
        <v>415</v>
      </c>
      <c r="E1018" s="13" t="str">
        <f>IF(ISERROR(VLOOKUP(F1018,Magic!H:H,1,0)),IF(ISERROR(VLOOKUP(F1018,Magic!T:T,1,0)),"N","Y"),"Y")</f>
        <v>Y</v>
      </c>
      <c r="F1018" s="13">
        <v>1019</v>
      </c>
    </row>
    <row r="1019" spans="1:6" x14ac:dyDescent="0.25">
      <c r="A1019" s="26">
        <f>DATE(2017,4,3)</f>
        <v>42828</v>
      </c>
      <c r="B1019" s="13" t="s">
        <v>986</v>
      </c>
      <c r="C1019" s="13">
        <v>201</v>
      </c>
      <c r="D1019" s="13">
        <v>360</v>
      </c>
      <c r="E1019" s="13" t="str">
        <f>IF(ISERROR(VLOOKUP(F1019,Magic!H:H,1,0)),IF(ISERROR(VLOOKUP(F1019,Magic!T:T,1,0)),"N","Y"),"Y")</f>
        <v>N</v>
      </c>
      <c r="F1019" s="13">
        <v>1020</v>
      </c>
    </row>
    <row r="1020" spans="1:6" x14ac:dyDescent="0.25">
      <c r="A1020" s="26">
        <f>DATE(2017,4,3)</f>
        <v>42828</v>
      </c>
      <c r="B1020" s="13" t="s">
        <v>986</v>
      </c>
      <c r="C1020" s="13">
        <v>201</v>
      </c>
      <c r="D1020" s="13">
        <v>351</v>
      </c>
      <c r="E1020" s="13" t="str">
        <f>IF(ISERROR(VLOOKUP(F1020,Magic!H:H,1,0)),IF(ISERROR(VLOOKUP(F1020,Magic!T:T,1,0)),"N","Y"),"Y")</f>
        <v>Y</v>
      </c>
      <c r="F1020" s="13">
        <v>1021</v>
      </c>
    </row>
    <row r="1021" spans="1:6" x14ac:dyDescent="0.25">
      <c r="A1021" s="26">
        <f>DATE(2017,4,3)</f>
        <v>42828</v>
      </c>
      <c r="B1021" s="13" t="s">
        <v>986</v>
      </c>
      <c r="C1021" s="13">
        <v>201</v>
      </c>
      <c r="D1021" s="13">
        <v>105</v>
      </c>
      <c r="E1021" s="13" t="str">
        <f>IF(ISERROR(VLOOKUP(F1021,Magic!H:H,1,0)),IF(ISERROR(VLOOKUP(F1021,Magic!T:T,1,0)),"N","Y"),"Y")</f>
        <v>Y</v>
      </c>
      <c r="F1021" s="13">
        <v>1022</v>
      </c>
    </row>
    <row r="1022" spans="1:6" x14ac:dyDescent="0.25">
      <c r="A1022" s="16">
        <v>42825</v>
      </c>
      <c r="B1022" s="13" t="s">
        <v>31</v>
      </c>
      <c r="C1022" s="13">
        <v>37</v>
      </c>
      <c r="D1022" s="13">
        <v>54</v>
      </c>
      <c r="E1022" s="13" t="s">
        <v>71</v>
      </c>
      <c r="F1022" s="13">
        <v>989</v>
      </c>
    </row>
    <row r="1023" spans="1:6" x14ac:dyDescent="0.25">
      <c r="A1023" s="16">
        <v>42828</v>
      </c>
      <c r="B1023" s="13" t="s">
        <v>146</v>
      </c>
      <c r="C1023" s="13">
        <v>37</v>
      </c>
      <c r="D1023" s="13">
        <v>587.95000000000005</v>
      </c>
      <c r="E1023" s="13" t="s">
        <v>71</v>
      </c>
      <c r="F1023" s="13">
        <v>1005</v>
      </c>
    </row>
    <row r="1024" spans="1:6" x14ac:dyDescent="0.25">
      <c r="A1024" s="16">
        <v>42828</v>
      </c>
      <c r="B1024" s="13" t="s">
        <v>146</v>
      </c>
      <c r="C1024" s="13">
        <v>37</v>
      </c>
      <c r="D1024" s="13">
        <v>637.95000000000005</v>
      </c>
      <c r="E1024" s="13" t="str">
        <f>IF(ISERROR(VLOOKUP(F1024,Magic!H:H,1,0)),IF(ISERROR(VLOOKUP(F1024,Magic!T:T,1,0)),"N","Y"),"Y")</f>
        <v>N</v>
      </c>
      <c r="F1024" s="13">
        <v>1023</v>
      </c>
    </row>
    <row r="1025" spans="1:6" x14ac:dyDescent="0.25">
      <c r="A1025" s="16">
        <v>42828</v>
      </c>
      <c r="B1025" s="13" t="s">
        <v>146</v>
      </c>
      <c r="C1025" s="13">
        <v>37</v>
      </c>
      <c r="D1025" s="13">
        <v>4</v>
      </c>
      <c r="E1025" s="13" t="str">
        <f>IF(ISERROR(VLOOKUP(F1025,Magic!H:H,1,0)),IF(ISERROR(VLOOKUP(F1025,Magic!T:T,1,0)),"N","Y"),"Y")</f>
        <v>N</v>
      </c>
      <c r="F1025" s="13">
        <v>1024</v>
      </c>
    </row>
    <row r="1026" spans="1:6" x14ac:dyDescent="0.25">
      <c r="A1026" s="16">
        <v>42830</v>
      </c>
      <c r="B1026" s="13" t="s">
        <v>29</v>
      </c>
      <c r="C1026" s="13">
        <v>35</v>
      </c>
      <c r="D1026" s="13">
        <v>755</v>
      </c>
      <c r="E1026" s="13" t="str">
        <f>IF(ISERROR(VLOOKUP(F1026,Magic!H:H,1,0)),IF(ISERROR(VLOOKUP(F1026,Magic!T:T,1,0)),"N","Y"),"Y")</f>
        <v>Y</v>
      </c>
      <c r="F1026" s="13">
        <v>1025</v>
      </c>
    </row>
    <row r="1027" spans="1:6" x14ac:dyDescent="0.25">
      <c r="A1027" s="16">
        <v>42829</v>
      </c>
      <c r="B1027" s="13" t="s">
        <v>82</v>
      </c>
      <c r="C1027" s="13">
        <v>35</v>
      </c>
      <c r="D1027" s="13">
        <v>0.9</v>
      </c>
      <c r="E1027" s="13" t="str">
        <f>IF(ISERROR(VLOOKUP(F1027,Magic!H:H,1,0)),IF(ISERROR(VLOOKUP(F1027,Magic!T:T,1,0)),"N","Y"),"Y")</f>
        <v>Y</v>
      </c>
      <c r="F1027" s="13">
        <v>1026</v>
      </c>
    </row>
    <row r="1028" spans="1:6" x14ac:dyDescent="0.25">
      <c r="A1028" s="16">
        <v>42829</v>
      </c>
      <c r="B1028" s="13" t="s">
        <v>31</v>
      </c>
      <c r="C1028" s="13">
        <v>37</v>
      </c>
      <c r="D1028" s="13">
        <v>460</v>
      </c>
      <c r="E1028" s="13" t="str">
        <f>IF(ISERROR(VLOOKUP(F1028,Magic!H:H,1,0)),IF(ISERROR(VLOOKUP(F1028,Magic!T:T,1,0)),"N","Y"),"Y")</f>
        <v>Y</v>
      </c>
      <c r="F1028" s="13">
        <v>1027</v>
      </c>
    </row>
    <row r="1029" spans="1:6" x14ac:dyDescent="0.25">
      <c r="A1029" s="16">
        <v>42829</v>
      </c>
      <c r="B1029" s="13" t="s">
        <v>24</v>
      </c>
      <c r="C1029" s="13">
        <v>43</v>
      </c>
      <c r="D1029" s="13">
        <v>477.95</v>
      </c>
      <c r="E1029" s="13" t="str">
        <f>IF(ISERROR(VLOOKUP(F1029,Magic!H:H,1,0)),IF(ISERROR(VLOOKUP(F1029,Magic!T:T,1,0)),"N","Y"),"Y")</f>
        <v>Y</v>
      </c>
      <c r="F1029" s="13">
        <v>1028</v>
      </c>
    </row>
    <row r="1030" spans="1:6" x14ac:dyDescent="0.25">
      <c r="A1030" s="16">
        <v>42829</v>
      </c>
      <c r="B1030" s="13" t="s">
        <v>25</v>
      </c>
      <c r="C1030" s="13">
        <v>44</v>
      </c>
      <c r="D1030" s="13">
        <v>392.7</v>
      </c>
      <c r="E1030" s="13" t="str">
        <f>IF(ISERROR(VLOOKUP(F1030,Magic!H:H,1,0)),IF(ISERROR(VLOOKUP(F1030,Magic!T:T,1,0)),"N","Y"),"Y")</f>
        <v>Y</v>
      </c>
      <c r="F1030" s="13">
        <v>1029</v>
      </c>
    </row>
    <row r="1031" spans="1:6" x14ac:dyDescent="0.25">
      <c r="A1031" s="16">
        <v>42829</v>
      </c>
      <c r="B1031" s="13" t="s">
        <v>27</v>
      </c>
      <c r="C1031" s="13">
        <v>101</v>
      </c>
      <c r="D1031" s="13">
        <v>292.95</v>
      </c>
      <c r="E1031" s="13" t="str">
        <f>IF(ISERROR(VLOOKUP(F1031,Magic!H:H,1,0)),IF(ISERROR(VLOOKUP(F1031,Magic!T:T,1,0)),"N","Y"),"Y")</f>
        <v>Y</v>
      </c>
      <c r="F1031" s="13">
        <v>1030</v>
      </c>
    </row>
    <row r="1032" spans="1:6" x14ac:dyDescent="0.25">
      <c r="A1032" s="16">
        <v>42829</v>
      </c>
      <c r="B1032" s="13" t="s">
        <v>28</v>
      </c>
      <c r="C1032" s="13">
        <v>103</v>
      </c>
      <c r="D1032" s="13">
        <v>855.7</v>
      </c>
      <c r="E1032" s="13" t="str">
        <f>IF(ISERROR(VLOOKUP(F1032,Magic!H:H,1,0)),IF(ISERROR(VLOOKUP(F1032,Magic!T:T,1,0)),"N","Y"),"Y")</f>
        <v>Y</v>
      </c>
      <c r="F1032" s="13">
        <v>1031</v>
      </c>
    </row>
    <row r="1033" spans="1:6" x14ac:dyDescent="0.25">
      <c r="A1033" s="16">
        <v>42830</v>
      </c>
      <c r="B1033" s="13" t="s">
        <v>82</v>
      </c>
      <c r="C1033" s="13">
        <v>35</v>
      </c>
      <c r="D1033" s="13">
        <v>637.95000000000005</v>
      </c>
      <c r="E1033" s="13" t="str">
        <f>IF(ISERROR(VLOOKUP(F1033,Magic!H:H,1,0)),IF(ISERROR(VLOOKUP(F1033,Magic!T:T,1,0)),"N","Y"),"Y")</f>
        <v>Y</v>
      </c>
      <c r="F1033" s="13">
        <v>1032</v>
      </c>
    </row>
    <row r="1034" spans="1:6" x14ac:dyDescent="0.25">
      <c r="A1034" s="16">
        <v>42830</v>
      </c>
      <c r="B1034" s="13" t="s">
        <v>31</v>
      </c>
      <c r="C1034" s="13">
        <v>37</v>
      </c>
      <c r="D1034" s="13">
        <v>327.95</v>
      </c>
      <c r="E1034" s="13" t="str">
        <f>IF(ISERROR(VLOOKUP(F1034,Magic!H:H,1,0)),IF(ISERROR(VLOOKUP(F1034,Magic!T:T,1,0)),"N","Y"),"Y")</f>
        <v>Y</v>
      </c>
      <c r="F1034" s="13">
        <v>1033</v>
      </c>
    </row>
    <row r="1035" spans="1:6" x14ac:dyDescent="0.25">
      <c r="A1035" s="16">
        <v>42830</v>
      </c>
      <c r="B1035" s="13" t="s">
        <v>81</v>
      </c>
      <c r="C1035" s="13">
        <v>41</v>
      </c>
      <c r="D1035" s="13">
        <v>428.45</v>
      </c>
      <c r="E1035" s="13" t="str">
        <f>IF(ISERROR(VLOOKUP(F1035,Magic!H:H,1,0)),IF(ISERROR(VLOOKUP(F1035,Magic!T:T,1,0)),"N","Y"),"Y")</f>
        <v>Y</v>
      </c>
      <c r="F1035" s="13">
        <v>1034</v>
      </c>
    </row>
    <row r="1036" spans="1:6" x14ac:dyDescent="0.25">
      <c r="A1036" s="16">
        <v>42830</v>
      </c>
      <c r="B1036" s="13" t="s">
        <v>56</v>
      </c>
      <c r="C1036" s="13">
        <v>41</v>
      </c>
      <c r="D1036" s="13">
        <v>215</v>
      </c>
      <c r="E1036" s="13" t="str">
        <f>IF(ISERROR(VLOOKUP(F1036,Magic!H:H,1,0)),IF(ISERROR(VLOOKUP(F1036,Magic!T:T,1,0)),"N","Y"),"Y")</f>
        <v>Y</v>
      </c>
      <c r="F1036" s="13">
        <v>1035</v>
      </c>
    </row>
    <row r="1037" spans="1:6" x14ac:dyDescent="0.25">
      <c r="A1037" s="16">
        <v>42830</v>
      </c>
      <c r="B1037" s="13" t="s">
        <v>819</v>
      </c>
      <c r="C1037" s="13">
        <v>43</v>
      </c>
      <c r="D1037" s="13">
        <v>1010</v>
      </c>
      <c r="E1037" s="13" t="str">
        <f>IF(ISERROR(VLOOKUP(F1037,Magic!H:H,1,0)),IF(ISERROR(VLOOKUP(F1037,Magic!T:T,1,0)),"N","Y"),"Y")</f>
        <v>Y</v>
      </c>
      <c r="F1037" s="13">
        <v>1036</v>
      </c>
    </row>
    <row r="1038" spans="1:6" x14ac:dyDescent="0.25">
      <c r="A1038" s="16">
        <v>42830</v>
      </c>
      <c r="B1038" s="13" t="s">
        <v>27</v>
      </c>
      <c r="C1038" s="13">
        <v>101</v>
      </c>
      <c r="D1038" s="13">
        <v>450</v>
      </c>
      <c r="E1038" s="13" t="str">
        <f>IF(ISERROR(VLOOKUP(F1038,Magic!H:H,1,0)),IF(ISERROR(VLOOKUP(F1038,Magic!T:T,1,0)),"N","Y"),"Y")</f>
        <v>Y</v>
      </c>
      <c r="F1038" s="13">
        <v>1037</v>
      </c>
    </row>
    <row r="1039" spans="1:6" x14ac:dyDescent="0.25">
      <c r="A1039" s="16">
        <v>42830</v>
      </c>
      <c r="B1039" s="13" t="s">
        <v>28</v>
      </c>
      <c r="C1039" s="13">
        <v>103</v>
      </c>
      <c r="D1039" s="13">
        <v>906.85</v>
      </c>
      <c r="E1039" s="13" t="str">
        <f>IF(ISERROR(VLOOKUP(F1039,Magic!H:H,1,0)),IF(ISERROR(VLOOKUP(F1039,Magic!T:T,1,0)),"N","Y"),"Y")</f>
        <v>Y</v>
      </c>
      <c r="F1039" s="13">
        <v>1038</v>
      </c>
    </row>
    <row r="1040" spans="1:6" x14ac:dyDescent="0.25">
      <c r="A1040" s="26">
        <v>42830</v>
      </c>
      <c r="B1040" s="13" t="s">
        <v>986</v>
      </c>
      <c r="C1040" s="13">
        <v>201</v>
      </c>
      <c r="D1040" s="13">
        <v>335</v>
      </c>
      <c r="E1040" s="13" t="str">
        <f>IF(ISERROR(VLOOKUP(F1040,Magic!H:H,1,0)),IF(ISERROR(VLOOKUP(F1040,Magic!T:T,1,0)),"N","Y"),"Y")</f>
        <v>Y</v>
      </c>
      <c r="F1040" s="13">
        <v>1039</v>
      </c>
    </row>
    <row r="1041" spans="1:6" x14ac:dyDescent="0.25">
      <c r="A1041" s="26">
        <v>42829</v>
      </c>
      <c r="B1041" s="13" t="s">
        <v>986</v>
      </c>
      <c r="C1041" s="13">
        <v>201</v>
      </c>
      <c r="D1041" s="13">
        <v>250</v>
      </c>
      <c r="E1041" s="13" t="str">
        <f>IF(ISERROR(VLOOKUP(F1041,Magic!H:H,1,0)),IF(ISERROR(VLOOKUP(F1041,Magic!T:T,1,0)),"N","Y"),"Y")</f>
        <v>Y</v>
      </c>
      <c r="F1041" s="13">
        <v>1040</v>
      </c>
    </row>
    <row r="1042" spans="1:6" x14ac:dyDescent="0.25">
      <c r="A1042" s="16">
        <v>42831</v>
      </c>
      <c r="B1042" s="13" t="s">
        <v>57</v>
      </c>
      <c r="C1042" s="13">
        <v>35</v>
      </c>
      <c r="D1042" s="13">
        <v>0.9</v>
      </c>
      <c r="E1042" s="13" t="str">
        <f>IF(ISERROR(VLOOKUP(F1042,Magic!H:H,1,0)),IF(ISERROR(VLOOKUP(F1042,Magic!T:T,1,0)),"N","Y"),"Y")</f>
        <v>Y</v>
      </c>
      <c r="F1042" s="13">
        <v>1041</v>
      </c>
    </row>
    <row r="1043" spans="1:6" x14ac:dyDescent="0.25">
      <c r="A1043" s="16">
        <v>42831</v>
      </c>
      <c r="B1043" s="13" t="s">
        <v>146</v>
      </c>
      <c r="C1043" s="13">
        <v>37</v>
      </c>
      <c r="D1043" s="13">
        <v>630.79999999999995</v>
      </c>
      <c r="E1043" s="13" t="str">
        <f>IF(ISERROR(VLOOKUP(F1043,Magic!H:H,1,0)),IF(ISERROR(VLOOKUP(F1043,Magic!T:T,1,0)),"N","Y"),"Y")</f>
        <v>Y</v>
      </c>
      <c r="F1043" s="13">
        <v>1042</v>
      </c>
    </row>
    <row r="1044" spans="1:6" x14ac:dyDescent="0.25">
      <c r="A1044" s="16">
        <v>42831</v>
      </c>
      <c r="B1044" s="13" t="s">
        <v>81</v>
      </c>
      <c r="C1044" s="13">
        <v>41</v>
      </c>
      <c r="D1044" s="13">
        <v>767.4</v>
      </c>
      <c r="E1044" s="13" t="str">
        <f>IF(ISERROR(VLOOKUP(F1044,Magic!H:H,1,0)),IF(ISERROR(VLOOKUP(F1044,Magic!T:T,1,0)),"N","Y"),"Y")</f>
        <v>Y</v>
      </c>
      <c r="F1044" s="13">
        <v>1043</v>
      </c>
    </row>
    <row r="1045" spans="1:6" x14ac:dyDescent="0.25">
      <c r="A1045" s="16">
        <v>42831</v>
      </c>
      <c r="B1045" s="13" t="s">
        <v>24</v>
      </c>
      <c r="C1045" s="13">
        <v>43</v>
      </c>
      <c r="D1045" s="13">
        <v>1047.9000000000001</v>
      </c>
      <c r="E1045" s="13" t="str">
        <f>IF(ISERROR(VLOOKUP(F1045,Magic!H:H,1,0)),IF(ISERROR(VLOOKUP(F1045,Magic!T:T,1,0)),"N","Y"),"Y")</f>
        <v>Y</v>
      </c>
      <c r="F1045" s="13">
        <v>1044</v>
      </c>
    </row>
    <row r="1046" spans="1:6" x14ac:dyDescent="0.25">
      <c r="A1046" s="16">
        <v>42831</v>
      </c>
      <c r="B1046" s="13" t="s">
        <v>27</v>
      </c>
      <c r="C1046" s="13">
        <v>101</v>
      </c>
      <c r="D1046" s="13">
        <v>382.95</v>
      </c>
      <c r="E1046" s="13" t="str">
        <f>IF(ISERROR(VLOOKUP(F1046,Magic!H:H,1,0)),IF(ISERROR(VLOOKUP(F1046,Magic!T:T,1,0)),"N","Y"),"Y")</f>
        <v>Y</v>
      </c>
      <c r="F1046" s="13">
        <v>1045</v>
      </c>
    </row>
    <row r="1047" spans="1:6" x14ac:dyDescent="0.25">
      <c r="A1047" s="16">
        <v>42831</v>
      </c>
      <c r="B1047" s="13" t="s">
        <v>28</v>
      </c>
      <c r="C1047" s="13">
        <v>103</v>
      </c>
      <c r="D1047" s="13">
        <v>967.3</v>
      </c>
      <c r="E1047" s="13" t="str">
        <f>IF(ISERROR(VLOOKUP(F1047,Magic!H:H,1,0)),IF(ISERROR(VLOOKUP(F1047,Magic!T:T,1,0)),"N","Y"),"Y")</f>
        <v>Y</v>
      </c>
      <c r="F1047" s="13">
        <v>1046</v>
      </c>
    </row>
    <row r="1048" spans="1:6" x14ac:dyDescent="0.25">
      <c r="A1048" s="16">
        <v>42833</v>
      </c>
      <c r="B1048" s="13" t="s">
        <v>28</v>
      </c>
      <c r="C1048" s="13">
        <v>103</v>
      </c>
      <c r="D1048" s="13">
        <v>1126.5999999999999</v>
      </c>
      <c r="E1048" s="13" t="str">
        <f>IF(ISERROR(VLOOKUP(F1048,Magic!H:H,1,0)),IF(ISERROR(VLOOKUP(F1048,Magic!T:T,1,0)),"N","Y"),"Y")</f>
        <v>Y</v>
      </c>
      <c r="F1048" s="13">
        <v>1047</v>
      </c>
    </row>
    <row r="1049" spans="1:6" x14ac:dyDescent="0.25">
      <c r="A1049" s="16">
        <v>42832</v>
      </c>
      <c r="B1049" s="13" t="s">
        <v>29</v>
      </c>
      <c r="C1049" s="13">
        <v>35</v>
      </c>
      <c r="D1049" s="13">
        <v>1025</v>
      </c>
      <c r="E1049" s="13" t="str">
        <f>IF(ISERROR(VLOOKUP(F1049,Magic!H:H,1,0)),IF(ISERROR(VLOOKUP(F1049,Magic!T:T,1,0)),"N","Y"),"Y")</f>
        <v>Y</v>
      </c>
      <c r="F1049" s="13">
        <v>1048</v>
      </c>
    </row>
    <row r="1050" spans="1:6" x14ac:dyDescent="0.25">
      <c r="A1050" s="16">
        <v>42832</v>
      </c>
      <c r="B1050" s="13" t="s">
        <v>82</v>
      </c>
      <c r="C1050" s="13">
        <v>35</v>
      </c>
      <c r="D1050" s="13">
        <v>1240.8</v>
      </c>
      <c r="E1050" s="13" t="str">
        <f>IF(ISERROR(VLOOKUP(F1050,Magic!H:H,1,0)),IF(ISERROR(VLOOKUP(F1050,Magic!T:T,1,0)),"N","Y"),"Y")</f>
        <v>Y</v>
      </c>
      <c r="F1050" s="13">
        <v>1049</v>
      </c>
    </row>
    <row r="1051" spans="1:6" x14ac:dyDescent="0.25">
      <c r="A1051" s="16">
        <v>42832</v>
      </c>
      <c r="B1051" s="13" t="s">
        <v>31</v>
      </c>
      <c r="C1051" s="13">
        <v>37</v>
      </c>
      <c r="D1051" s="13">
        <v>590</v>
      </c>
      <c r="E1051" s="13" t="str">
        <f>IF(ISERROR(VLOOKUP(F1051,Magic!H:H,1,0)),IF(ISERROR(VLOOKUP(F1051,Magic!T:T,1,0)),"N","Y"),"Y")</f>
        <v>Y</v>
      </c>
      <c r="F1051" s="13">
        <v>1050</v>
      </c>
    </row>
    <row r="1052" spans="1:6" x14ac:dyDescent="0.25">
      <c r="A1052" s="16">
        <v>42832</v>
      </c>
      <c r="B1052" s="13" t="s">
        <v>81</v>
      </c>
      <c r="C1052" s="13">
        <v>41</v>
      </c>
      <c r="D1052" s="13">
        <v>629</v>
      </c>
      <c r="E1052" s="13" t="str">
        <f>IF(ISERROR(VLOOKUP(F1052,Magic!H:H,1,0)),IF(ISERROR(VLOOKUP(F1052,Magic!T:T,1,0)),"N","Y"),"Y")</f>
        <v>Y</v>
      </c>
      <c r="F1052" s="13">
        <v>1051</v>
      </c>
    </row>
    <row r="1053" spans="1:6" x14ac:dyDescent="0.25">
      <c r="A1053" s="16">
        <v>42832</v>
      </c>
      <c r="B1053" s="13" t="s">
        <v>24</v>
      </c>
      <c r="C1053" s="13">
        <v>43</v>
      </c>
      <c r="D1053" s="13">
        <v>915</v>
      </c>
      <c r="E1053" s="13" t="str">
        <f>IF(ISERROR(VLOOKUP(F1053,Magic!H:H,1,0)),IF(ISERROR(VLOOKUP(F1053,Magic!T:T,1,0)),"N","Y"),"Y")</f>
        <v>Y</v>
      </c>
      <c r="F1053" s="13">
        <v>1052</v>
      </c>
    </row>
    <row r="1054" spans="1:6" x14ac:dyDescent="0.25">
      <c r="A1054" s="16">
        <v>42832</v>
      </c>
      <c r="B1054" s="13" t="s">
        <v>27</v>
      </c>
      <c r="C1054" s="13">
        <v>101</v>
      </c>
      <c r="D1054" s="13">
        <v>620</v>
      </c>
      <c r="E1054" s="13" t="str">
        <f>IF(ISERROR(VLOOKUP(F1054,Magic!H:H,1,0)),IF(ISERROR(VLOOKUP(F1054,Magic!T:T,1,0)),"N","Y"),"Y")</f>
        <v>Y</v>
      </c>
      <c r="F1054" s="13">
        <v>1053</v>
      </c>
    </row>
    <row r="1055" spans="1:6" x14ac:dyDescent="0.25">
      <c r="A1055" s="16">
        <v>42832</v>
      </c>
      <c r="B1055" s="13" t="s">
        <v>28</v>
      </c>
      <c r="C1055" s="13">
        <v>103</v>
      </c>
      <c r="D1055" s="13">
        <v>1318.65</v>
      </c>
      <c r="E1055" s="13" t="str">
        <f>IF(ISERROR(VLOOKUP(F1055,Magic!H:H,1,0)),IF(ISERROR(VLOOKUP(F1055,Magic!T:T,1,0)),"N","Y"),"Y")</f>
        <v>Y</v>
      </c>
      <c r="F1055" s="13">
        <v>1054</v>
      </c>
    </row>
    <row r="1056" spans="1:6" x14ac:dyDescent="0.25">
      <c r="A1056" s="16">
        <v>42835</v>
      </c>
      <c r="B1056" s="13" t="s">
        <v>29</v>
      </c>
      <c r="C1056" s="13">
        <v>35</v>
      </c>
      <c r="D1056" s="13">
        <v>695</v>
      </c>
      <c r="E1056" s="13" t="str">
        <f>IF(ISERROR(VLOOKUP(F1056,Magic!H:H,1,0)),IF(ISERROR(VLOOKUP(F1056,Magic!T:T,1,0)),"N","Y"),"Y")</f>
        <v>Y</v>
      </c>
      <c r="F1056" s="13">
        <v>1055</v>
      </c>
    </row>
    <row r="1057" spans="1:6" x14ac:dyDescent="0.25">
      <c r="A1057" s="16">
        <v>42835</v>
      </c>
      <c r="B1057" s="13" t="s">
        <v>82</v>
      </c>
      <c r="C1057" s="13">
        <v>35</v>
      </c>
      <c r="D1057" s="13">
        <v>460.65</v>
      </c>
      <c r="E1057" s="13" t="str">
        <f>IF(ISERROR(VLOOKUP(F1057,Magic!H:H,1,0)),IF(ISERROR(VLOOKUP(F1057,Magic!T:T,1,0)),"N","Y"),"Y")</f>
        <v>Y</v>
      </c>
      <c r="F1057" s="13">
        <v>1056</v>
      </c>
    </row>
    <row r="1058" spans="1:6" x14ac:dyDescent="0.25">
      <c r="A1058" s="16">
        <v>42835</v>
      </c>
      <c r="B1058" s="13" t="s">
        <v>82</v>
      </c>
      <c r="C1058" s="13">
        <v>35</v>
      </c>
      <c r="D1058" s="13">
        <v>694.95</v>
      </c>
      <c r="E1058" s="13" t="str">
        <f>IF(ISERROR(VLOOKUP(F1058,Magic!H:H,1,0)),IF(ISERROR(VLOOKUP(F1058,Magic!T:T,1,0)),"N","Y"),"Y")</f>
        <v>Y</v>
      </c>
      <c r="F1058" s="13">
        <v>1057</v>
      </c>
    </row>
    <row r="1059" spans="1:6" x14ac:dyDescent="0.25">
      <c r="A1059" s="16">
        <v>42835</v>
      </c>
      <c r="B1059" s="13" t="s">
        <v>82</v>
      </c>
      <c r="C1059" s="13">
        <v>35</v>
      </c>
      <c r="D1059" s="13">
        <v>4.6500000000000004</v>
      </c>
      <c r="E1059" s="13" t="str">
        <f>IF(ISERROR(VLOOKUP(F1059,Magic!H:H,1,0)),IF(ISERROR(VLOOKUP(F1059,Magic!T:T,1,0)),"N","Y"),"Y")</f>
        <v>Y</v>
      </c>
      <c r="F1059" s="13">
        <v>1058</v>
      </c>
    </row>
    <row r="1060" spans="1:6" x14ac:dyDescent="0.25">
      <c r="A1060" s="16">
        <v>42835</v>
      </c>
      <c r="B1060" s="13" t="s">
        <v>31</v>
      </c>
      <c r="C1060" s="13">
        <v>37</v>
      </c>
      <c r="D1060" s="13">
        <v>605</v>
      </c>
      <c r="E1060" s="13" t="str">
        <f>IF(ISERROR(VLOOKUP(F1060,Magic!H:H,1,0)),IF(ISERROR(VLOOKUP(F1060,Magic!T:T,1,0)),"N","Y"),"Y")</f>
        <v>Y</v>
      </c>
      <c r="F1060" s="13">
        <v>1059</v>
      </c>
    </row>
    <row r="1061" spans="1:6" x14ac:dyDescent="0.25">
      <c r="A1061" s="16">
        <v>42835</v>
      </c>
      <c r="B1061" s="13" t="s">
        <v>31</v>
      </c>
      <c r="C1061" s="13">
        <v>37</v>
      </c>
      <c r="D1061" s="13">
        <v>460</v>
      </c>
      <c r="E1061" s="13" t="str">
        <f>IF(ISERROR(VLOOKUP(F1061,Magic!H:H,1,0)),IF(ISERROR(VLOOKUP(F1061,Magic!T:T,1,0)),"N","Y"),"Y")</f>
        <v>Y</v>
      </c>
      <c r="F1061" s="13">
        <v>1060</v>
      </c>
    </row>
    <row r="1062" spans="1:6" x14ac:dyDescent="0.25">
      <c r="A1062" s="16">
        <v>42835</v>
      </c>
      <c r="B1062" s="13" t="s">
        <v>31</v>
      </c>
      <c r="C1062" s="13">
        <v>37</v>
      </c>
      <c r="D1062" s="13">
        <v>885</v>
      </c>
      <c r="E1062" s="13" t="str">
        <f>IF(ISERROR(VLOOKUP(F1062,Magic!H:H,1,0)),IF(ISERROR(VLOOKUP(F1062,Magic!T:T,1,0)),"N","Y"),"Y")</f>
        <v>Y</v>
      </c>
      <c r="F1062" s="13">
        <v>1061</v>
      </c>
    </row>
    <row r="1063" spans="1:6" x14ac:dyDescent="0.25">
      <c r="A1063" s="16">
        <v>42835</v>
      </c>
      <c r="B1063" s="13" t="s">
        <v>472</v>
      </c>
      <c r="C1063" s="13">
        <v>43</v>
      </c>
      <c r="D1063" s="13">
        <v>645</v>
      </c>
      <c r="E1063" s="13" t="str">
        <f>IF(ISERROR(VLOOKUP(F1063,Magic!H:H,1,0)),IF(ISERROR(VLOOKUP(F1063,Magic!T:T,1,0)),"N","Y"),"Y")</f>
        <v>Y</v>
      </c>
      <c r="F1063" s="13">
        <v>1062</v>
      </c>
    </row>
    <row r="1064" spans="1:6" x14ac:dyDescent="0.25">
      <c r="A1064" s="16">
        <v>42835</v>
      </c>
      <c r="B1064" s="13" t="s">
        <v>472</v>
      </c>
      <c r="C1064" s="13">
        <v>43</v>
      </c>
      <c r="D1064" s="13">
        <v>982.75</v>
      </c>
      <c r="E1064" s="13" t="str">
        <f>IF(ISERROR(VLOOKUP(F1064,Magic!H:H,1,0)),IF(ISERROR(VLOOKUP(F1064,Magic!T:T,1,0)),"N","Y"),"Y")</f>
        <v>Y</v>
      </c>
      <c r="F1064" s="13">
        <v>1063</v>
      </c>
    </row>
    <row r="1065" spans="1:6" x14ac:dyDescent="0.25">
      <c r="A1065" s="16">
        <v>42835</v>
      </c>
      <c r="B1065" s="13" t="s">
        <v>472</v>
      </c>
      <c r="C1065" s="13">
        <v>43</v>
      </c>
      <c r="D1065" s="13">
        <v>1274.8</v>
      </c>
      <c r="E1065" s="13" t="str">
        <f>IF(ISERROR(VLOOKUP(F1065,Magic!H:H,1,0)),IF(ISERROR(VLOOKUP(F1065,Magic!T:T,1,0)),"N","Y"),"Y")</f>
        <v>Y</v>
      </c>
      <c r="F1065" s="13">
        <v>1064</v>
      </c>
    </row>
    <row r="1066" spans="1:6" x14ac:dyDescent="0.25">
      <c r="A1066" s="16">
        <v>42835</v>
      </c>
      <c r="B1066" s="13" t="s">
        <v>25</v>
      </c>
      <c r="C1066" s="13">
        <v>44</v>
      </c>
      <c r="D1066" s="13">
        <v>210.85</v>
      </c>
      <c r="E1066" s="13" t="str">
        <f>IF(ISERROR(VLOOKUP(F1066,Magic!H:H,1,0)),IF(ISERROR(VLOOKUP(F1066,Magic!T:T,1,0)),"N","Y"),"Y")</f>
        <v>Y</v>
      </c>
      <c r="F1066" s="13">
        <v>1065</v>
      </c>
    </row>
    <row r="1067" spans="1:6" x14ac:dyDescent="0.25">
      <c r="A1067" s="1">
        <v>42835</v>
      </c>
      <c r="B1067" t="s">
        <v>25</v>
      </c>
      <c r="C1067">
        <v>44</v>
      </c>
      <c r="D1067">
        <v>228.4</v>
      </c>
      <c r="E1067" t="str">
        <f>IF(ISERROR(VLOOKUP(F1067,Magic!H:H,1,0)),IF(ISERROR(VLOOKUP(F1067,Magic!T:T,1,0)),"N","Y"),"Y")</f>
        <v>N</v>
      </c>
      <c r="F1067">
        <v>1066</v>
      </c>
    </row>
    <row r="1068" spans="1:6" x14ac:dyDescent="0.25">
      <c r="A1068" s="16">
        <v>42835</v>
      </c>
      <c r="B1068" s="13" t="s">
        <v>27</v>
      </c>
      <c r="C1068" s="13">
        <v>101</v>
      </c>
      <c r="D1068" s="13">
        <v>623.04999999999995</v>
      </c>
      <c r="E1068" s="13" t="str">
        <f>IF(ISERROR(VLOOKUP(F1068,Magic!H:H,1,0)),IF(ISERROR(VLOOKUP(F1068,Magic!T:T,1,0)),"N","Y"),"Y")</f>
        <v>Y</v>
      </c>
      <c r="F1068" s="13">
        <v>1067</v>
      </c>
    </row>
    <row r="1069" spans="1:6" x14ac:dyDescent="0.25">
      <c r="A1069" s="16">
        <v>42835</v>
      </c>
      <c r="B1069" s="13" t="s">
        <v>27</v>
      </c>
      <c r="C1069" s="13">
        <v>101</v>
      </c>
      <c r="D1069" s="13">
        <v>557.9</v>
      </c>
      <c r="E1069" s="13" t="str">
        <f>IF(ISERROR(VLOOKUP(F1069,Magic!H:H,1,0)),IF(ISERROR(VLOOKUP(F1069,Magic!T:T,1,0)),"N","Y"),"Y")</f>
        <v>Y</v>
      </c>
      <c r="F1069" s="13">
        <v>1068</v>
      </c>
    </row>
    <row r="1070" spans="1:6" x14ac:dyDescent="0.25">
      <c r="A1070" s="16">
        <v>42835</v>
      </c>
      <c r="B1070" s="13" t="s">
        <v>28</v>
      </c>
      <c r="C1070" s="13">
        <v>103</v>
      </c>
      <c r="D1070" s="13">
        <v>824.5</v>
      </c>
      <c r="E1070" s="13" t="str">
        <f>IF(ISERROR(VLOOKUP(F1070,Magic!H:H,1,0)),IF(ISERROR(VLOOKUP(F1070,Magic!T:T,1,0)),"N","Y"),"Y")</f>
        <v>Y</v>
      </c>
      <c r="F1070" s="13">
        <v>1069</v>
      </c>
    </row>
    <row r="1071" spans="1:6" x14ac:dyDescent="0.25">
      <c r="A1071" s="16">
        <v>42835</v>
      </c>
      <c r="B1071" s="13" t="s">
        <v>28</v>
      </c>
      <c r="C1071" s="13">
        <v>103</v>
      </c>
      <c r="D1071" s="13">
        <v>485</v>
      </c>
      <c r="E1071" s="13" t="str">
        <f>IF(ISERROR(VLOOKUP(F1071,Magic!H:H,1,0)),IF(ISERROR(VLOOKUP(F1071,Magic!T:T,1,0)),"N","Y"),"Y")</f>
        <v>Y</v>
      </c>
      <c r="F1071" s="13">
        <v>1070</v>
      </c>
    </row>
    <row r="1072" spans="1:6" x14ac:dyDescent="0.25">
      <c r="A1072" s="16">
        <v>42835</v>
      </c>
      <c r="B1072" s="13" t="s">
        <v>611</v>
      </c>
      <c r="C1072" s="13">
        <v>201</v>
      </c>
      <c r="D1072" s="13">
        <v>627.54999999999995</v>
      </c>
      <c r="E1072" s="13" t="str">
        <f>IF(ISERROR(VLOOKUP(F1072,Magic!H:H,1,0)),IF(ISERROR(VLOOKUP(F1072,Magic!T:T,1,0)),"N","Y"),"Y")</f>
        <v>Y</v>
      </c>
      <c r="F1072" s="13">
        <v>1071</v>
      </c>
    </row>
    <row r="1073" spans="1:6" x14ac:dyDescent="0.25">
      <c r="A1073" s="16">
        <v>42835</v>
      </c>
      <c r="B1073" s="13" t="s">
        <v>611</v>
      </c>
      <c r="C1073" s="13">
        <v>201</v>
      </c>
      <c r="D1073" s="13">
        <v>509.85</v>
      </c>
      <c r="E1073" s="13" t="str">
        <f>IF(ISERROR(VLOOKUP(F1073,Magic!H:H,1,0)),IF(ISERROR(VLOOKUP(F1073,Magic!T:T,1,0)),"N","Y"),"Y")</f>
        <v>Y</v>
      </c>
      <c r="F1073" s="13">
        <v>1072</v>
      </c>
    </row>
    <row r="1074" spans="1:6" x14ac:dyDescent="0.25">
      <c r="A1074" s="16">
        <v>42835</v>
      </c>
      <c r="B1074" s="13" t="s">
        <v>611</v>
      </c>
      <c r="C1074" s="13">
        <v>201</v>
      </c>
      <c r="D1074" s="13">
        <v>465</v>
      </c>
      <c r="E1074" s="13" t="str">
        <f>IF(ISERROR(VLOOKUP(F1074,Magic!H:H,1,0)),IF(ISERROR(VLOOKUP(F1074,Magic!T:T,1,0)),"N","Y"),"Y")</f>
        <v>Y</v>
      </c>
      <c r="F1074" s="13">
        <v>1073</v>
      </c>
    </row>
    <row r="1075" spans="1:6" x14ac:dyDescent="0.25">
      <c r="A1075" s="16">
        <v>42835</v>
      </c>
      <c r="B1075" s="13" t="s">
        <v>611</v>
      </c>
      <c r="C1075" s="13">
        <v>201</v>
      </c>
      <c r="D1075" s="13">
        <v>395</v>
      </c>
      <c r="E1075" s="13" t="str">
        <f>IF(ISERROR(VLOOKUP(F1075,Magic!H:H,1,0)),IF(ISERROR(VLOOKUP(F1075,Magic!T:T,1,0)),"N","Y"),"Y")</f>
        <v>Y</v>
      </c>
      <c r="F1075" s="13">
        <v>1074</v>
      </c>
    </row>
    <row r="1076" spans="1:6" x14ac:dyDescent="0.25">
      <c r="A1076" s="16">
        <v>42835</v>
      </c>
      <c r="B1076" s="13" t="s">
        <v>611</v>
      </c>
      <c r="C1076" s="13">
        <v>201</v>
      </c>
      <c r="D1076" s="13">
        <v>360</v>
      </c>
      <c r="E1076" s="13" t="str">
        <f>IF(ISERROR(VLOOKUP(F1076,Magic!H:H,1,0)),IF(ISERROR(VLOOKUP(F1076,Magic!T:T,1,0)),"N","Y"),"Y")</f>
        <v>Y</v>
      </c>
      <c r="F1076" s="13">
        <v>1075</v>
      </c>
    </row>
    <row r="1077" spans="1:6" x14ac:dyDescent="0.25">
      <c r="A1077" s="16">
        <v>42836</v>
      </c>
      <c r="B1077" s="13" t="s">
        <v>355</v>
      </c>
      <c r="C1077" s="13">
        <v>103</v>
      </c>
      <c r="D1077" s="13">
        <v>2.25</v>
      </c>
      <c r="E1077" s="13" t="str">
        <f>IF(ISERROR(VLOOKUP(F1077,Magic!H:H,1,0)),IF(ISERROR(VLOOKUP(F1077,Magic!T:T,1,0)),"N","Y"),"Y")</f>
        <v>Y</v>
      </c>
      <c r="F1077" s="13">
        <v>1076</v>
      </c>
    </row>
    <row r="1078" spans="1:6" x14ac:dyDescent="0.25">
      <c r="A1078" s="16">
        <v>42836</v>
      </c>
      <c r="B1078" s="13" t="s">
        <v>82</v>
      </c>
      <c r="C1078" s="13">
        <v>35</v>
      </c>
      <c r="D1078" s="13">
        <v>3.55</v>
      </c>
      <c r="E1078" s="13" t="str">
        <f>IF(ISERROR(VLOOKUP(F1078,Magic!H:H,1,0)),IF(ISERROR(VLOOKUP(F1078,Magic!T:T,1,0)),"N","Y"),"Y")</f>
        <v>Y</v>
      </c>
      <c r="F1078" s="13">
        <v>1077</v>
      </c>
    </row>
    <row r="1079" spans="1:6" x14ac:dyDescent="0.25">
      <c r="A1079" s="16">
        <v>42836</v>
      </c>
      <c r="B1079" s="13" t="s">
        <v>31</v>
      </c>
      <c r="C1079" s="13">
        <v>37</v>
      </c>
      <c r="D1079" s="13">
        <v>454.95</v>
      </c>
      <c r="E1079" s="13" t="str">
        <f>IF(ISERROR(VLOOKUP(F1079,Magic!H:H,1,0)),IF(ISERROR(VLOOKUP(F1079,Magic!T:T,1,0)),"N","Y"),"Y")</f>
        <v>Y</v>
      </c>
      <c r="F1079" s="13">
        <v>1078</v>
      </c>
    </row>
    <row r="1080" spans="1:6" x14ac:dyDescent="0.25">
      <c r="A1080" s="16">
        <v>42836</v>
      </c>
      <c r="B1080" s="13" t="s">
        <v>81</v>
      </c>
      <c r="C1080" s="13">
        <v>41</v>
      </c>
      <c r="D1080" s="13">
        <v>357.9</v>
      </c>
      <c r="E1080" s="13" t="str">
        <f>IF(ISERROR(VLOOKUP(F1080,Magic!H:H,1,0)),IF(ISERROR(VLOOKUP(F1080,Magic!T:T,1,0)),"N","Y"),"Y")</f>
        <v>Y</v>
      </c>
      <c r="F1080" s="13">
        <v>1079</v>
      </c>
    </row>
    <row r="1081" spans="1:6" x14ac:dyDescent="0.25">
      <c r="A1081" s="16">
        <v>42836</v>
      </c>
      <c r="B1081" s="13" t="s">
        <v>81</v>
      </c>
      <c r="C1081" s="13">
        <v>41</v>
      </c>
      <c r="D1081" s="13">
        <v>460.85</v>
      </c>
      <c r="E1081" s="13" t="str">
        <f>IF(ISERROR(VLOOKUP(F1081,Magic!H:H,1,0)),IF(ISERROR(VLOOKUP(F1081,Magic!T:T,1,0)),"N","Y"),"Y")</f>
        <v>Y</v>
      </c>
      <c r="F1081" s="13">
        <v>1080</v>
      </c>
    </row>
    <row r="1082" spans="1:6" x14ac:dyDescent="0.25">
      <c r="A1082" s="16">
        <v>42836</v>
      </c>
      <c r="B1082" s="13" t="s">
        <v>56</v>
      </c>
      <c r="C1082" s="13">
        <v>41</v>
      </c>
      <c r="D1082" s="13">
        <v>110</v>
      </c>
      <c r="E1082" s="13" t="str">
        <f>IF(ISERROR(VLOOKUP(F1082,Magic!H:H,1,0)),IF(ISERROR(VLOOKUP(F1082,Magic!T:T,1,0)),"N","Y"),"Y")</f>
        <v>Y</v>
      </c>
      <c r="F1082" s="13">
        <v>1081</v>
      </c>
    </row>
    <row r="1083" spans="1:6" x14ac:dyDescent="0.25">
      <c r="A1083" s="16">
        <v>42836</v>
      </c>
      <c r="B1083" s="13" t="s">
        <v>81</v>
      </c>
      <c r="C1083" s="13">
        <v>41</v>
      </c>
      <c r="D1083" s="13">
        <v>282.60000000000002</v>
      </c>
      <c r="E1083" s="13" t="str">
        <f>IF(ISERROR(VLOOKUP(F1083,Magic!H:H,1,0)),IF(ISERROR(VLOOKUP(F1083,Magic!T:T,1,0)),"N","Y"),"Y")</f>
        <v>Y</v>
      </c>
      <c r="F1083" s="13">
        <v>1082</v>
      </c>
    </row>
    <row r="1084" spans="1:6" x14ac:dyDescent="0.25">
      <c r="A1084" s="16">
        <v>42836</v>
      </c>
      <c r="B1084" s="13" t="s">
        <v>24</v>
      </c>
      <c r="C1084" s="13">
        <v>43</v>
      </c>
      <c r="D1084" s="13">
        <v>787.95</v>
      </c>
      <c r="E1084" s="13" t="str">
        <f>IF(ISERROR(VLOOKUP(F1084,Magic!H:H,1,0)),IF(ISERROR(VLOOKUP(F1084,Magic!T:T,1,0)),"N","Y"),"Y")</f>
        <v>Y</v>
      </c>
      <c r="F1084" s="13">
        <v>1083</v>
      </c>
    </row>
    <row r="1085" spans="1:6" x14ac:dyDescent="0.25">
      <c r="A1085" s="16">
        <v>42836</v>
      </c>
      <c r="B1085" s="13" t="s">
        <v>27</v>
      </c>
      <c r="C1085" s="13">
        <v>101</v>
      </c>
      <c r="D1085" s="13">
        <v>415</v>
      </c>
      <c r="E1085" s="13" t="str">
        <f>IF(ISERROR(VLOOKUP(F1085,Magic!H:H,1,0)),IF(ISERROR(VLOOKUP(F1085,Magic!T:T,1,0)),"N","Y"),"Y")</f>
        <v>Y</v>
      </c>
      <c r="F1085" s="13">
        <v>1084</v>
      </c>
    </row>
    <row r="1086" spans="1:6" x14ac:dyDescent="0.25">
      <c r="A1086" s="16">
        <v>42836</v>
      </c>
      <c r="B1086" s="13" t="s">
        <v>202</v>
      </c>
      <c r="C1086" s="13">
        <v>103</v>
      </c>
      <c r="D1086" s="13">
        <v>990</v>
      </c>
      <c r="E1086" s="13" t="str">
        <f>IF(ISERROR(VLOOKUP(F1086,Magic!H:H,1,0)),IF(ISERROR(VLOOKUP(F1086,Magic!T:T,1,0)),"N","Y"),"Y")</f>
        <v>Y</v>
      </c>
      <c r="F1086" s="13">
        <v>1085</v>
      </c>
    </row>
    <row r="1087" spans="1:6" x14ac:dyDescent="0.25">
      <c r="A1087" s="16">
        <v>42837</v>
      </c>
      <c r="B1087" s="13" t="s">
        <v>81</v>
      </c>
      <c r="C1087" s="13">
        <v>41</v>
      </c>
      <c r="D1087" s="13">
        <v>633.54999999999995</v>
      </c>
      <c r="E1087" s="13" t="str">
        <f>IF(ISERROR(VLOOKUP(F1087,Magic!H:H,1,0)),IF(ISERROR(VLOOKUP(F1087,Magic!T:T,1,0)),"N","Y"),"Y")</f>
        <v>Y</v>
      </c>
      <c r="F1087" s="13">
        <v>1086</v>
      </c>
    </row>
    <row r="1088" spans="1:6" x14ac:dyDescent="0.25">
      <c r="A1088" s="16">
        <v>42837</v>
      </c>
      <c r="B1088" s="13" t="s">
        <v>57</v>
      </c>
      <c r="C1088" s="13">
        <v>35</v>
      </c>
      <c r="D1088" s="13">
        <v>787.6</v>
      </c>
      <c r="E1088" s="13" t="str">
        <f>IF(ISERROR(VLOOKUP(F1088,Magic!H:H,1,0)),IF(ISERROR(VLOOKUP(F1088,Magic!T:T,1,0)),"N","Y"),"Y")</f>
        <v>Y</v>
      </c>
      <c r="F1088" s="13">
        <v>1087</v>
      </c>
    </row>
    <row r="1089" spans="1:6" x14ac:dyDescent="0.25">
      <c r="A1089" s="16">
        <v>42837</v>
      </c>
      <c r="B1089" s="13" t="s">
        <v>146</v>
      </c>
      <c r="C1089" s="13">
        <v>37</v>
      </c>
      <c r="D1089" s="13">
        <v>655</v>
      </c>
      <c r="E1089" s="13" t="str">
        <f>IF(ISERROR(VLOOKUP(F1089,Magic!H:H,1,0)),IF(ISERROR(VLOOKUP(F1089,Magic!T:T,1,0)),"N","Y"),"Y")</f>
        <v>Y</v>
      </c>
      <c r="F1089" s="13">
        <v>1088</v>
      </c>
    </row>
    <row r="1090" spans="1:6" x14ac:dyDescent="0.25">
      <c r="A1090" s="16">
        <v>42837</v>
      </c>
      <c r="B1090" s="13" t="s">
        <v>24</v>
      </c>
      <c r="C1090" s="13">
        <v>43</v>
      </c>
      <c r="D1090" s="13">
        <v>652.70000000000005</v>
      </c>
      <c r="E1090" s="13" t="str">
        <f>IF(ISERROR(VLOOKUP(F1090,Magic!H:H,1,0)),IF(ISERROR(VLOOKUP(F1090,Magic!T:T,1,0)),"N","Y"),"Y")</f>
        <v>Y</v>
      </c>
      <c r="F1090" s="13">
        <v>1089</v>
      </c>
    </row>
    <row r="1091" spans="1:6" x14ac:dyDescent="0.25">
      <c r="A1091" s="16">
        <v>42837</v>
      </c>
      <c r="B1091" s="13" t="s">
        <v>25</v>
      </c>
      <c r="C1091" s="13">
        <v>44</v>
      </c>
      <c r="D1091" s="13">
        <v>293.05</v>
      </c>
      <c r="E1091" s="13" t="str">
        <f>IF(ISERROR(VLOOKUP(F1091,Magic!H:H,1,0)),IF(ISERROR(VLOOKUP(F1091,Magic!T:T,1,0)),"N","Y"),"Y")</f>
        <v>Y</v>
      </c>
      <c r="F1091" s="13">
        <v>1090</v>
      </c>
    </row>
    <row r="1092" spans="1:6" x14ac:dyDescent="0.25">
      <c r="A1092" s="16">
        <v>42837</v>
      </c>
      <c r="B1092" s="13" t="s">
        <v>25</v>
      </c>
      <c r="C1092" s="13">
        <v>44</v>
      </c>
      <c r="D1092" s="13">
        <v>140.85</v>
      </c>
      <c r="E1092" s="13" t="str">
        <f>IF(ISERROR(VLOOKUP(F1092,Magic!H:H,1,0)),IF(ISERROR(VLOOKUP(F1092,Magic!T:T,1,0)),"N","Y"),"Y")</f>
        <v>Y</v>
      </c>
      <c r="F1092" s="13">
        <v>1091</v>
      </c>
    </row>
    <row r="1093" spans="1:6" x14ac:dyDescent="0.25">
      <c r="A1093" s="16">
        <v>42837</v>
      </c>
      <c r="B1093" s="13" t="s">
        <v>27</v>
      </c>
      <c r="C1093" s="13">
        <v>101</v>
      </c>
      <c r="D1093" s="13">
        <v>532.9</v>
      </c>
      <c r="E1093" s="13" t="str">
        <f>IF(ISERROR(VLOOKUP(F1093,Magic!H:H,1,0)),IF(ISERROR(VLOOKUP(F1093,Magic!T:T,1,0)),"N","Y"),"Y")</f>
        <v>Y</v>
      </c>
      <c r="F1093" s="13">
        <v>1092</v>
      </c>
    </row>
    <row r="1094" spans="1:6" x14ac:dyDescent="0.25">
      <c r="A1094" s="16">
        <v>42837</v>
      </c>
      <c r="B1094" s="13" t="s">
        <v>28</v>
      </c>
      <c r="C1094" s="13">
        <v>103</v>
      </c>
      <c r="D1094" s="13">
        <v>776.3</v>
      </c>
      <c r="E1094" s="13" t="str">
        <f>IF(ISERROR(VLOOKUP(F1094,Magic!H:H,1,0)),IF(ISERROR(VLOOKUP(F1094,Magic!T:T,1,0)),"N","Y"),"Y")</f>
        <v>Y</v>
      </c>
      <c r="F1094" s="13">
        <v>1093</v>
      </c>
    </row>
    <row r="1095" spans="1:6" x14ac:dyDescent="0.25">
      <c r="A1095" s="16">
        <v>42837</v>
      </c>
      <c r="B1095" s="13" t="s">
        <v>986</v>
      </c>
      <c r="C1095" s="13">
        <v>201</v>
      </c>
      <c r="D1095" s="13">
        <v>679.75</v>
      </c>
      <c r="E1095" s="13" t="str">
        <f>IF(ISERROR(VLOOKUP(F1095,Magic!H:H,1,0)),IF(ISERROR(VLOOKUP(F1095,Magic!T:T,1,0)),"N","Y"),"Y")</f>
        <v>Y</v>
      </c>
      <c r="F1095" s="13">
        <v>1094</v>
      </c>
    </row>
    <row r="1096" spans="1:6" x14ac:dyDescent="0.25">
      <c r="A1096" s="16">
        <v>42837</v>
      </c>
      <c r="B1096" s="13" t="s">
        <v>986</v>
      </c>
      <c r="C1096" s="13">
        <v>201</v>
      </c>
      <c r="D1096" s="13">
        <v>404.8</v>
      </c>
      <c r="E1096" s="13" t="str">
        <f>IF(ISERROR(VLOOKUP(F1096,Magic!H:H,1,0)),IF(ISERROR(VLOOKUP(F1096,Magic!T:T,1,0)),"N","Y"),"Y")</f>
        <v>Y</v>
      </c>
      <c r="F1096" s="13">
        <v>1095</v>
      </c>
    </row>
    <row r="1097" spans="1:6" x14ac:dyDescent="0.25">
      <c r="A1097" s="16">
        <v>42840</v>
      </c>
      <c r="B1097" s="13" t="s">
        <v>29</v>
      </c>
      <c r="C1097" s="13">
        <v>35</v>
      </c>
      <c r="D1097" s="13">
        <v>910</v>
      </c>
      <c r="E1097" s="13" t="str">
        <f>IF(ISERROR(VLOOKUP(F1097,Magic!H:H,1,0)),IF(ISERROR(VLOOKUP(F1097,Magic!T:T,1,0)),"N","Y"),"Y")</f>
        <v>Y</v>
      </c>
      <c r="F1097" s="13">
        <v>1096</v>
      </c>
    </row>
    <row r="1098" spans="1:6" x14ac:dyDescent="0.25">
      <c r="A1098" s="16">
        <v>42838</v>
      </c>
      <c r="B1098" s="13" t="s">
        <v>82</v>
      </c>
      <c r="C1098" s="13">
        <v>35</v>
      </c>
      <c r="D1098" s="13">
        <v>1008.65</v>
      </c>
      <c r="E1098" s="13" t="str">
        <f>IF(ISERROR(VLOOKUP(F1098,Magic!H:H,1,0)),IF(ISERROR(VLOOKUP(F1098,Magic!T:T,1,0)),"N","Y"),"Y")</f>
        <v>Y</v>
      </c>
      <c r="F1098" s="13">
        <v>1097</v>
      </c>
    </row>
    <row r="1099" spans="1:6" x14ac:dyDescent="0.25">
      <c r="A1099" s="16">
        <v>42838</v>
      </c>
      <c r="B1099" s="13" t="s">
        <v>146</v>
      </c>
      <c r="C1099" s="13">
        <v>37</v>
      </c>
      <c r="D1099" s="13">
        <v>737.95</v>
      </c>
      <c r="E1099" s="13" t="str">
        <f>IF(ISERROR(VLOOKUP(F1099,Magic!H:H,1,0)),IF(ISERROR(VLOOKUP(F1099,Magic!T:T,1,0)),"N","Y"),"Y")</f>
        <v>Y</v>
      </c>
      <c r="F1099" s="13">
        <v>1098</v>
      </c>
    </row>
    <row r="1100" spans="1:6" x14ac:dyDescent="0.25">
      <c r="A1100" s="16">
        <v>42838</v>
      </c>
      <c r="B1100" s="13" t="s">
        <v>31</v>
      </c>
      <c r="C1100" s="13">
        <v>37</v>
      </c>
      <c r="D1100" s="13">
        <v>52</v>
      </c>
      <c r="E1100" s="13" t="str">
        <f>IF(ISERROR(VLOOKUP(F1100,Magic!H:H,1,0)),IF(ISERROR(VLOOKUP(F1100,Magic!T:T,1,0)),"N","Y"),"Y")</f>
        <v>Y</v>
      </c>
      <c r="F1100" s="13">
        <v>1099</v>
      </c>
    </row>
    <row r="1101" spans="1:6" x14ac:dyDescent="0.25">
      <c r="A1101" s="16">
        <v>42838</v>
      </c>
      <c r="B1101" s="13" t="s">
        <v>56</v>
      </c>
      <c r="C1101" s="13">
        <v>41</v>
      </c>
      <c r="D1101" s="13">
        <v>263.85000000000002</v>
      </c>
      <c r="E1101" s="13" t="str">
        <f>IF(ISERROR(VLOOKUP(F1101,Magic!H:H,1,0)),IF(ISERROR(VLOOKUP(F1101,Magic!T:T,1,0)),"N","Y"),"Y")</f>
        <v>Y</v>
      </c>
      <c r="F1101" s="13">
        <v>1100</v>
      </c>
    </row>
    <row r="1102" spans="1:6" x14ac:dyDescent="0.25">
      <c r="A1102" s="16">
        <v>42838</v>
      </c>
      <c r="B1102" s="13" t="s">
        <v>24</v>
      </c>
      <c r="C1102" s="13">
        <v>43</v>
      </c>
      <c r="D1102" s="13">
        <v>1292.75</v>
      </c>
      <c r="E1102" s="13" t="str">
        <f>IF(ISERROR(VLOOKUP(F1102,Magic!H:H,1,0)),IF(ISERROR(VLOOKUP(F1102,Magic!T:T,1,0)),"N","Y"),"Y")</f>
        <v>Y</v>
      </c>
      <c r="F1102" s="13">
        <v>1101</v>
      </c>
    </row>
    <row r="1103" spans="1:6" x14ac:dyDescent="0.25">
      <c r="A1103" s="16">
        <v>42838</v>
      </c>
      <c r="B1103" s="13" t="s">
        <v>27</v>
      </c>
      <c r="C1103" s="13">
        <v>101</v>
      </c>
      <c r="D1103" s="13">
        <v>717.95</v>
      </c>
      <c r="E1103" s="13" t="str">
        <f>IF(ISERROR(VLOOKUP(F1103,Magic!H:H,1,0)),IF(ISERROR(VLOOKUP(F1103,Magic!T:T,1,0)),"N","Y"),"Y")</f>
        <v>Y</v>
      </c>
      <c r="F1103" s="13">
        <v>1102</v>
      </c>
    </row>
    <row r="1104" spans="1:6" x14ac:dyDescent="0.25">
      <c r="A1104" s="16">
        <v>42838</v>
      </c>
      <c r="B1104" s="13" t="s">
        <v>28</v>
      </c>
      <c r="C1104" s="13">
        <v>103</v>
      </c>
      <c r="D1104" s="13">
        <v>957.35</v>
      </c>
      <c r="E1104" s="13" t="str">
        <f>IF(ISERROR(VLOOKUP(F1104,Magic!H:H,1,0)),IF(ISERROR(VLOOKUP(F1104,Magic!T:T,1,0)),"N","Y"),"Y")</f>
        <v>Y</v>
      </c>
      <c r="F1104" s="13">
        <v>1103</v>
      </c>
    </row>
    <row r="1105" spans="1:6" x14ac:dyDescent="0.25">
      <c r="A1105" s="16">
        <v>42843</v>
      </c>
      <c r="B1105" s="13" t="s">
        <v>146</v>
      </c>
      <c r="C1105" s="13">
        <v>37</v>
      </c>
      <c r="D1105" s="13">
        <v>489.95</v>
      </c>
      <c r="E1105" s="13" t="str">
        <f>IF(ISERROR(VLOOKUP(F1105,Magic!H:H,1,0)),IF(ISERROR(VLOOKUP(F1105,Magic!T:T,1,0)),"N","Y"),"Y")</f>
        <v>Y</v>
      </c>
      <c r="F1105" s="13">
        <v>1104</v>
      </c>
    </row>
    <row r="1106" spans="1:6" x14ac:dyDescent="0.25">
      <c r="A1106" s="16">
        <v>42843</v>
      </c>
      <c r="B1106" s="13" t="s">
        <v>29</v>
      </c>
      <c r="C1106" s="13">
        <v>35</v>
      </c>
      <c r="D1106" s="13">
        <v>505</v>
      </c>
      <c r="E1106" s="13" t="str">
        <f>IF(ISERROR(VLOOKUP(F1106,Magic!H:H,1,0)),IF(ISERROR(VLOOKUP(F1106,Magic!T:T,1,0)),"N","Y"),"Y")</f>
        <v>Y</v>
      </c>
      <c r="F1106" s="13">
        <v>1105</v>
      </c>
    </row>
    <row r="1107" spans="1:6" x14ac:dyDescent="0.25">
      <c r="A1107" s="16">
        <v>42843</v>
      </c>
      <c r="B1107" s="13" t="s">
        <v>82</v>
      </c>
      <c r="C1107" s="13">
        <v>35</v>
      </c>
      <c r="D1107" s="13">
        <v>242.8</v>
      </c>
      <c r="E1107" s="13" t="str">
        <f>IF(ISERROR(VLOOKUP(F1107,Magic!H:H,1,0)),IF(ISERROR(VLOOKUP(F1107,Magic!T:T,1,0)),"N","Y"),"Y")</f>
        <v>Y</v>
      </c>
      <c r="F1107" s="13">
        <v>1106</v>
      </c>
    </row>
    <row r="1108" spans="1:6" x14ac:dyDescent="0.25">
      <c r="A1108" s="16">
        <v>42843</v>
      </c>
      <c r="B1108" s="13" t="s">
        <v>82</v>
      </c>
      <c r="C1108" s="13">
        <v>35</v>
      </c>
      <c r="D1108" s="13">
        <v>0.7</v>
      </c>
      <c r="E1108" s="13" t="str">
        <f>IF(ISERROR(VLOOKUP(F1108,Magic!H:H,1,0)),IF(ISERROR(VLOOKUP(F1108,Magic!T:T,1,0)),"N","Y"),"Y")</f>
        <v>Y</v>
      </c>
      <c r="F1108" s="13">
        <v>1107</v>
      </c>
    </row>
    <row r="1109" spans="1:6" x14ac:dyDescent="0.25">
      <c r="A1109" s="16">
        <v>42843</v>
      </c>
      <c r="B1109" s="13" t="s">
        <v>82</v>
      </c>
      <c r="C1109" s="13">
        <v>35</v>
      </c>
      <c r="D1109" s="13">
        <v>863.55</v>
      </c>
      <c r="E1109" s="13" t="str">
        <f>IF(ISERROR(VLOOKUP(F1109,Magic!H:H,1,0)),IF(ISERROR(VLOOKUP(F1109,Magic!T:T,1,0)),"N","Y"),"Y")</f>
        <v>Y</v>
      </c>
      <c r="F1109" s="13">
        <v>1108</v>
      </c>
    </row>
    <row r="1110" spans="1:6" x14ac:dyDescent="0.25">
      <c r="A1110" s="16">
        <v>42843</v>
      </c>
      <c r="B1110" s="13" t="s">
        <v>146</v>
      </c>
      <c r="C1110" s="13">
        <v>37</v>
      </c>
      <c r="D1110" s="13">
        <v>859.95</v>
      </c>
      <c r="E1110" s="13" t="str">
        <f>IF(ISERROR(VLOOKUP(F1110,Magic!H:H,1,0)),IF(ISERROR(VLOOKUP(F1110,Magic!T:T,1,0)),"N","Y"),"Y")</f>
        <v>Y</v>
      </c>
      <c r="F1110" s="13">
        <v>1109</v>
      </c>
    </row>
    <row r="1111" spans="1:6" x14ac:dyDescent="0.25">
      <c r="A1111" s="16">
        <v>42843</v>
      </c>
      <c r="B1111" s="13" t="s">
        <v>146</v>
      </c>
      <c r="C1111" s="13">
        <v>37</v>
      </c>
      <c r="D1111" s="13">
        <v>999.9</v>
      </c>
      <c r="E1111" s="13" t="str">
        <f>IF(ISERROR(VLOOKUP(F1111,Magic!H:H,1,0)),IF(ISERROR(VLOOKUP(F1111,Magic!T:T,1,0)),"N","Y"),"Y")</f>
        <v>Y</v>
      </c>
      <c r="F1111" s="13">
        <v>1110</v>
      </c>
    </row>
    <row r="1112" spans="1:6" x14ac:dyDescent="0.25">
      <c r="A1112" s="16">
        <v>42843</v>
      </c>
      <c r="B1112" s="13" t="s">
        <v>81</v>
      </c>
      <c r="C1112" s="13">
        <v>41</v>
      </c>
      <c r="D1112" s="13">
        <v>527.85</v>
      </c>
      <c r="E1112" s="13" t="str">
        <f>IF(ISERROR(VLOOKUP(F1112,Magic!H:H,1,0)),IF(ISERROR(VLOOKUP(F1112,Magic!T:T,1,0)),"N","Y"),"Y")</f>
        <v>Y</v>
      </c>
      <c r="F1112" s="13">
        <v>1111</v>
      </c>
    </row>
    <row r="1113" spans="1:6" x14ac:dyDescent="0.25">
      <c r="A1113" s="16">
        <v>42843</v>
      </c>
      <c r="B1113" s="13" t="s">
        <v>81</v>
      </c>
      <c r="C1113" s="13">
        <v>41</v>
      </c>
      <c r="D1113" s="13">
        <v>561.65</v>
      </c>
      <c r="E1113" s="13" t="str">
        <f>IF(ISERROR(VLOOKUP(F1113,Magic!H:H,1,0)),IF(ISERROR(VLOOKUP(F1113,Magic!T:T,1,0)),"N","Y"),"Y")</f>
        <v>Y</v>
      </c>
      <c r="F1113" s="13">
        <v>1112</v>
      </c>
    </row>
    <row r="1114" spans="1:6" x14ac:dyDescent="0.25">
      <c r="A1114" s="16">
        <v>42843</v>
      </c>
      <c r="B1114" s="13" t="s">
        <v>472</v>
      </c>
      <c r="C1114" s="13">
        <v>43</v>
      </c>
      <c r="D1114" s="13">
        <v>1430.45</v>
      </c>
      <c r="E1114" s="13" t="str">
        <f>IF(ISERROR(VLOOKUP(F1114,Magic!H:H,1,0)),IF(ISERROR(VLOOKUP(F1114,Magic!T:T,1,0)),"N","Y"),"Y")</f>
        <v>Y</v>
      </c>
      <c r="F1114" s="13">
        <v>1113</v>
      </c>
    </row>
    <row r="1115" spans="1:6" x14ac:dyDescent="0.25">
      <c r="A1115" s="16">
        <v>42843</v>
      </c>
      <c r="B1115" s="13" t="s">
        <v>472</v>
      </c>
      <c r="C1115" s="13">
        <v>43</v>
      </c>
      <c r="D1115" s="13">
        <v>682.7</v>
      </c>
      <c r="E1115" s="13" t="str">
        <f>IF(ISERROR(VLOOKUP(F1115,Magic!H:H,1,0)),IF(ISERROR(VLOOKUP(F1115,Magic!T:T,1,0)),"N","Y"),"Y")</f>
        <v>Y</v>
      </c>
      <c r="F1115" s="13">
        <v>1114</v>
      </c>
    </row>
    <row r="1116" spans="1:6" x14ac:dyDescent="0.25">
      <c r="A1116" s="1">
        <v>42843</v>
      </c>
      <c r="B1116" t="s">
        <v>1083</v>
      </c>
      <c r="C1116">
        <v>43</v>
      </c>
      <c r="D1116">
        <v>250</v>
      </c>
      <c r="E1116" t="str">
        <f>IF(ISERROR(VLOOKUP(F1116,Magic!H:H,1,0)),IF(ISERROR(VLOOKUP(F1116,Magic!T:T,1,0)),"N","Y"),"Y")</f>
        <v>N</v>
      </c>
      <c r="F1116">
        <v>1115</v>
      </c>
    </row>
    <row r="1117" spans="1:6" x14ac:dyDescent="0.25">
      <c r="A1117" s="16">
        <v>42843</v>
      </c>
      <c r="B1117" s="13" t="s">
        <v>27</v>
      </c>
      <c r="C1117" s="13">
        <v>101</v>
      </c>
      <c r="D1117" s="13">
        <v>523.75</v>
      </c>
      <c r="E1117" s="13" t="str">
        <f>IF(ISERROR(VLOOKUP(F1117,Magic!H:H,1,0)),IF(ISERROR(VLOOKUP(F1117,Magic!T:T,1,0)),"N","Y"),"Y")</f>
        <v>Y</v>
      </c>
      <c r="F1117" s="13">
        <v>1116</v>
      </c>
    </row>
    <row r="1118" spans="1:6" x14ac:dyDescent="0.25">
      <c r="A1118" s="16">
        <v>42843</v>
      </c>
      <c r="B1118" s="13" t="s">
        <v>27</v>
      </c>
      <c r="C1118" s="13">
        <v>101</v>
      </c>
      <c r="D1118" s="13">
        <v>520</v>
      </c>
      <c r="E1118" s="13" t="str">
        <f>IF(ISERROR(VLOOKUP(F1118,Magic!H:H,1,0)),IF(ISERROR(VLOOKUP(F1118,Magic!T:T,1,0)),"N","Y"),"Y")</f>
        <v>Y</v>
      </c>
      <c r="F1118" s="13">
        <v>1117</v>
      </c>
    </row>
    <row r="1119" spans="1:6" x14ac:dyDescent="0.25">
      <c r="A1119" s="16">
        <v>42843</v>
      </c>
      <c r="B1119" s="13" t="s">
        <v>28</v>
      </c>
      <c r="C1119" s="13">
        <v>103</v>
      </c>
      <c r="D1119" s="13">
        <v>255.4</v>
      </c>
      <c r="E1119" s="13" t="str">
        <f>IF(ISERROR(VLOOKUP(F1119,Magic!H:H,1,0)),IF(ISERROR(VLOOKUP(F1119,Magic!T:T,1,0)),"N","Y"),"Y")</f>
        <v>Y</v>
      </c>
      <c r="F1119" s="13">
        <v>1118</v>
      </c>
    </row>
    <row r="1120" spans="1:6" x14ac:dyDescent="0.25">
      <c r="A1120" s="16">
        <v>42843</v>
      </c>
      <c r="B1120" s="13" t="s">
        <v>28</v>
      </c>
      <c r="C1120" s="13">
        <v>103</v>
      </c>
      <c r="D1120" s="13">
        <v>1212.95</v>
      </c>
      <c r="E1120" s="13" t="str">
        <f>IF(ISERROR(VLOOKUP(F1120,Magic!H:H,1,0)),IF(ISERROR(VLOOKUP(F1120,Magic!T:T,1,0)),"N","Y"),"Y")</f>
        <v>Y</v>
      </c>
      <c r="F1120" s="13">
        <v>1119</v>
      </c>
    </row>
    <row r="1121" spans="1:6" x14ac:dyDescent="0.25">
      <c r="A1121" s="16">
        <v>42843</v>
      </c>
      <c r="B1121" s="13" t="s">
        <v>28</v>
      </c>
      <c r="C1121" s="13">
        <v>103</v>
      </c>
      <c r="D1121" s="13">
        <v>767.95</v>
      </c>
      <c r="E1121" s="13" t="str">
        <f>IF(ISERROR(VLOOKUP(F1121,Magic!H:H,1,0)),IF(ISERROR(VLOOKUP(F1121,Magic!T:T,1,0)),"N","Y"),"Y")</f>
        <v>Y</v>
      </c>
      <c r="F1121" s="13">
        <v>1120</v>
      </c>
    </row>
    <row r="1122" spans="1:6" x14ac:dyDescent="0.25">
      <c r="A1122" s="16">
        <v>42843</v>
      </c>
      <c r="B1122" s="13" t="s">
        <v>611</v>
      </c>
      <c r="C1122" s="13">
        <v>201</v>
      </c>
      <c r="D1122" s="13">
        <v>789.95</v>
      </c>
      <c r="E1122" s="13" t="str">
        <f>IF(ISERROR(VLOOKUP(F1122,Magic!H:H,1,0)),IF(ISERROR(VLOOKUP(F1122,Magic!T:T,1,0)),"N","Y"),"Y")</f>
        <v>Y</v>
      </c>
      <c r="F1122" s="13">
        <v>1121</v>
      </c>
    </row>
    <row r="1123" spans="1:6" x14ac:dyDescent="0.25">
      <c r="A1123" s="16">
        <v>42843</v>
      </c>
      <c r="B1123" s="13" t="s">
        <v>611</v>
      </c>
      <c r="C1123" s="13">
        <v>201</v>
      </c>
      <c r="D1123" s="13">
        <v>744.75</v>
      </c>
      <c r="E1123" s="13" t="str">
        <f>IF(ISERROR(VLOOKUP(F1123,Magic!H:H,1,0)),IF(ISERROR(VLOOKUP(F1123,Magic!T:T,1,0)),"N","Y"),"Y")</f>
        <v>Y</v>
      </c>
      <c r="F1123" s="13">
        <v>1122</v>
      </c>
    </row>
    <row r="1124" spans="1:6" x14ac:dyDescent="0.25">
      <c r="A1124" s="16">
        <v>42843</v>
      </c>
      <c r="B1124" s="13" t="s">
        <v>611</v>
      </c>
      <c r="C1124" s="13">
        <v>201</v>
      </c>
      <c r="D1124" s="13">
        <v>544.95000000000005</v>
      </c>
      <c r="E1124" s="13" t="str">
        <f>IF(ISERROR(VLOOKUP(F1124,Magic!H:H,1,0)),IF(ISERROR(VLOOKUP(F1124,Magic!T:T,1,0)),"N","Y"),"Y")</f>
        <v>Y</v>
      </c>
      <c r="F1124" s="13">
        <v>1123</v>
      </c>
    </row>
    <row r="1125" spans="1:6" x14ac:dyDescent="0.25">
      <c r="A1125" s="16">
        <v>42844</v>
      </c>
      <c r="B1125" s="13" t="s">
        <v>24</v>
      </c>
      <c r="C1125" s="13">
        <v>43</v>
      </c>
      <c r="D1125" s="13">
        <v>515</v>
      </c>
      <c r="E1125" s="13" t="str">
        <f>IF(ISERROR(VLOOKUP(F1125,Magic!H:H,1,0)),IF(ISERROR(VLOOKUP(F1125,Magic!T:T,1,0)),"N","Y"),"Y")</f>
        <v>Y</v>
      </c>
      <c r="F1125" s="13">
        <v>1124</v>
      </c>
    </row>
    <row r="1126" spans="1:6" x14ac:dyDescent="0.25">
      <c r="A1126" s="16">
        <v>42844</v>
      </c>
      <c r="B1126" s="13" t="s">
        <v>57</v>
      </c>
      <c r="C1126" s="13">
        <v>35</v>
      </c>
      <c r="D1126" s="13">
        <v>2.7</v>
      </c>
      <c r="E1126" s="13" t="str">
        <f>IF(ISERROR(VLOOKUP(F1126,Magic!H:H,1,0)),IF(ISERROR(VLOOKUP(F1126,Magic!T:T,1,0)),"N","Y"),"Y")</f>
        <v>Y</v>
      </c>
      <c r="F1126" s="13">
        <v>1125</v>
      </c>
    </row>
    <row r="1127" spans="1:6" x14ac:dyDescent="0.25">
      <c r="A1127" s="16">
        <v>42844</v>
      </c>
      <c r="B1127" s="13" t="s">
        <v>31</v>
      </c>
      <c r="C1127" s="13">
        <v>37</v>
      </c>
      <c r="D1127" s="13">
        <v>569.9</v>
      </c>
      <c r="E1127" s="13" t="str">
        <f>IF(ISERROR(VLOOKUP(F1127,Magic!H:H,1,0)),IF(ISERROR(VLOOKUP(F1127,Magic!T:T,1,0)),"N","Y"),"Y")</f>
        <v>Y</v>
      </c>
      <c r="F1127" s="13">
        <v>1126</v>
      </c>
    </row>
    <row r="1128" spans="1:6" x14ac:dyDescent="0.25">
      <c r="A1128" s="16">
        <v>42844</v>
      </c>
      <c r="B1128" s="13" t="s">
        <v>25</v>
      </c>
      <c r="C1128" s="13">
        <v>44</v>
      </c>
      <c r="D1128" s="13">
        <v>258.85000000000002</v>
      </c>
      <c r="E1128" s="13" t="str">
        <f>IF(ISERROR(VLOOKUP(F1128,Magic!H:H,1,0)),IF(ISERROR(VLOOKUP(F1128,Magic!T:T,1,0)),"N","Y"),"Y")</f>
        <v>Y</v>
      </c>
      <c r="F1128" s="13">
        <v>1127</v>
      </c>
    </row>
    <row r="1129" spans="1:6" x14ac:dyDescent="0.25">
      <c r="A1129" s="16">
        <v>42844</v>
      </c>
      <c r="B1129" s="13" t="s">
        <v>25</v>
      </c>
      <c r="C1129" s="13">
        <v>44</v>
      </c>
      <c r="D1129" s="13">
        <v>337.8</v>
      </c>
      <c r="E1129" s="13" t="str">
        <f>IF(ISERROR(VLOOKUP(F1129,Magic!H:H,1,0)),IF(ISERROR(VLOOKUP(F1129,Magic!T:T,1,0)),"N","Y"),"Y")</f>
        <v>Y</v>
      </c>
      <c r="F1129" s="13">
        <v>1128</v>
      </c>
    </row>
    <row r="1130" spans="1:6" x14ac:dyDescent="0.25">
      <c r="A1130" s="16">
        <v>42844</v>
      </c>
      <c r="B1130" s="13" t="s">
        <v>27</v>
      </c>
      <c r="C1130" s="13">
        <v>101</v>
      </c>
      <c r="D1130" s="13">
        <v>645</v>
      </c>
      <c r="E1130" s="13" t="str">
        <f>IF(ISERROR(VLOOKUP(F1130,Magic!H:H,1,0)),IF(ISERROR(VLOOKUP(F1130,Magic!T:T,1,0)),"N","Y"),"Y")</f>
        <v>Y</v>
      </c>
      <c r="F1130" s="13">
        <v>1129</v>
      </c>
    </row>
    <row r="1131" spans="1:6" x14ac:dyDescent="0.25">
      <c r="A1131" s="16">
        <v>42844</v>
      </c>
      <c r="B1131" s="13" t="s">
        <v>28</v>
      </c>
      <c r="C1131" s="13">
        <v>103</v>
      </c>
      <c r="D1131" s="13">
        <v>2.0499999999999998</v>
      </c>
      <c r="E1131" s="13" t="str">
        <f>IF(ISERROR(VLOOKUP(F1131,Magic!H:H,1,0)),IF(ISERROR(VLOOKUP(F1131,Magic!T:T,1,0)),"N","Y"),"Y")</f>
        <v>Y</v>
      </c>
      <c r="F1131" s="13">
        <v>1130</v>
      </c>
    </row>
    <row r="1132" spans="1:6" x14ac:dyDescent="0.25">
      <c r="A1132" s="16">
        <v>42844</v>
      </c>
      <c r="B1132" s="13" t="s">
        <v>28</v>
      </c>
      <c r="C1132" s="13">
        <v>103</v>
      </c>
      <c r="D1132" s="13">
        <v>1046.5</v>
      </c>
      <c r="E1132" s="13" t="str">
        <f>IF(ISERROR(VLOOKUP(F1132,Magic!H:H,1,0)),IF(ISERROR(VLOOKUP(F1132,Magic!T:T,1,0)),"N","Y"),"Y")</f>
        <v>Y</v>
      </c>
      <c r="F1132" s="13">
        <v>1131</v>
      </c>
    </row>
    <row r="1133" spans="1:6" x14ac:dyDescent="0.25">
      <c r="A1133" s="16">
        <v>42845</v>
      </c>
      <c r="B1133" s="13" t="s">
        <v>146</v>
      </c>
      <c r="C1133" s="13">
        <v>37</v>
      </c>
      <c r="D1133" s="13">
        <v>324.89999999999998</v>
      </c>
      <c r="E1133" s="13" t="str">
        <f>IF(ISERROR(VLOOKUP(F1133,Magic!H:H,1,0)),IF(ISERROR(VLOOKUP(F1133,Magic!T:T,1,0)),"N","Y"),"Y")</f>
        <v>Y</v>
      </c>
      <c r="F1133" s="13">
        <v>1132</v>
      </c>
    </row>
    <row r="1134" spans="1:6" x14ac:dyDescent="0.25">
      <c r="A1134" s="16">
        <v>42845</v>
      </c>
      <c r="B1134" s="13" t="s">
        <v>82</v>
      </c>
      <c r="C1134" s="13">
        <v>35</v>
      </c>
      <c r="D1134" s="13">
        <v>586.5</v>
      </c>
      <c r="E1134" s="13" t="str">
        <f>IF(ISERROR(VLOOKUP(F1134,Magic!H:H,1,0)),IF(ISERROR(VLOOKUP(F1134,Magic!T:T,1,0)),"N","Y"),"Y")</f>
        <v>Y</v>
      </c>
      <c r="F1134" s="13">
        <v>1133</v>
      </c>
    </row>
    <row r="1135" spans="1:6" x14ac:dyDescent="0.25">
      <c r="A1135" s="16">
        <v>42845</v>
      </c>
      <c r="B1135" s="13" t="s">
        <v>81</v>
      </c>
      <c r="C1135" s="13">
        <v>41</v>
      </c>
      <c r="D1135" s="13">
        <v>338.85</v>
      </c>
      <c r="E1135" s="13" t="str">
        <f>IF(ISERROR(VLOOKUP(F1135,Magic!H:H,1,0)),IF(ISERROR(VLOOKUP(F1135,Magic!T:T,1,0)),"N","Y"),"Y")</f>
        <v>Y</v>
      </c>
      <c r="F1135" s="13">
        <v>1134</v>
      </c>
    </row>
    <row r="1136" spans="1:6" x14ac:dyDescent="0.25">
      <c r="A1136" s="16">
        <v>42845</v>
      </c>
      <c r="B1136" s="13" t="s">
        <v>81</v>
      </c>
      <c r="C1136" s="13">
        <v>41</v>
      </c>
      <c r="D1136" s="13">
        <v>218.75</v>
      </c>
      <c r="E1136" s="13" t="str">
        <f>IF(ISERROR(VLOOKUP(F1136,Magic!H:H,1,0)),IF(ISERROR(VLOOKUP(F1136,Magic!T:T,1,0)),"N","Y"),"Y")</f>
        <v>Y</v>
      </c>
      <c r="F1136" s="13">
        <v>1135</v>
      </c>
    </row>
    <row r="1137" spans="1:6" x14ac:dyDescent="0.25">
      <c r="A1137" s="16">
        <v>42845</v>
      </c>
      <c r="B1137" s="13" t="s">
        <v>819</v>
      </c>
      <c r="C1137" s="13">
        <v>43</v>
      </c>
      <c r="D1137" s="13">
        <v>847.85</v>
      </c>
      <c r="E1137" s="13" t="str">
        <f>IF(ISERROR(VLOOKUP(F1137,Magic!H:H,1,0)),IF(ISERROR(VLOOKUP(F1137,Magic!T:T,1,0)),"N","Y"),"Y")</f>
        <v>Y</v>
      </c>
      <c r="F1137" s="13">
        <v>1136</v>
      </c>
    </row>
    <row r="1138" spans="1:6" x14ac:dyDescent="0.25">
      <c r="A1138" s="16">
        <v>42845</v>
      </c>
      <c r="B1138" s="13" t="s">
        <v>27</v>
      </c>
      <c r="C1138" s="13">
        <v>101</v>
      </c>
      <c r="D1138" s="13">
        <v>755.45</v>
      </c>
      <c r="E1138" s="13" t="str">
        <f>IF(ISERROR(VLOOKUP(F1138,Magic!H:H,1,0)),IF(ISERROR(VLOOKUP(F1138,Magic!T:T,1,0)),"N","Y"),"Y")</f>
        <v>Y</v>
      </c>
      <c r="F1138" s="13">
        <v>1137</v>
      </c>
    </row>
    <row r="1139" spans="1:6" x14ac:dyDescent="0.25">
      <c r="A1139" s="16">
        <v>42849</v>
      </c>
      <c r="B1139" s="13" t="s">
        <v>28</v>
      </c>
      <c r="C1139" s="13">
        <v>103</v>
      </c>
      <c r="D1139" s="13">
        <v>590.85</v>
      </c>
      <c r="E1139" s="13" t="str">
        <f>IF(ISERROR(VLOOKUP(F1139,Magic!H:H,1,0)),IF(ISERROR(VLOOKUP(F1139,Magic!T:T,1,0)),"N","Y"),"Y")</f>
        <v>Y</v>
      </c>
      <c r="F1139" s="13">
        <v>1138</v>
      </c>
    </row>
    <row r="1140" spans="1:6" x14ac:dyDescent="0.25">
      <c r="A1140" s="16">
        <v>42849</v>
      </c>
      <c r="B1140" s="13" t="s">
        <v>82</v>
      </c>
      <c r="C1140" s="13">
        <v>35</v>
      </c>
      <c r="D1140" s="13">
        <v>594.75</v>
      </c>
      <c r="E1140" s="13" t="str">
        <f>IF(ISERROR(VLOOKUP(F1140,Magic!H:H,1,0)),IF(ISERROR(VLOOKUP(F1140,Magic!T:T,1,0)),"N","Y"),"Y")</f>
        <v>Y</v>
      </c>
      <c r="F1140" s="13">
        <v>1139</v>
      </c>
    </row>
    <row r="1141" spans="1:6" x14ac:dyDescent="0.25">
      <c r="A1141" s="16">
        <v>42849</v>
      </c>
      <c r="B1141" s="13" t="s">
        <v>82</v>
      </c>
      <c r="C1141" s="13">
        <v>35</v>
      </c>
      <c r="D1141" s="13">
        <v>528.6</v>
      </c>
      <c r="E1141" s="13" t="str">
        <f>IF(ISERROR(VLOOKUP(F1141,Magic!H:H,1,0)),IF(ISERROR(VLOOKUP(F1141,Magic!T:T,1,0)),"N","Y"),"Y")</f>
        <v>Y</v>
      </c>
      <c r="F1141" s="13">
        <v>1141</v>
      </c>
    </row>
    <row r="1142" spans="1:6" x14ac:dyDescent="0.25">
      <c r="A1142" s="16">
        <v>42849</v>
      </c>
      <c r="B1142" s="13" t="s">
        <v>146</v>
      </c>
      <c r="C1142" s="13">
        <v>37</v>
      </c>
      <c r="D1142" s="13">
        <v>448.85</v>
      </c>
      <c r="E1142" s="13" t="str">
        <f>IF(ISERROR(VLOOKUP(F1142,Magic!H:H,1,0)),IF(ISERROR(VLOOKUP(F1142,Magic!T:T,1,0)),"N","Y"),"Y")</f>
        <v>Y</v>
      </c>
      <c r="F1142" s="13">
        <v>1142</v>
      </c>
    </row>
    <row r="1143" spans="1:6" x14ac:dyDescent="0.25">
      <c r="A1143" s="16">
        <v>42849</v>
      </c>
      <c r="B1143" s="13" t="s">
        <v>146</v>
      </c>
      <c r="C1143" s="13">
        <v>37</v>
      </c>
      <c r="D1143" s="13">
        <v>469.85</v>
      </c>
      <c r="E1143" s="13" t="str">
        <f>IF(ISERROR(VLOOKUP(F1143,Magic!H:H,1,0)),IF(ISERROR(VLOOKUP(F1143,Magic!T:T,1,0)),"N","Y"),"Y")</f>
        <v>Y</v>
      </c>
      <c r="F1143" s="13">
        <v>1143</v>
      </c>
    </row>
    <row r="1144" spans="1:6" x14ac:dyDescent="0.25">
      <c r="A1144" s="16">
        <v>42849</v>
      </c>
      <c r="B1144" s="13" t="s">
        <v>146</v>
      </c>
      <c r="C1144" s="13">
        <v>37</v>
      </c>
      <c r="D1144" s="13">
        <v>476.8</v>
      </c>
      <c r="E1144" s="13" t="str">
        <f>IF(ISERROR(VLOOKUP(F1144,Magic!H:H,1,0)),IF(ISERROR(VLOOKUP(F1144,Magic!T:T,1,0)),"N","Y"),"Y")</f>
        <v>Y</v>
      </c>
      <c r="F1144" s="13">
        <v>1144</v>
      </c>
    </row>
    <row r="1145" spans="1:6" x14ac:dyDescent="0.25">
      <c r="A1145" s="16">
        <v>42849</v>
      </c>
      <c r="B1145" s="13" t="s">
        <v>81</v>
      </c>
      <c r="C1145" s="13">
        <v>41</v>
      </c>
      <c r="D1145" s="13">
        <v>190.95</v>
      </c>
      <c r="E1145" s="13" t="str">
        <f>IF(ISERROR(VLOOKUP(F1145,Magic!H:H,1,0)),IF(ISERROR(VLOOKUP(F1145,Magic!T:T,1,0)),"N","Y"),"Y")</f>
        <v>Y</v>
      </c>
      <c r="F1145" s="13">
        <v>1145</v>
      </c>
    </row>
    <row r="1146" spans="1:6" x14ac:dyDescent="0.25">
      <c r="A1146" s="16">
        <v>42849</v>
      </c>
      <c r="B1146" s="13" t="s">
        <v>81</v>
      </c>
      <c r="C1146" s="13">
        <v>41</v>
      </c>
      <c r="D1146" s="13">
        <v>279.85000000000002</v>
      </c>
      <c r="E1146" s="13" t="str">
        <f>IF(ISERROR(VLOOKUP(F1146,Magic!H:H,1,0)),IF(ISERROR(VLOOKUP(F1146,Magic!T:T,1,0)),"N","Y"),"Y")</f>
        <v>Y</v>
      </c>
      <c r="F1146" s="13">
        <v>1146</v>
      </c>
    </row>
    <row r="1147" spans="1:6" x14ac:dyDescent="0.25">
      <c r="A1147" s="16">
        <v>42849</v>
      </c>
      <c r="B1147" s="13" t="s">
        <v>81</v>
      </c>
      <c r="C1147" s="13">
        <v>41</v>
      </c>
      <c r="D1147" s="13">
        <v>302.85000000000002</v>
      </c>
      <c r="E1147" s="13" t="str">
        <f>IF(ISERROR(VLOOKUP(F1147,Magic!H:H,1,0)),IF(ISERROR(VLOOKUP(F1147,Magic!T:T,1,0)),"N","Y"),"Y")</f>
        <v>Y</v>
      </c>
      <c r="F1147" s="13">
        <v>1147</v>
      </c>
    </row>
    <row r="1148" spans="1:6" x14ac:dyDescent="0.25">
      <c r="A1148" s="16">
        <v>42849</v>
      </c>
      <c r="B1148" s="13" t="s">
        <v>24</v>
      </c>
      <c r="C1148" s="13">
        <v>43</v>
      </c>
      <c r="D1148" s="13">
        <v>1159.7</v>
      </c>
      <c r="E1148" s="13" t="str">
        <f>IF(ISERROR(VLOOKUP(F1148,Magic!H:H,1,0)),IF(ISERROR(VLOOKUP(F1148,Magic!T:T,1,0)),"N","Y"),"Y")</f>
        <v>Y</v>
      </c>
      <c r="F1148" s="13">
        <v>1148</v>
      </c>
    </row>
    <row r="1149" spans="1:6" x14ac:dyDescent="0.25">
      <c r="A1149" s="16">
        <v>42849</v>
      </c>
      <c r="B1149" s="13" t="s">
        <v>24</v>
      </c>
      <c r="C1149" s="13">
        <v>43</v>
      </c>
      <c r="D1149" s="13">
        <v>749.75</v>
      </c>
      <c r="E1149" s="13" t="str">
        <f>IF(ISERROR(VLOOKUP(F1149,Magic!H:H,1,0)),IF(ISERROR(VLOOKUP(F1149,Magic!T:T,1,0)),"N","Y"),"Y")</f>
        <v>Y</v>
      </c>
      <c r="F1149" s="13">
        <v>1149</v>
      </c>
    </row>
    <row r="1150" spans="1:6" x14ac:dyDescent="0.25">
      <c r="A1150" s="16">
        <v>42849</v>
      </c>
      <c r="B1150" s="13" t="s">
        <v>24</v>
      </c>
      <c r="C1150" s="13">
        <v>43</v>
      </c>
      <c r="D1150" s="13">
        <v>822.5</v>
      </c>
      <c r="E1150" s="13" t="str">
        <f>IF(ISERROR(VLOOKUP(F1150,Magic!H:H,1,0)),IF(ISERROR(VLOOKUP(F1150,Magic!T:T,1,0)),"N","Y"),"Y")</f>
        <v>Y</v>
      </c>
      <c r="F1150" s="13">
        <v>1150</v>
      </c>
    </row>
    <row r="1151" spans="1:6" x14ac:dyDescent="0.25">
      <c r="A1151" s="16">
        <v>42849</v>
      </c>
      <c r="B1151" s="13" t="s">
        <v>25</v>
      </c>
      <c r="C1151" s="13">
        <v>44</v>
      </c>
      <c r="D1151" s="13">
        <v>167.9</v>
      </c>
      <c r="E1151" s="13" t="str">
        <f>IF(ISERROR(VLOOKUP(F1151,Magic!H:H,1,0)),IF(ISERROR(VLOOKUP(F1151,Magic!T:T,1,0)),"N","Y"),"Y")</f>
        <v>Y</v>
      </c>
      <c r="F1151" s="13">
        <v>1151</v>
      </c>
    </row>
    <row r="1152" spans="1:6" x14ac:dyDescent="0.25">
      <c r="A1152" s="16">
        <v>42849</v>
      </c>
      <c r="B1152" s="13" t="s">
        <v>25</v>
      </c>
      <c r="C1152" s="13">
        <v>44</v>
      </c>
      <c r="D1152" s="13">
        <v>57.95</v>
      </c>
      <c r="E1152" s="13" t="str">
        <f>IF(ISERROR(VLOOKUP(F1152,Magic!H:H,1,0)),IF(ISERROR(VLOOKUP(F1152,Magic!T:T,1,0)),"N","Y"),"Y")</f>
        <v>Y</v>
      </c>
      <c r="F1152" s="13">
        <v>1152</v>
      </c>
    </row>
    <row r="1153" spans="1:6" x14ac:dyDescent="0.25">
      <c r="A1153" s="16">
        <v>42849</v>
      </c>
      <c r="B1153" s="13" t="s">
        <v>27</v>
      </c>
      <c r="C1153" s="13">
        <v>101</v>
      </c>
      <c r="D1153" s="13">
        <v>884.85</v>
      </c>
      <c r="E1153" s="13" t="str">
        <f>IF(ISERROR(VLOOKUP(F1153,Magic!H:H,1,0)),IF(ISERROR(VLOOKUP(F1153,Magic!T:T,1,0)),"N","Y"),"Y")</f>
        <v>Y</v>
      </c>
      <c r="F1153" s="13">
        <v>1153</v>
      </c>
    </row>
    <row r="1154" spans="1:6" x14ac:dyDescent="0.25">
      <c r="A1154" s="16">
        <v>42849</v>
      </c>
      <c r="B1154" s="13" t="s">
        <v>27</v>
      </c>
      <c r="C1154" s="13">
        <v>101</v>
      </c>
      <c r="D1154" s="13">
        <v>732.9</v>
      </c>
      <c r="E1154" s="13" t="str">
        <f>IF(ISERROR(VLOOKUP(F1154,Magic!H:H,1,0)),IF(ISERROR(VLOOKUP(F1154,Magic!T:T,1,0)),"N","Y"),"Y")</f>
        <v>Y</v>
      </c>
      <c r="F1154" s="13">
        <v>1154</v>
      </c>
    </row>
    <row r="1155" spans="1:6" x14ac:dyDescent="0.25">
      <c r="A1155" s="16">
        <v>42849</v>
      </c>
      <c r="B1155" s="13" t="s">
        <v>28</v>
      </c>
      <c r="C1155" s="13">
        <v>103</v>
      </c>
      <c r="D1155" s="13">
        <v>488</v>
      </c>
      <c r="E1155" s="13" t="str">
        <f>IF(ISERROR(VLOOKUP(F1155,Magic!H:H,1,0)),IF(ISERROR(VLOOKUP(F1155,Magic!T:T,1,0)),"N","Y"),"Y")</f>
        <v>Y</v>
      </c>
      <c r="F1155" s="13">
        <v>1155</v>
      </c>
    </row>
    <row r="1156" spans="1:6" x14ac:dyDescent="0.25">
      <c r="A1156" s="16">
        <v>42849</v>
      </c>
      <c r="B1156" s="13" t="s">
        <v>28</v>
      </c>
      <c r="C1156" s="13">
        <v>103</v>
      </c>
      <c r="D1156" s="13">
        <v>799.65</v>
      </c>
      <c r="E1156" s="13" t="str">
        <f>IF(ISERROR(VLOOKUP(F1156,Magic!H:H,1,0)),IF(ISERROR(VLOOKUP(F1156,Magic!T:T,1,0)),"N","Y"),"Y")</f>
        <v>Y</v>
      </c>
      <c r="F1156" s="13">
        <v>1156</v>
      </c>
    </row>
    <row r="1157" spans="1:6" x14ac:dyDescent="0.25">
      <c r="A1157" s="16">
        <v>42849</v>
      </c>
      <c r="B1157" s="13" t="s">
        <v>611</v>
      </c>
      <c r="C1157" s="13">
        <v>201</v>
      </c>
      <c r="D1157" s="13">
        <v>2129.5500000000002</v>
      </c>
      <c r="E1157" s="13" t="s">
        <v>71</v>
      </c>
      <c r="F1157" s="13">
        <v>1157</v>
      </c>
    </row>
    <row r="1158" spans="1:6" x14ac:dyDescent="0.25">
      <c r="A1158" s="16">
        <v>42849</v>
      </c>
      <c r="B1158" s="13" t="s">
        <v>611</v>
      </c>
      <c r="C1158" s="13">
        <v>201</v>
      </c>
      <c r="D1158" s="13">
        <v>355</v>
      </c>
      <c r="E1158" s="13" t="str">
        <f>IF(ISERROR(VLOOKUP(F1158,Magic!H:H,1,0)),IF(ISERROR(VLOOKUP(F1158,Magic!T:T,1,0)),"N","Y"),"Y")</f>
        <v>Y</v>
      </c>
      <c r="F1158" s="13">
        <v>1167</v>
      </c>
    </row>
    <row r="1159" spans="1:6" x14ac:dyDescent="0.25">
      <c r="A1159" s="16">
        <v>42849</v>
      </c>
      <c r="B1159" s="13" t="s">
        <v>611</v>
      </c>
      <c r="C1159" s="13">
        <v>201</v>
      </c>
      <c r="D1159" s="13">
        <v>304.95</v>
      </c>
      <c r="E1159" s="13" t="str">
        <f>IF(ISERROR(VLOOKUP(F1159,Magic!H:H,1,0)),IF(ISERROR(VLOOKUP(F1159,Magic!T:T,1,0)),"N","Y"),"Y")</f>
        <v>Y</v>
      </c>
      <c r="F1159" s="13">
        <v>1168</v>
      </c>
    </row>
    <row r="1160" spans="1:6" x14ac:dyDescent="0.25">
      <c r="A1160" s="16">
        <v>42849</v>
      </c>
      <c r="B1160" s="13" t="s">
        <v>611</v>
      </c>
      <c r="C1160" s="13">
        <v>201</v>
      </c>
      <c r="D1160" s="13">
        <v>589.75</v>
      </c>
      <c r="E1160" s="13" t="str">
        <f>IF(ISERROR(VLOOKUP(F1160,Magic!H:H,1,0)),IF(ISERROR(VLOOKUP(F1160,Magic!T:T,1,0)),"N","Y"),"Y")</f>
        <v>Y</v>
      </c>
      <c r="F1160" s="13">
        <v>1169</v>
      </c>
    </row>
    <row r="1161" spans="1:6" x14ac:dyDescent="0.25">
      <c r="A1161" s="16">
        <v>42849</v>
      </c>
      <c r="B1161" s="13" t="s">
        <v>611</v>
      </c>
      <c r="C1161" s="13">
        <v>201</v>
      </c>
      <c r="D1161" s="13">
        <v>304.89999999999998</v>
      </c>
      <c r="E1161" s="13" t="str">
        <f>IF(ISERROR(VLOOKUP(F1161,Magic!H:H,1,0)),IF(ISERROR(VLOOKUP(F1161,Magic!T:T,1,0)),"N","Y"),"Y")</f>
        <v>Y</v>
      </c>
      <c r="F1161" s="13">
        <v>1170</v>
      </c>
    </row>
    <row r="1162" spans="1:6" x14ac:dyDescent="0.25">
      <c r="A1162" s="16">
        <v>42849</v>
      </c>
      <c r="B1162" s="13" t="s">
        <v>611</v>
      </c>
      <c r="C1162" s="13">
        <v>201</v>
      </c>
      <c r="D1162" s="13">
        <v>394.95</v>
      </c>
      <c r="E1162" s="13" t="str">
        <f>IF(ISERROR(VLOOKUP(F1162,Magic!H:H,1,0)),IF(ISERROR(VLOOKUP(F1162,Magic!T:T,1,0)),"N","Y"),"Y")</f>
        <v>Y</v>
      </c>
      <c r="F1162" s="13">
        <v>1171</v>
      </c>
    </row>
    <row r="1163" spans="1:6" x14ac:dyDescent="0.25">
      <c r="A1163" s="16">
        <v>42849</v>
      </c>
      <c r="B1163" s="13" t="s">
        <v>611</v>
      </c>
      <c r="C1163" s="13">
        <v>201</v>
      </c>
      <c r="D1163" s="13">
        <v>180</v>
      </c>
      <c r="E1163" s="13" t="str">
        <f>IF(ISERROR(VLOOKUP(F1163,Magic!H:H,1,0)),IF(ISERROR(VLOOKUP(F1163,Magic!T:T,1,0)),"N","Y"),"Y")</f>
        <v>Y</v>
      </c>
      <c r="F1163" s="13">
        <v>1172</v>
      </c>
    </row>
    <row r="1164" spans="1:6" x14ac:dyDescent="0.25">
      <c r="A1164" s="16">
        <v>42849</v>
      </c>
      <c r="B1164" s="13" t="s">
        <v>82</v>
      </c>
      <c r="C1164" s="13">
        <v>35</v>
      </c>
      <c r="D1164" s="13">
        <v>4.55</v>
      </c>
      <c r="E1164" s="13" t="s">
        <v>71</v>
      </c>
      <c r="F1164" s="13">
        <v>1140</v>
      </c>
    </row>
    <row r="1165" spans="1:6" x14ac:dyDescent="0.25">
      <c r="A1165" s="16">
        <v>42847</v>
      </c>
      <c r="B1165" s="13" t="s">
        <v>29</v>
      </c>
      <c r="C1165" s="13">
        <v>35</v>
      </c>
      <c r="D1165" s="13">
        <v>9.5500000000000007</v>
      </c>
      <c r="E1165" s="13" t="str">
        <f>IF(ISERROR(VLOOKUP(F1165,Magic!H:H,1,0)),IF(ISERROR(VLOOKUP(F1165,Magic!T:T,1,0)),"N","Y"),"Y")</f>
        <v>Y</v>
      </c>
      <c r="F1165" s="13">
        <v>1158</v>
      </c>
    </row>
    <row r="1166" spans="1:6" x14ac:dyDescent="0.25">
      <c r="A1166" s="16">
        <v>42846</v>
      </c>
      <c r="B1166" s="13" t="s">
        <v>82</v>
      </c>
      <c r="C1166" s="13">
        <v>35</v>
      </c>
      <c r="D1166" s="13">
        <v>668.55</v>
      </c>
      <c r="E1166" s="13" t="str">
        <f>IF(ISERROR(VLOOKUP(F1166,Magic!H:H,1,0)),IF(ISERROR(VLOOKUP(F1166,Magic!T:T,1,0)),"N","Y"),"Y")</f>
        <v>Y</v>
      </c>
      <c r="F1166" s="13">
        <v>1159</v>
      </c>
    </row>
    <row r="1167" spans="1:6" x14ac:dyDescent="0.25">
      <c r="A1167" s="16">
        <v>42846</v>
      </c>
      <c r="B1167" s="13" t="s">
        <v>31</v>
      </c>
      <c r="C1167" s="13">
        <v>37</v>
      </c>
      <c r="D1167" s="13">
        <v>829.9</v>
      </c>
      <c r="E1167" s="13" t="str">
        <f>IF(ISERROR(VLOOKUP(F1167,Magic!H:H,1,0)),IF(ISERROR(VLOOKUP(F1167,Magic!T:T,1,0)),"N","Y"),"Y")</f>
        <v>Y</v>
      </c>
      <c r="F1167" s="13">
        <v>1160</v>
      </c>
    </row>
    <row r="1168" spans="1:6" x14ac:dyDescent="0.25">
      <c r="A1168" s="16">
        <v>42846</v>
      </c>
      <c r="B1168" s="13" t="s">
        <v>81</v>
      </c>
      <c r="C1168" s="13">
        <v>41</v>
      </c>
      <c r="D1168" s="13">
        <v>589.79999999999995</v>
      </c>
      <c r="E1168" s="13" t="str">
        <f>IF(ISERROR(VLOOKUP(F1168,Magic!H:H,1,0)),IF(ISERROR(VLOOKUP(F1168,Magic!T:T,1,0)),"N","Y"),"Y")</f>
        <v>Y</v>
      </c>
      <c r="F1168" s="13">
        <v>1161</v>
      </c>
    </row>
    <row r="1169" spans="1:6" x14ac:dyDescent="0.25">
      <c r="A1169" s="16">
        <v>42846</v>
      </c>
      <c r="B1169" s="13" t="s">
        <v>24</v>
      </c>
      <c r="C1169" s="13">
        <v>43</v>
      </c>
      <c r="D1169" s="13">
        <v>1052.5999999999999</v>
      </c>
      <c r="E1169" s="13" t="str">
        <f>IF(ISERROR(VLOOKUP(F1169,Magic!H:H,1,0)),IF(ISERROR(VLOOKUP(F1169,Magic!T:T,1,0)),"N","Y"),"Y")</f>
        <v>Y</v>
      </c>
      <c r="F1169" s="13">
        <v>1162</v>
      </c>
    </row>
    <row r="1170" spans="1:6" x14ac:dyDescent="0.25">
      <c r="A1170" s="16">
        <v>42846</v>
      </c>
      <c r="B1170" s="13" t="s">
        <v>27</v>
      </c>
      <c r="C1170" s="13">
        <v>101</v>
      </c>
      <c r="D1170" s="13">
        <v>755.85</v>
      </c>
      <c r="E1170" s="13" t="str">
        <f>IF(ISERROR(VLOOKUP(F1170,Magic!H:H,1,0)),IF(ISERROR(VLOOKUP(F1170,Magic!T:T,1,0)),"N","Y"),"Y")</f>
        <v>Y</v>
      </c>
      <c r="F1170" s="13">
        <v>1163</v>
      </c>
    </row>
    <row r="1171" spans="1:6" x14ac:dyDescent="0.25">
      <c r="A1171" s="16">
        <v>42846</v>
      </c>
      <c r="B1171" s="13" t="s">
        <v>28</v>
      </c>
      <c r="C1171" s="13">
        <v>103</v>
      </c>
      <c r="D1171" s="13">
        <v>585.54999999999995</v>
      </c>
      <c r="E1171" s="13" t="str">
        <f>IF(ISERROR(VLOOKUP(F1171,Magic!H:H,1,0)),IF(ISERROR(VLOOKUP(F1171,Magic!T:T,1,0)),"N","Y"),"Y")</f>
        <v>Y</v>
      </c>
      <c r="F1171" s="13">
        <v>1164</v>
      </c>
    </row>
    <row r="1172" spans="1:6" x14ac:dyDescent="0.25">
      <c r="A1172" s="16">
        <v>42846</v>
      </c>
      <c r="B1172" s="13" t="s">
        <v>28</v>
      </c>
      <c r="C1172" s="13">
        <v>103</v>
      </c>
      <c r="D1172" s="13">
        <v>790.4</v>
      </c>
      <c r="E1172" s="13" t="str">
        <f>IF(ISERROR(VLOOKUP(F1172,Magic!H:H,1,0)),IF(ISERROR(VLOOKUP(F1172,Magic!T:T,1,0)),"N","Y"),"Y")</f>
        <v>Y</v>
      </c>
      <c r="F1172" s="13">
        <v>1165</v>
      </c>
    </row>
    <row r="1173" spans="1:6" x14ac:dyDescent="0.25">
      <c r="A1173" s="16">
        <v>42847</v>
      </c>
      <c r="B1173" s="13" t="s">
        <v>29</v>
      </c>
      <c r="C1173" s="13">
        <v>35</v>
      </c>
      <c r="D1173" s="13">
        <v>790</v>
      </c>
      <c r="E1173" s="13" t="str">
        <f>IF(ISERROR(VLOOKUP(F1173,Magic!H:H,1,0)),IF(ISERROR(VLOOKUP(F1173,Magic!T:T,1,0)),"N","Y"),"Y")</f>
        <v>Y</v>
      </c>
      <c r="F1173" s="13">
        <v>1166</v>
      </c>
    </row>
    <row r="1174" spans="1:6" x14ac:dyDescent="0.25">
      <c r="A1174" s="16">
        <v>42851</v>
      </c>
      <c r="B1174" s="13" t="s">
        <v>472</v>
      </c>
      <c r="C1174" s="13">
        <v>43</v>
      </c>
      <c r="D1174" s="13">
        <v>637.70000000000005</v>
      </c>
      <c r="E1174" s="13" t="str">
        <f>IF(ISERROR(VLOOKUP(F1174,Magic!H:H,1,0)),IF(ISERROR(VLOOKUP(F1174,Magic!T:T,1,0)),"N","Y"),"Y")</f>
        <v>Y</v>
      </c>
      <c r="F1174" s="13">
        <v>1173</v>
      </c>
    </row>
    <row r="1175" spans="1:6" x14ac:dyDescent="0.25">
      <c r="A1175" s="16">
        <v>42851</v>
      </c>
      <c r="B1175" s="13" t="s">
        <v>82</v>
      </c>
      <c r="C1175" s="13">
        <v>35</v>
      </c>
      <c r="D1175" s="13">
        <v>657.55</v>
      </c>
      <c r="E1175" s="13" t="str">
        <f>IF(ISERROR(VLOOKUP(F1175,Magic!H:H,1,0)),IF(ISERROR(VLOOKUP(F1175,Magic!T:T,1,0)),"N","Y"),"Y")</f>
        <v>Y</v>
      </c>
      <c r="F1175" s="13">
        <v>1174</v>
      </c>
    </row>
    <row r="1176" spans="1:6" x14ac:dyDescent="0.25">
      <c r="A1176" s="16">
        <v>42851</v>
      </c>
      <c r="B1176" s="13" t="s">
        <v>31</v>
      </c>
      <c r="C1176" s="13">
        <v>37</v>
      </c>
      <c r="D1176" s="13">
        <v>399.95</v>
      </c>
      <c r="E1176" s="13" t="str">
        <f>IF(ISERROR(VLOOKUP(F1176,Magic!H:H,1,0)),IF(ISERROR(VLOOKUP(F1176,Magic!T:T,1,0)),"N","Y"),"Y")</f>
        <v>Y</v>
      </c>
      <c r="F1176" s="13">
        <v>1175</v>
      </c>
    </row>
    <row r="1177" spans="1:6" x14ac:dyDescent="0.25">
      <c r="A1177" s="16">
        <v>42851</v>
      </c>
      <c r="B1177" s="13" t="s">
        <v>25</v>
      </c>
      <c r="C1177" s="13">
        <v>44</v>
      </c>
      <c r="D1177" s="13">
        <v>109.9</v>
      </c>
      <c r="E1177" s="13" t="str">
        <f>IF(ISERROR(VLOOKUP(F1177,Magic!H:H,1,0)),IF(ISERROR(VLOOKUP(F1177,Magic!T:T,1,0)),"N","Y"),"Y")</f>
        <v>Y</v>
      </c>
      <c r="F1177" s="13">
        <v>1176</v>
      </c>
    </row>
    <row r="1178" spans="1:6" x14ac:dyDescent="0.25">
      <c r="A1178" s="16">
        <v>42851</v>
      </c>
      <c r="B1178" s="13" t="s">
        <v>202</v>
      </c>
      <c r="C1178" s="13">
        <v>103</v>
      </c>
      <c r="D1178" s="13">
        <v>795</v>
      </c>
      <c r="E1178" s="13" t="str">
        <f>IF(ISERROR(VLOOKUP(F1178,Magic!H:H,1,0)),IF(ISERROR(VLOOKUP(F1178,Magic!T:T,1,0)),"N","Y"),"Y")</f>
        <v>Y</v>
      </c>
      <c r="F1178" s="13">
        <v>1177</v>
      </c>
    </row>
    <row r="1179" spans="1:6" x14ac:dyDescent="0.25">
      <c r="A1179" s="16">
        <v>42851</v>
      </c>
      <c r="B1179" s="13" t="s">
        <v>28</v>
      </c>
      <c r="C1179" s="13">
        <v>103</v>
      </c>
      <c r="D1179" s="13">
        <v>6.9</v>
      </c>
      <c r="E1179" s="13" t="str">
        <f>IF(ISERROR(VLOOKUP(F1179,Magic!H:H,1,0)),IF(ISERROR(VLOOKUP(F1179,Magic!T:T,1,0)),"N","Y"),"Y")</f>
        <v>Y</v>
      </c>
      <c r="F1179" s="13">
        <v>1178</v>
      </c>
    </row>
    <row r="1180" spans="1:6" x14ac:dyDescent="0.25">
      <c r="A1180" s="16">
        <v>42851</v>
      </c>
      <c r="B1180" s="13" t="s">
        <v>611</v>
      </c>
      <c r="C1180" s="13">
        <v>201</v>
      </c>
      <c r="D1180" s="13">
        <v>289.85000000000002</v>
      </c>
      <c r="E1180" s="13" t="str">
        <f>IF(ISERROR(VLOOKUP(F1180,Magic!H:H,1,0)),IF(ISERROR(VLOOKUP(F1180,Magic!T:T,1,0)),"N","Y"),"Y")</f>
        <v>Y</v>
      </c>
      <c r="F1180" s="13">
        <v>1179</v>
      </c>
    </row>
    <row r="1181" spans="1:6" x14ac:dyDescent="0.25">
      <c r="A1181" s="16">
        <v>42852</v>
      </c>
      <c r="B1181" s="13" t="s">
        <v>28</v>
      </c>
      <c r="C1181" s="13">
        <v>103</v>
      </c>
      <c r="D1181" s="13">
        <v>529.70000000000005</v>
      </c>
      <c r="E1181" s="13" t="str">
        <f>IF(ISERROR(VLOOKUP(F1181,Magic!H:H,1,0)),IF(ISERROR(VLOOKUP(F1181,Magic!T:T,1,0)),"N","Y"),"Y")</f>
        <v>Y</v>
      </c>
      <c r="F1181" s="13">
        <v>1180</v>
      </c>
    </row>
    <row r="1182" spans="1:6" x14ac:dyDescent="0.25">
      <c r="A1182" s="16">
        <v>42852</v>
      </c>
      <c r="B1182" s="13" t="s">
        <v>82</v>
      </c>
      <c r="C1182" s="13">
        <v>35</v>
      </c>
      <c r="D1182" s="13">
        <v>707.8</v>
      </c>
      <c r="E1182" s="13" t="str">
        <f>IF(ISERROR(VLOOKUP(F1182,Magic!H:H,1,0)),IF(ISERROR(VLOOKUP(F1182,Magic!T:T,1,0)),"N","Y"),"Y")</f>
        <v>Y</v>
      </c>
      <c r="F1182" s="13">
        <v>1181</v>
      </c>
    </row>
    <row r="1183" spans="1:6" x14ac:dyDescent="0.25">
      <c r="A1183" s="16">
        <v>42852</v>
      </c>
      <c r="B1183" s="13" t="s">
        <v>31</v>
      </c>
      <c r="C1183" s="13">
        <v>37</v>
      </c>
      <c r="D1183" s="13">
        <v>469.4</v>
      </c>
      <c r="E1183" s="13" t="str">
        <f>IF(ISERROR(VLOOKUP(F1183,Magic!H:H,1,0)),IF(ISERROR(VLOOKUP(F1183,Magic!T:T,1,0)),"N","Y"),"Y")</f>
        <v>Y</v>
      </c>
      <c r="F1183" s="13">
        <v>1182</v>
      </c>
    </row>
    <row r="1184" spans="1:6" x14ac:dyDescent="0.25">
      <c r="A1184" s="16">
        <v>42852</v>
      </c>
      <c r="B1184" s="13" t="s">
        <v>81</v>
      </c>
      <c r="C1184" s="13">
        <v>41</v>
      </c>
      <c r="D1184" s="13">
        <v>241</v>
      </c>
      <c r="E1184" s="13" t="str">
        <f>IF(ISERROR(VLOOKUP(F1184,Magic!H:H,1,0)),IF(ISERROR(VLOOKUP(F1184,Magic!T:T,1,0)),"N","Y"),"Y")</f>
        <v>Y</v>
      </c>
      <c r="F1184" s="13">
        <v>1183</v>
      </c>
    </row>
    <row r="1185" spans="1:6" x14ac:dyDescent="0.25">
      <c r="A1185" s="16">
        <v>42852</v>
      </c>
      <c r="B1185" s="13" t="s">
        <v>81</v>
      </c>
      <c r="C1185" s="13">
        <v>41</v>
      </c>
      <c r="D1185" s="13">
        <v>209.95</v>
      </c>
      <c r="E1185" s="13" t="str">
        <f>IF(ISERROR(VLOOKUP(F1185,Magic!H:H,1,0)),IF(ISERROR(VLOOKUP(F1185,Magic!T:T,1,0)),"N","Y"),"Y")</f>
        <v>Y</v>
      </c>
      <c r="F1185" s="13">
        <v>1184</v>
      </c>
    </row>
    <row r="1186" spans="1:6" x14ac:dyDescent="0.25">
      <c r="A1186" s="16">
        <v>42852</v>
      </c>
      <c r="B1186" s="13" t="s">
        <v>24</v>
      </c>
      <c r="C1186" s="13">
        <v>43</v>
      </c>
      <c r="D1186" s="13">
        <v>997.4</v>
      </c>
      <c r="E1186" s="13" t="str">
        <f>IF(ISERROR(VLOOKUP(F1186,Magic!H:H,1,0)),IF(ISERROR(VLOOKUP(F1186,Magic!T:T,1,0)),"N","Y"),"Y")</f>
        <v>Y</v>
      </c>
      <c r="F1186" s="13">
        <v>1185</v>
      </c>
    </row>
    <row r="1187" spans="1:6" x14ac:dyDescent="0.25">
      <c r="A1187" s="16">
        <v>42852</v>
      </c>
      <c r="B1187" s="13" t="s">
        <v>25</v>
      </c>
      <c r="C1187" s="13">
        <v>44</v>
      </c>
      <c r="D1187" s="13">
        <v>334.65</v>
      </c>
      <c r="E1187" s="13" t="str">
        <f>IF(ISERROR(VLOOKUP(F1187,Magic!H:H,1,0)),IF(ISERROR(VLOOKUP(F1187,Magic!T:T,1,0)),"N","Y"),"Y")</f>
        <v>Y</v>
      </c>
      <c r="F1187" s="13">
        <v>1186</v>
      </c>
    </row>
    <row r="1188" spans="1:6" x14ac:dyDescent="0.25">
      <c r="A1188" s="16">
        <v>42852</v>
      </c>
      <c r="B1188" s="13" t="s">
        <v>27</v>
      </c>
      <c r="C1188" s="13">
        <v>101</v>
      </c>
      <c r="D1188" s="13">
        <v>835.05</v>
      </c>
      <c r="E1188" s="13" t="str">
        <f>IF(ISERROR(VLOOKUP(F1188,Magic!H:H,1,0)),IF(ISERROR(VLOOKUP(F1188,Magic!T:T,1,0)),"N","Y"),"Y")</f>
        <v>Y</v>
      </c>
      <c r="F1188" s="13">
        <v>1187</v>
      </c>
    </row>
    <row r="1189" spans="1:6" x14ac:dyDescent="0.25">
      <c r="A1189" s="16">
        <v>42856</v>
      </c>
      <c r="B1189" s="13" t="s">
        <v>146</v>
      </c>
      <c r="C1189" s="13">
        <v>37</v>
      </c>
      <c r="D1189" s="13">
        <v>2</v>
      </c>
      <c r="E1189" s="13" t="str">
        <f>IF(ISERROR(VLOOKUP(F1189,Magic!H:H,1,0)),IF(ISERROR(VLOOKUP(F1189,Magic!T:T,1,0)),"N","Y"),"Y")</f>
        <v>Y</v>
      </c>
      <c r="F1189" s="13">
        <v>1188</v>
      </c>
    </row>
    <row r="1190" spans="1:6" x14ac:dyDescent="0.25">
      <c r="A1190" s="16">
        <v>42853</v>
      </c>
      <c r="B1190" s="13" t="s">
        <v>82</v>
      </c>
      <c r="C1190" s="13">
        <v>35</v>
      </c>
      <c r="D1190" s="13">
        <v>963.25</v>
      </c>
      <c r="E1190" s="13" t="str">
        <f>IF(ISERROR(VLOOKUP(F1190,Magic!H:H,1,0)),IF(ISERROR(VLOOKUP(F1190,Magic!T:T,1,0)),"N","Y"),"Y")</f>
        <v>Y</v>
      </c>
      <c r="F1190" s="13">
        <v>1189</v>
      </c>
    </row>
    <row r="1191" spans="1:6" x14ac:dyDescent="0.25">
      <c r="A1191" s="16">
        <v>42853</v>
      </c>
      <c r="B1191" s="13" t="s">
        <v>31</v>
      </c>
      <c r="C1191" s="13">
        <v>37</v>
      </c>
      <c r="D1191" s="13">
        <v>962.1</v>
      </c>
      <c r="E1191" s="13" t="str">
        <f>IF(ISERROR(VLOOKUP(F1191,Magic!H:H,1,0)),IF(ISERROR(VLOOKUP(F1191,Magic!T:T,1,0)),"N","Y"),"Y")</f>
        <v>Y</v>
      </c>
      <c r="F1191" s="13">
        <v>1190</v>
      </c>
    </row>
    <row r="1192" spans="1:6" x14ac:dyDescent="0.25">
      <c r="A1192" s="16">
        <v>42853</v>
      </c>
      <c r="B1192" s="13" t="s">
        <v>81</v>
      </c>
      <c r="C1192" s="13">
        <v>41</v>
      </c>
      <c r="D1192" s="13">
        <v>638.45000000000005</v>
      </c>
      <c r="E1192" s="13" t="str">
        <f>IF(ISERROR(VLOOKUP(F1192,Magic!H:H,1,0)),IF(ISERROR(VLOOKUP(F1192,Magic!T:T,1,0)),"N","Y"),"Y")</f>
        <v>Y</v>
      </c>
      <c r="F1192" s="13">
        <v>1191</v>
      </c>
    </row>
    <row r="1193" spans="1:6" x14ac:dyDescent="0.25">
      <c r="A1193" s="16">
        <v>42853</v>
      </c>
      <c r="B1193" s="13" t="s">
        <v>24</v>
      </c>
      <c r="C1193" s="13">
        <v>43</v>
      </c>
      <c r="D1193" s="13">
        <v>1459.95</v>
      </c>
      <c r="E1193" s="13" t="str">
        <f>IF(ISERROR(VLOOKUP(F1193,Magic!H:H,1,0)),IF(ISERROR(VLOOKUP(F1193,Magic!T:T,1,0)),"N","Y"),"Y")</f>
        <v>Y</v>
      </c>
      <c r="F1193" s="13">
        <v>1192</v>
      </c>
    </row>
    <row r="1194" spans="1:6" x14ac:dyDescent="0.25">
      <c r="A1194" s="16">
        <v>42853</v>
      </c>
      <c r="B1194" s="13" t="s">
        <v>25</v>
      </c>
      <c r="C1194" s="13">
        <v>44</v>
      </c>
      <c r="D1194" s="13">
        <v>439</v>
      </c>
      <c r="E1194" s="13" t="str">
        <f>IF(ISERROR(VLOOKUP(F1194,Magic!H:H,1,0)),IF(ISERROR(VLOOKUP(F1194,Magic!T:T,1,0)),"N","Y"),"Y")</f>
        <v>Y</v>
      </c>
      <c r="F1194" s="13">
        <v>1193</v>
      </c>
    </row>
    <row r="1195" spans="1:6" x14ac:dyDescent="0.25">
      <c r="A1195" s="16">
        <v>42853</v>
      </c>
      <c r="B1195" s="13" t="s">
        <v>27</v>
      </c>
      <c r="C1195" s="13">
        <v>101</v>
      </c>
      <c r="D1195" s="13">
        <v>1714.9</v>
      </c>
      <c r="E1195" s="13" t="str">
        <f>IF(ISERROR(VLOOKUP(F1195,Magic!H:H,1,0)),IF(ISERROR(VLOOKUP(F1195,Magic!T:T,1,0)),"N","Y"),"Y")</f>
        <v>Y</v>
      </c>
      <c r="F1195" s="13">
        <v>1194</v>
      </c>
    </row>
    <row r="1196" spans="1:6" x14ac:dyDescent="0.25">
      <c r="A1196" s="16">
        <v>42853</v>
      </c>
      <c r="B1196" s="13" t="s">
        <v>27</v>
      </c>
      <c r="C1196" s="13">
        <v>101</v>
      </c>
      <c r="D1196" s="13">
        <v>1298</v>
      </c>
      <c r="E1196" s="13" t="str">
        <f>IF(ISERROR(VLOOKUP(F1196,Magic!H:H,1,0)),IF(ISERROR(VLOOKUP(F1196,Magic!T:T,1,0)),"N","Y"),"Y")</f>
        <v>N</v>
      </c>
      <c r="F1196" s="13">
        <v>1195</v>
      </c>
    </row>
    <row r="1197" spans="1:6" x14ac:dyDescent="0.25">
      <c r="A1197" s="1">
        <v>42853</v>
      </c>
      <c r="B1197" t="s">
        <v>28</v>
      </c>
      <c r="C1197">
        <v>103</v>
      </c>
      <c r="D1197">
        <v>10</v>
      </c>
      <c r="E1197" t="str">
        <f>IF(ISERROR(VLOOKUP(F1197,Magic!H:H,1,0)),IF(ISERROR(VLOOKUP(F1197,Magic!T:T,1,0)),"N","Y"),"Y")</f>
        <v>N</v>
      </c>
      <c r="F1197">
        <v>1196</v>
      </c>
    </row>
    <row r="1198" spans="1:6" x14ac:dyDescent="0.25">
      <c r="A1198" s="16">
        <v>42853</v>
      </c>
      <c r="B1198" s="13" t="s">
        <v>28</v>
      </c>
      <c r="C1198" s="13">
        <v>103</v>
      </c>
      <c r="D1198" s="13">
        <v>1139.95</v>
      </c>
      <c r="E1198" s="13" t="str">
        <f>IF(ISERROR(VLOOKUP(F1198,Magic!H:H,1,0)),IF(ISERROR(VLOOKUP(F1198,Magic!T:T,1,0)),"N","Y"),"Y")</f>
        <v>Y</v>
      </c>
      <c r="F1198" s="13">
        <v>1197</v>
      </c>
    </row>
    <row r="1199" spans="1:6" x14ac:dyDescent="0.25">
      <c r="A1199" s="16">
        <v>42853</v>
      </c>
      <c r="B1199" s="13" t="s">
        <v>611</v>
      </c>
      <c r="C1199" s="13">
        <v>201</v>
      </c>
      <c r="D1199" s="13">
        <v>949.35</v>
      </c>
      <c r="E1199" s="13" t="s">
        <v>71</v>
      </c>
      <c r="F1199" s="13">
        <v>1198</v>
      </c>
    </row>
    <row r="1200" spans="1:6" x14ac:dyDescent="0.25">
      <c r="A1200" s="16">
        <v>42853</v>
      </c>
      <c r="B1200" s="13" t="s">
        <v>611</v>
      </c>
      <c r="C1200" s="13">
        <v>201</v>
      </c>
      <c r="D1200" s="13">
        <v>464.75</v>
      </c>
      <c r="E1200" s="13" t="str">
        <f>IF(ISERROR(VLOOKUP(F1200,Magic!H:H,1,0)),IF(ISERROR(VLOOKUP(F1200,Magic!T:T,1,0)),"N","Y"),"Y")</f>
        <v>Y</v>
      </c>
      <c r="F1200" s="13">
        <v>1222</v>
      </c>
    </row>
    <row r="1201" spans="1:12" x14ac:dyDescent="0.25">
      <c r="A1201" s="16">
        <v>42853</v>
      </c>
      <c r="B1201" s="13" t="s">
        <v>611</v>
      </c>
      <c r="C1201" s="13">
        <v>201</v>
      </c>
      <c r="D1201" s="13">
        <v>489.6</v>
      </c>
      <c r="E1201" s="13" t="str">
        <f>IF(ISERROR(VLOOKUP(F1201,Magic!H:H,1,0)),IF(ISERROR(VLOOKUP(F1201,Magic!T:T,1,0)),"N","Y"),"Y")</f>
        <v>Y</v>
      </c>
      <c r="F1201" s="13">
        <v>1223</v>
      </c>
    </row>
    <row r="1202" spans="1:12" x14ac:dyDescent="0.25">
      <c r="A1202" s="16">
        <v>42854</v>
      </c>
      <c r="B1202" s="13" t="s">
        <v>29</v>
      </c>
      <c r="C1202" s="13">
        <v>35</v>
      </c>
      <c r="D1202" s="13">
        <v>750</v>
      </c>
      <c r="E1202" s="13" t="str">
        <f>IF(ISERROR(VLOOKUP(F1202,Magic!H:H,1,0)),IF(ISERROR(VLOOKUP(F1202,Magic!T:T,1,0)),"N","Y"),"Y")</f>
        <v>Y</v>
      </c>
      <c r="F1202" s="13">
        <v>1199</v>
      </c>
    </row>
    <row r="1203" spans="1:12" x14ac:dyDescent="0.25">
      <c r="A1203" s="16">
        <v>42854</v>
      </c>
      <c r="B1203" s="13" t="s">
        <v>28</v>
      </c>
      <c r="C1203" s="13">
        <v>103</v>
      </c>
      <c r="D1203" s="13">
        <v>1027.75</v>
      </c>
      <c r="E1203" s="13" t="str">
        <f>IF(ISERROR(VLOOKUP(F1203,Magic!H:H,1,0)),IF(ISERROR(VLOOKUP(F1203,Magic!T:T,1,0)),"N","Y"),"Y")</f>
        <v>Y</v>
      </c>
      <c r="F1203" s="13">
        <v>1200</v>
      </c>
    </row>
    <row r="1204" spans="1:12" x14ac:dyDescent="0.25">
      <c r="A1204" s="16">
        <v>42856</v>
      </c>
      <c r="B1204" s="13" t="s">
        <v>82</v>
      </c>
      <c r="C1204" s="13">
        <v>35</v>
      </c>
      <c r="D1204" s="13">
        <v>354.7</v>
      </c>
      <c r="E1204" s="13" t="str">
        <f>IF(ISERROR(VLOOKUP(F1204,Magic!H:H,1,0)),IF(ISERROR(VLOOKUP(F1204,Magic!T:T,1,0)),"N","Y"),"Y")</f>
        <v>Y</v>
      </c>
      <c r="F1204" s="13">
        <v>1201</v>
      </c>
      <c r="L1204" s="13">
        <v>464.75</v>
      </c>
    </row>
    <row r="1205" spans="1:12" x14ac:dyDescent="0.25">
      <c r="A1205" s="16">
        <v>42856</v>
      </c>
      <c r="B1205" s="13" t="s">
        <v>82</v>
      </c>
      <c r="C1205" s="13">
        <v>35</v>
      </c>
      <c r="D1205" s="13">
        <v>820.9</v>
      </c>
      <c r="E1205" s="13" t="str">
        <f>IF(ISERROR(VLOOKUP(F1205,Magic!H:H,1,0)),IF(ISERROR(VLOOKUP(F1205,Magic!T:T,1,0)),"N","Y"),"Y")</f>
        <v>Y</v>
      </c>
      <c r="F1205" s="13">
        <v>1202</v>
      </c>
      <c r="L1205" s="13">
        <v>489.6</v>
      </c>
    </row>
    <row r="1206" spans="1:12" x14ac:dyDescent="0.25">
      <c r="A1206" s="16">
        <v>42856</v>
      </c>
      <c r="B1206" s="13" t="s">
        <v>82</v>
      </c>
      <c r="C1206" s="13">
        <v>35</v>
      </c>
      <c r="D1206" s="13">
        <v>17.75</v>
      </c>
      <c r="E1206" s="13" t="str">
        <f>IF(ISERROR(VLOOKUP(F1206,Magic!H:H,1,0)),IF(ISERROR(VLOOKUP(F1206,Magic!T:T,1,0)),"N","Y"),"Y")</f>
        <v>Y</v>
      </c>
      <c r="F1206" s="13">
        <v>1203</v>
      </c>
    </row>
    <row r="1207" spans="1:12" x14ac:dyDescent="0.25">
      <c r="A1207" s="16">
        <v>42856</v>
      </c>
      <c r="B1207" s="13" t="s">
        <v>146</v>
      </c>
      <c r="C1207" s="13">
        <v>37</v>
      </c>
      <c r="D1207" s="13">
        <v>634.75</v>
      </c>
      <c r="E1207" s="13" t="str">
        <f>IF(ISERROR(VLOOKUP(F1207,Magic!H:H,1,0)),IF(ISERROR(VLOOKUP(F1207,Magic!T:T,1,0)),"N","Y"),"Y")</f>
        <v>Y</v>
      </c>
      <c r="F1207" s="13">
        <v>1204</v>
      </c>
    </row>
    <row r="1208" spans="1:12" x14ac:dyDescent="0.25">
      <c r="A1208" s="16">
        <v>42856</v>
      </c>
      <c r="B1208" s="13" t="s">
        <v>146</v>
      </c>
      <c r="C1208" s="13">
        <v>37</v>
      </c>
      <c r="D1208" s="13">
        <v>453.85</v>
      </c>
      <c r="E1208" s="13" t="str">
        <f>IF(ISERROR(VLOOKUP(F1208,Magic!H:H,1,0)),IF(ISERROR(VLOOKUP(F1208,Magic!T:T,1,0)),"N","Y"),"Y")</f>
        <v>Y</v>
      </c>
      <c r="F1208" s="13">
        <v>1205</v>
      </c>
    </row>
    <row r="1209" spans="1:12" x14ac:dyDescent="0.25">
      <c r="A1209" s="16">
        <v>42856</v>
      </c>
      <c r="B1209" s="13" t="s">
        <v>146</v>
      </c>
      <c r="C1209" s="13">
        <v>37</v>
      </c>
      <c r="D1209" s="13">
        <v>693.75</v>
      </c>
      <c r="E1209" s="13" t="str">
        <f>IF(ISERROR(VLOOKUP(F1209,Magic!H:H,1,0)),IF(ISERROR(VLOOKUP(F1209,Magic!T:T,1,0)),"N","Y"),"Y")</f>
        <v>Y</v>
      </c>
      <c r="F1209" s="13">
        <v>1206</v>
      </c>
    </row>
    <row r="1210" spans="1:12" x14ac:dyDescent="0.25">
      <c r="A1210" s="16">
        <v>42856</v>
      </c>
      <c r="B1210" s="13" t="s">
        <v>56</v>
      </c>
      <c r="C1210" s="13">
        <v>41</v>
      </c>
      <c r="D1210" s="13">
        <v>249.8</v>
      </c>
      <c r="E1210" s="13" t="str">
        <f>IF(ISERROR(VLOOKUP(F1210,Magic!H:H,1,0)),IF(ISERROR(VLOOKUP(F1210,Magic!T:T,1,0)),"N","Y"),"Y")</f>
        <v>Y</v>
      </c>
      <c r="F1210" s="13">
        <v>1207</v>
      </c>
    </row>
    <row r="1211" spans="1:12" x14ac:dyDescent="0.25">
      <c r="A1211" s="16">
        <v>42856</v>
      </c>
      <c r="B1211" s="13" t="s">
        <v>56</v>
      </c>
      <c r="C1211" s="13">
        <v>41</v>
      </c>
      <c r="D1211" s="13">
        <v>114.95</v>
      </c>
      <c r="E1211" s="13" t="str">
        <f>IF(ISERROR(VLOOKUP(F1211,Magic!H:H,1,0)),IF(ISERROR(VLOOKUP(F1211,Magic!T:T,1,0)),"N","Y"),"Y")</f>
        <v>Y</v>
      </c>
      <c r="F1211" s="13">
        <v>1208</v>
      </c>
    </row>
    <row r="1212" spans="1:12" x14ac:dyDescent="0.25">
      <c r="A1212" s="16">
        <v>42856</v>
      </c>
      <c r="B1212" s="13" t="s">
        <v>56</v>
      </c>
      <c r="C1212" s="13">
        <v>41</v>
      </c>
      <c r="D1212" s="13">
        <v>338.65</v>
      </c>
      <c r="E1212" s="13" t="str">
        <f>IF(ISERROR(VLOOKUP(F1212,Magic!H:H,1,0)),IF(ISERROR(VLOOKUP(F1212,Magic!T:T,1,0)),"N","Y"),"Y")</f>
        <v>Y</v>
      </c>
      <c r="F1212" s="13">
        <v>1209</v>
      </c>
    </row>
    <row r="1213" spans="1:12" x14ac:dyDescent="0.25">
      <c r="A1213" s="16">
        <v>42856</v>
      </c>
      <c r="B1213" s="13" t="s">
        <v>24</v>
      </c>
      <c r="C1213" s="13">
        <v>43</v>
      </c>
      <c r="D1213" s="13">
        <v>1107.2</v>
      </c>
      <c r="E1213" s="13" t="str">
        <f>IF(ISERROR(VLOOKUP(F1213,Magic!H:H,1,0)),IF(ISERROR(VLOOKUP(F1213,Magic!T:T,1,0)),"N","Y"),"Y")</f>
        <v>Y</v>
      </c>
      <c r="F1213" s="13">
        <v>1210</v>
      </c>
    </row>
    <row r="1214" spans="1:12" x14ac:dyDescent="0.25">
      <c r="A1214" s="16">
        <v>42856</v>
      </c>
      <c r="B1214" s="13" t="s">
        <v>24</v>
      </c>
      <c r="C1214" s="13">
        <v>43</v>
      </c>
      <c r="D1214" s="13">
        <v>624.54999999999995</v>
      </c>
      <c r="E1214" s="13" t="str">
        <f>IF(ISERROR(VLOOKUP(F1214,Magic!H:H,1,0)),IF(ISERROR(VLOOKUP(F1214,Magic!T:T,1,0)),"N","Y"),"Y")</f>
        <v>Y</v>
      </c>
      <c r="F1214" s="13">
        <v>1211</v>
      </c>
    </row>
    <row r="1215" spans="1:12" x14ac:dyDescent="0.25">
      <c r="A1215" s="16">
        <v>42856</v>
      </c>
      <c r="B1215" s="13" t="s">
        <v>24</v>
      </c>
      <c r="C1215" s="13">
        <v>43</v>
      </c>
      <c r="D1215" s="13">
        <v>1005.05</v>
      </c>
      <c r="E1215" s="13" t="str">
        <f>IF(ISERROR(VLOOKUP(F1215,Magic!H:H,1,0)),IF(ISERROR(VLOOKUP(F1215,Magic!T:T,1,0)),"N","Y"),"Y")</f>
        <v>Y</v>
      </c>
      <c r="F1215" s="13">
        <v>1212</v>
      </c>
    </row>
    <row r="1216" spans="1:12" x14ac:dyDescent="0.25">
      <c r="A1216" s="16">
        <v>42856</v>
      </c>
      <c r="B1216" s="13" t="s">
        <v>1177</v>
      </c>
      <c r="C1216" s="13">
        <v>44</v>
      </c>
      <c r="D1216" s="13">
        <v>242.3</v>
      </c>
      <c r="E1216" s="13" t="str">
        <f>IF(ISERROR(VLOOKUP(F1216,Magic!H:H,1,0)),IF(ISERROR(VLOOKUP(F1216,Magic!T:T,1,0)),"N","Y"),"Y")</f>
        <v>Y</v>
      </c>
      <c r="F1216" s="13">
        <v>1213</v>
      </c>
    </row>
    <row r="1217" spans="1:8" x14ac:dyDescent="0.25">
      <c r="A1217" s="16">
        <v>42856</v>
      </c>
      <c r="B1217" s="13" t="s">
        <v>1178</v>
      </c>
      <c r="C1217" s="13">
        <v>44</v>
      </c>
      <c r="D1217" s="13">
        <v>110.85</v>
      </c>
      <c r="E1217" s="13" t="str">
        <f>IF(ISERROR(VLOOKUP(F1217,Magic!H:H,1,0)),IF(ISERROR(VLOOKUP(F1217,Magic!T:T,1,0)),"N","Y"),"Y")</f>
        <v>Y</v>
      </c>
      <c r="F1217" s="13">
        <v>1214</v>
      </c>
    </row>
    <row r="1218" spans="1:8" x14ac:dyDescent="0.25">
      <c r="A1218" s="16">
        <v>42856</v>
      </c>
      <c r="B1218" s="13" t="s">
        <v>1178</v>
      </c>
      <c r="C1218" s="13">
        <v>44</v>
      </c>
      <c r="D1218" s="13">
        <v>233.75</v>
      </c>
      <c r="E1218" s="13" t="str">
        <f>IF(ISERROR(VLOOKUP(F1218,Magic!H:H,1,0)),IF(ISERROR(VLOOKUP(F1218,Magic!T:T,1,0)),"N","Y"),"Y")</f>
        <v>Y</v>
      </c>
      <c r="F1218" s="13">
        <v>1215</v>
      </c>
    </row>
    <row r="1219" spans="1:8" x14ac:dyDescent="0.25">
      <c r="A1219" s="16">
        <v>42856</v>
      </c>
      <c r="B1219" s="13" t="s">
        <v>27</v>
      </c>
      <c r="C1219" s="13">
        <v>101</v>
      </c>
      <c r="D1219" s="13">
        <v>1407.35</v>
      </c>
      <c r="E1219" s="13" t="str">
        <f>IF(ISERROR(VLOOKUP(F1219,Magic!H:H,1,0)),IF(ISERROR(VLOOKUP(F1219,Magic!T:T,1,0)),"N","Y"),"Y")</f>
        <v>Y</v>
      </c>
      <c r="F1219" s="13">
        <v>1216</v>
      </c>
      <c r="H1219" s="13"/>
    </row>
    <row r="1220" spans="1:8" x14ac:dyDescent="0.25">
      <c r="A1220" s="27">
        <v>42856</v>
      </c>
      <c r="B1220" s="28" t="s">
        <v>28</v>
      </c>
      <c r="C1220" s="28">
        <v>103</v>
      </c>
      <c r="D1220" s="28">
        <v>376.75</v>
      </c>
      <c r="E1220" s="28" t="str">
        <f>IF(ISERROR(VLOOKUP(F1220,Magic!H:H,1,0)),IF(ISERROR(VLOOKUP(F1220,Magic!T:T,1,0)),"N","Y"),"Y")</f>
        <v>Y</v>
      </c>
      <c r="F1220" s="28">
        <v>1217</v>
      </c>
    </row>
    <row r="1221" spans="1:8" x14ac:dyDescent="0.25">
      <c r="A1221" s="16">
        <v>42856</v>
      </c>
      <c r="B1221" s="13" t="s">
        <v>28</v>
      </c>
      <c r="C1221" s="13">
        <v>103</v>
      </c>
      <c r="D1221" s="13">
        <v>773.85</v>
      </c>
      <c r="E1221" s="13" t="str">
        <f>IF(ISERROR(VLOOKUP(F1221,Magic!H:H,1,0)),IF(ISERROR(VLOOKUP(F1221,Magic!T:T,1,0)),"N","Y"),"Y")</f>
        <v>Y</v>
      </c>
      <c r="F1221" s="13">
        <v>1218</v>
      </c>
    </row>
    <row r="1222" spans="1:8" x14ac:dyDescent="0.25">
      <c r="A1222" s="16">
        <v>42856</v>
      </c>
      <c r="B1222" s="13" t="s">
        <v>611</v>
      </c>
      <c r="C1222" s="13">
        <v>201</v>
      </c>
      <c r="D1222" s="13">
        <v>537.65</v>
      </c>
      <c r="E1222" s="13" t="str">
        <f>IF(ISERROR(VLOOKUP(F1222,Magic!H:H,1,0)),IF(ISERROR(VLOOKUP(F1222,Magic!T:T,1,0)),"N","Y"),"Y")</f>
        <v>Y</v>
      </c>
      <c r="F1222" s="13">
        <v>1219</v>
      </c>
    </row>
    <row r="1223" spans="1:8" x14ac:dyDescent="0.25">
      <c r="A1223" s="16">
        <v>42856</v>
      </c>
      <c r="B1223" s="13" t="s">
        <v>611</v>
      </c>
      <c r="C1223" s="13">
        <v>201</v>
      </c>
      <c r="D1223" s="13">
        <v>365</v>
      </c>
      <c r="E1223" s="13" t="str">
        <f>IF(ISERROR(VLOOKUP(F1223,Magic!H:H,1,0)),IF(ISERROR(VLOOKUP(F1223,Magic!T:T,1,0)),"N","Y"),"Y")</f>
        <v>Y</v>
      </c>
      <c r="F1223" s="13">
        <v>1220</v>
      </c>
    </row>
    <row r="1224" spans="1:8" x14ac:dyDescent="0.25">
      <c r="A1224" s="16">
        <v>42856</v>
      </c>
      <c r="B1224" s="13" t="s">
        <v>611</v>
      </c>
      <c r="C1224" s="13">
        <v>201</v>
      </c>
      <c r="D1224" s="13">
        <v>334.85</v>
      </c>
      <c r="E1224" s="13" t="str">
        <f>IF(ISERROR(VLOOKUP(F1224,Magic!H:H,1,0)),IF(ISERROR(VLOOKUP(F1224,Magic!T:T,1,0)),"N","Y"),"Y")</f>
        <v>Y</v>
      </c>
      <c r="F1224" s="13">
        <v>1221</v>
      </c>
    </row>
    <row r="1225" spans="1:8" x14ac:dyDescent="0.25">
      <c r="A1225" s="16">
        <v>42857</v>
      </c>
      <c r="B1225" s="13" t="s">
        <v>28</v>
      </c>
      <c r="C1225" s="13">
        <v>103</v>
      </c>
      <c r="D1225" s="13">
        <v>730.35</v>
      </c>
      <c r="E1225" s="13" t="str">
        <f>IF(ISERROR(VLOOKUP(F1225,Magic!H:H,1,0)),IF(ISERROR(VLOOKUP(F1225,Magic!T:T,1,0)),"N","Y"),"Y")</f>
        <v>Y</v>
      </c>
      <c r="F1225" s="13">
        <v>1224</v>
      </c>
    </row>
    <row r="1226" spans="1:8" x14ac:dyDescent="0.25">
      <c r="A1226" s="16">
        <v>42857</v>
      </c>
      <c r="B1226" s="13" t="s">
        <v>82</v>
      </c>
      <c r="C1226" s="13">
        <v>35</v>
      </c>
      <c r="D1226" s="13">
        <v>852.45</v>
      </c>
      <c r="E1226" s="13" t="str">
        <f>IF(ISERROR(VLOOKUP(F1226,Magic!H:H,1,0)),IF(ISERROR(VLOOKUP(F1226,Magic!T:T,1,0)),"N","Y"),"Y")</f>
        <v>Y</v>
      </c>
      <c r="F1226" s="13">
        <v>1225</v>
      </c>
    </row>
    <row r="1227" spans="1:8" x14ac:dyDescent="0.25">
      <c r="A1227" s="16">
        <v>42857</v>
      </c>
      <c r="B1227" s="13" t="s">
        <v>146</v>
      </c>
      <c r="C1227" s="13">
        <v>37</v>
      </c>
      <c r="D1227" s="13">
        <v>315.14999999999998</v>
      </c>
      <c r="E1227" s="13" t="str">
        <f>IF(ISERROR(VLOOKUP(F1227,Magic!H:H,1,0)),IF(ISERROR(VLOOKUP(F1227,Magic!T:T,1,0)),"N","Y"),"Y")</f>
        <v>Y</v>
      </c>
      <c r="F1227" s="13">
        <v>1226</v>
      </c>
    </row>
    <row r="1228" spans="1:8" x14ac:dyDescent="0.25">
      <c r="A1228" s="16">
        <v>42857</v>
      </c>
      <c r="B1228" s="13" t="s">
        <v>24</v>
      </c>
      <c r="C1228" s="13">
        <v>43</v>
      </c>
      <c r="D1228" s="13">
        <v>728.85</v>
      </c>
      <c r="E1228" s="13" t="str">
        <f>IF(ISERROR(VLOOKUP(F1228,Magic!H:H,1,0)),IF(ISERROR(VLOOKUP(F1228,Magic!T:T,1,0)),"N","Y"),"Y")</f>
        <v>Y</v>
      </c>
      <c r="F1228" s="13">
        <v>1227</v>
      </c>
    </row>
    <row r="1229" spans="1:8" x14ac:dyDescent="0.25">
      <c r="A1229" s="16">
        <v>42857</v>
      </c>
      <c r="B1229" s="13" t="s">
        <v>25</v>
      </c>
      <c r="C1229" s="13">
        <v>44</v>
      </c>
      <c r="D1229" s="13">
        <v>290.8</v>
      </c>
      <c r="E1229" s="13" t="str">
        <f>IF(ISERROR(VLOOKUP(F1229,Magic!H:H,1,0)),IF(ISERROR(VLOOKUP(F1229,Magic!T:T,1,0)),"N","Y"),"Y")</f>
        <v>Y</v>
      </c>
      <c r="F1229" s="13">
        <v>1228</v>
      </c>
    </row>
    <row r="1230" spans="1:8" x14ac:dyDescent="0.25">
      <c r="A1230" s="16">
        <v>42858</v>
      </c>
      <c r="B1230" s="13" t="s">
        <v>29</v>
      </c>
      <c r="C1230" s="13">
        <v>35</v>
      </c>
      <c r="D1230" s="13">
        <v>550</v>
      </c>
      <c r="E1230" s="13" t="str">
        <f>IF(ISERROR(VLOOKUP(F1230,Magic!H:H,1,0)),IF(ISERROR(VLOOKUP(F1230,Magic!T:T,1,0)),"N","Y"),"Y")</f>
        <v>Y</v>
      </c>
      <c r="F1230" s="13">
        <v>1229</v>
      </c>
    </row>
    <row r="1231" spans="1:8" x14ac:dyDescent="0.25">
      <c r="A1231" s="16">
        <v>42858</v>
      </c>
      <c r="B1231" s="13" t="s">
        <v>29</v>
      </c>
      <c r="C1231" s="13">
        <v>35</v>
      </c>
      <c r="D1231" s="13">
        <v>535</v>
      </c>
      <c r="E1231" s="13" t="str">
        <f>IF(ISERROR(VLOOKUP(F1231,Magic!H:H,1,0)),IF(ISERROR(VLOOKUP(F1231,Magic!T:T,1,0)),"N","Y"),"Y")</f>
        <v>Y</v>
      </c>
      <c r="F1231" s="13">
        <v>1230</v>
      </c>
    </row>
    <row r="1232" spans="1:8" x14ac:dyDescent="0.25">
      <c r="A1232" s="16">
        <v>42858</v>
      </c>
      <c r="B1232" s="13" t="s">
        <v>146</v>
      </c>
      <c r="C1232" s="13">
        <v>37</v>
      </c>
      <c r="D1232" s="13">
        <v>407.85</v>
      </c>
      <c r="E1232" s="13" t="str">
        <f>IF(ISERROR(VLOOKUP(F1232,Magic!H:H,1,0)),IF(ISERROR(VLOOKUP(F1232,Magic!T:T,1,0)),"N","Y"),"Y")</f>
        <v>Y</v>
      </c>
      <c r="F1232" s="13">
        <v>1231</v>
      </c>
    </row>
    <row r="1233" spans="1:8" x14ac:dyDescent="0.25">
      <c r="A1233" s="16">
        <v>42858</v>
      </c>
      <c r="B1233" s="13" t="s">
        <v>31</v>
      </c>
      <c r="C1233" s="13">
        <v>37</v>
      </c>
      <c r="D1233" s="13">
        <v>2.2000000000000002</v>
      </c>
      <c r="E1233" s="13" t="str">
        <f>IF(ISERROR(VLOOKUP(F1233,Magic!H:H,1,0)),IF(ISERROR(VLOOKUP(F1233,Magic!T:T,1,0)),"N","Y"),"Y")</f>
        <v>Y</v>
      </c>
      <c r="F1233" s="13">
        <v>1232</v>
      </c>
    </row>
    <row r="1234" spans="1:8" x14ac:dyDescent="0.25">
      <c r="A1234" s="16">
        <v>42858</v>
      </c>
      <c r="B1234" s="13" t="s">
        <v>24</v>
      </c>
      <c r="C1234" s="13">
        <v>43</v>
      </c>
      <c r="D1234" s="13">
        <v>680.55</v>
      </c>
      <c r="E1234" s="13" t="str">
        <f>IF(ISERROR(VLOOKUP(F1234,Magic!H:H,1,0)),IF(ISERROR(VLOOKUP(F1234,Magic!T:T,1,0)),"N","Y"),"Y")</f>
        <v>Y</v>
      </c>
      <c r="F1234" s="13">
        <v>1233</v>
      </c>
    </row>
    <row r="1235" spans="1:8" x14ac:dyDescent="0.25">
      <c r="A1235" s="16">
        <v>42858</v>
      </c>
      <c r="B1235" s="13" t="s">
        <v>25</v>
      </c>
      <c r="C1235" s="13">
        <v>44</v>
      </c>
      <c r="D1235" s="13">
        <v>175.7</v>
      </c>
      <c r="E1235" s="13" t="str">
        <f>IF(ISERROR(VLOOKUP(F1235,Magic!H:H,1,0)),IF(ISERROR(VLOOKUP(F1235,Magic!T:T,1,0)),"N","Y"),"Y")</f>
        <v>Y</v>
      </c>
      <c r="F1235" s="13">
        <v>1234</v>
      </c>
    </row>
    <row r="1236" spans="1:8" x14ac:dyDescent="0.25">
      <c r="A1236" s="16">
        <v>42858</v>
      </c>
      <c r="B1236" s="13" t="s">
        <v>28</v>
      </c>
      <c r="C1236" s="13">
        <v>103</v>
      </c>
      <c r="D1236" s="13">
        <v>625</v>
      </c>
      <c r="E1236" s="13" t="str">
        <f>IF(ISERROR(VLOOKUP(F1236,Magic!H:H,1,0)),IF(ISERROR(VLOOKUP(F1236,Magic!T:T,1,0)),"N","Y"),"Y")</f>
        <v>Y</v>
      </c>
      <c r="F1236" s="13">
        <v>1235</v>
      </c>
    </row>
    <row r="1237" spans="1:8" x14ac:dyDescent="0.25">
      <c r="A1237" s="16">
        <v>42858</v>
      </c>
      <c r="B1237" s="13" t="s">
        <v>28</v>
      </c>
      <c r="C1237" s="13">
        <v>103</v>
      </c>
      <c r="D1237" s="13">
        <v>100</v>
      </c>
      <c r="E1237" s="13" t="str">
        <f>IF(ISERROR(VLOOKUP(F1237,Magic!H:H,1,0)),IF(ISERROR(VLOOKUP(F1237,Magic!T:T,1,0)),"N","Y"),"Y")</f>
        <v>Y</v>
      </c>
      <c r="F1237" s="13">
        <v>1236</v>
      </c>
    </row>
    <row r="1238" spans="1:8" x14ac:dyDescent="0.25">
      <c r="A1238" s="16">
        <v>42858</v>
      </c>
      <c r="B1238" s="13" t="s">
        <v>611</v>
      </c>
      <c r="C1238" s="13">
        <v>201</v>
      </c>
      <c r="D1238" s="13">
        <v>502.9</v>
      </c>
      <c r="E1238" s="13" t="str">
        <f>IF(ISERROR(VLOOKUP(F1238,Magic!H:H,1,0)),IF(ISERROR(VLOOKUP(F1238,Magic!T:T,1,0)),"N","Y"),"Y")</f>
        <v>Y</v>
      </c>
      <c r="F1238" s="13">
        <v>1237</v>
      </c>
    </row>
    <row r="1239" spans="1:8" x14ac:dyDescent="0.25">
      <c r="A1239" s="16">
        <v>42858</v>
      </c>
      <c r="B1239" s="13" t="s">
        <v>611</v>
      </c>
      <c r="C1239" s="13">
        <v>201</v>
      </c>
      <c r="D1239" s="13">
        <v>124.9</v>
      </c>
      <c r="E1239" s="13" t="str">
        <f>IF(ISERROR(VLOOKUP(F1239,Magic!H:H,1,0)),IF(ISERROR(VLOOKUP(F1239,Magic!T:T,1,0)),"N","Y"),"Y")</f>
        <v>Y</v>
      </c>
      <c r="F1239" s="13">
        <v>1238</v>
      </c>
    </row>
    <row r="1240" spans="1:8" x14ac:dyDescent="0.25">
      <c r="A1240" s="1">
        <v>42858</v>
      </c>
      <c r="B1240" t="s">
        <v>124</v>
      </c>
      <c r="C1240">
        <v>103</v>
      </c>
      <c r="D1240">
        <v>0.7</v>
      </c>
      <c r="E1240" t="str">
        <f>IF(ISERROR(VLOOKUP(F1240,Magic!H:H,1,0)),IF(ISERROR(VLOOKUP(F1240,Magic!T:T,1,0)),"N","Y"),"Y")</f>
        <v>N</v>
      </c>
      <c r="F1240">
        <v>1239</v>
      </c>
    </row>
    <row r="1241" spans="1:8" x14ac:dyDescent="0.25">
      <c r="A1241" s="16">
        <v>42858</v>
      </c>
      <c r="B1241" s="13" t="s">
        <v>124</v>
      </c>
      <c r="C1241" s="13">
        <v>103</v>
      </c>
      <c r="D1241" s="13">
        <v>31.7</v>
      </c>
      <c r="E1241" s="13" t="str">
        <f>IF(ISERROR(VLOOKUP(F1241,Magic!H:H,1,0)),IF(ISERROR(VLOOKUP(F1241,Magic!T:T,1,0)),"N","Y"),"Y")</f>
        <v>Y</v>
      </c>
      <c r="F1241" s="13">
        <v>1240</v>
      </c>
    </row>
    <row r="1242" spans="1:8" x14ac:dyDescent="0.25">
      <c r="A1242" s="16">
        <v>42859</v>
      </c>
      <c r="B1242" s="13" t="s">
        <v>29</v>
      </c>
      <c r="C1242" s="13">
        <v>35</v>
      </c>
      <c r="D1242" s="13">
        <v>965</v>
      </c>
      <c r="E1242" s="13" t="str">
        <f>IF(ISERROR(VLOOKUP(F1242,Magic!H:H,1,0)),IF(ISERROR(VLOOKUP(F1242,Magic!T:T,1,0)),"N","Y"),"Y")</f>
        <v>Y</v>
      </c>
      <c r="F1242" s="13">
        <v>1241</v>
      </c>
    </row>
    <row r="1243" spans="1:8" x14ac:dyDescent="0.25">
      <c r="A1243" s="16">
        <v>42859</v>
      </c>
      <c r="B1243" s="13" t="s">
        <v>82</v>
      </c>
      <c r="C1243" s="13">
        <v>35</v>
      </c>
      <c r="D1243" s="13">
        <v>47.1</v>
      </c>
      <c r="E1243" s="13" t="str">
        <f>IF(ISERROR(VLOOKUP(F1243,Magic!H:H,1,0)),IF(ISERROR(VLOOKUP(F1243,Magic!T:T,1,0)),"N","Y"),"Y")</f>
        <v>Y</v>
      </c>
      <c r="F1243" s="13">
        <v>1242</v>
      </c>
    </row>
    <row r="1244" spans="1:8" x14ac:dyDescent="0.25">
      <c r="A1244" s="16">
        <v>42859</v>
      </c>
      <c r="B1244" s="13" t="s">
        <v>31</v>
      </c>
      <c r="C1244" s="13">
        <v>37</v>
      </c>
      <c r="D1244" s="13">
        <v>344.9</v>
      </c>
      <c r="E1244" s="13" t="str">
        <f>IF(ISERROR(VLOOKUP(F1244,Magic!H:H,1,0)),IF(ISERROR(VLOOKUP(F1244,Magic!T:T,1,0)),"N","Y"),"Y")</f>
        <v>Y</v>
      </c>
      <c r="F1244" s="13">
        <v>1243</v>
      </c>
      <c r="H1244" s="13"/>
    </row>
    <row r="1245" spans="1:8" x14ac:dyDescent="0.25">
      <c r="A1245" s="16">
        <v>42859</v>
      </c>
      <c r="B1245" s="13" t="s">
        <v>56</v>
      </c>
      <c r="C1245" s="13">
        <v>41</v>
      </c>
      <c r="D1245" s="13">
        <v>474.75</v>
      </c>
      <c r="E1245" s="13" t="str">
        <f>IF(ISERROR(VLOOKUP(F1245,Magic!H:H,1,0)),IF(ISERROR(VLOOKUP(F1245,Magic!T:T,1,0)),"N","Y"),"Y")</f>
        <v>Y</v>
      </c>
      <c r="F1245" s="13">
        <v>1244</v>
      </c>
    </row>
    <row r="1246" spans="1:8" x14ac:dyDescent="0.25">
      <c r="A1246" s="16">
        <v>42859</v>
      </c>
      <c r="B1246" s="13" t="s">
        <v>56</v>
      </c>
      <c r="C1246" s="13">
        <v>41</v>
      </c>
      <c r="D1246" s="13">
        <v>224.85</v>
      </c>
      <c r="E1246" s="13" t="str">
        <f>IF(ISERROR(VLOOKUP(F1246,Magic!H:H,1,0)),IF(ISERROR(VLOOKUP(F1246,Magic!T:T,1,0)),"N","Y"),"Y")</f>
        <v>Y</v>
      </c>
      <c r="F1246" s="13">
        <v>1245</v>
      </c>
    </row>
    <row r="1247" spans="1:8" x14ac:dyDescent="0.25">
      <c r="A1247" s="16">
        <v>42859</v>
      </c>
      <c r="B1247" s="13" t="s">
        <v>56</v>
      </c>
      <c r="C1247" s="13">
        <v>41</v>
      </c>
      <c r="D1247" s="13">
        <v>874.4</v>
      </c>
      <c r="E1247" s="13" t="str">
        <f>IF(ISERROR(VLOOKUP(F1247,Magic!H:H,1,0)),IF(ISERROR(VLOOKUP(F1247,Magic!T:T,1,0)),"N","Y"),"Y")</f>
        <v>Y</v>
      </c>
      <c r="F1247" s="13">
        <v>1246</v>
      </c>
    </row>
    <row r="1248" spans="1:8" x14ac:dyDescent="0.25">
      <c r="A1248" s="16">
        <v>42859</v>
      </c>
      <c r="B1248" s="13" t="s">
        <v>24</v>
      </c>
      <c r="C1248" s="13">
        <v>43</v>
      </c>
      <c r="D1248" s="13">
        <v>690.25</v>
      </c>
      <c r="E1248" s="13" t="str">
        <f>IF(ISERROR(VLOOKUP(F1248,Magic!H:H,1,0)),IF(ISERROR(VLOOKUP(F1248,Magic!T:T,1,0)),"N","Y"),"Y")</f>
        <v>Y</v>
      </c>
      <c r="F1248" s="13">
        <v>1247</v>
      </c>
    </row>
    <row r="1249" spans="1:6" x14ac:dyDescent="0.25">
      <c r="A1249" s="16">
        <v>42859</v>
      </c>
      <c r="B1249" s="13" t="s">
        <v>25</v>
      </c>
      <c r="C1249" s="13">
        <v>44</v>
      </c>
      <c r="D1249" s="13">
        <v>132.80000000000001</v>
      </c>
      <c r="E1249" s="13" t="str">
        <f>IF(ISERROR(VLOOKUP(F1249,Magic!H:H,1,0)),IF(ISERROR(VLOOKUP(F1249,Magic!T:T,1,0)),"N","Y"),"Y")</f>
        <v>Y</v>
      </c>
      <c r="F1249" s="13">
        <v>1248</v>
      </c>
    </row>
    <row r="1250" spans="1:6" x14ac:dyDescent="0.25">
      <c r="A1250" s="16">
        <v>42859</v>
      </c>
      <c r="B1250" s="13" t="s">
        <v>28</v>
      </c>
      <c r="C1250" s="13">
        <v>103</v>
      </c>
      <c r="D1250" s="13">
        <v>734.3</v>
      </c>
      <c r="E1250" s="13" t="str">
        <f>IF(ISERROR(VLOOKUP(F1250,Magic!H:H,1,0)),IF(ISERROR(VLOOKUP(F1250,Magic!T:T,1,0)),"N","Y"),"Y")</f>
        <v>Y</v>
      </c>
      <c r="F1250" s="13">
        <v>1249</v>
      </c>
    </row>
    <row r="1251" spans="1:6" x14ac:dyDescent="0.25">
      <c r="A1251" s="16">
        <v>42859</v>
      </c>
      <c r="B1251" s="13" t="s">
        <v>611</v>
      </c>
      <c r="C1251" s="13">
        <v>201</v>
      </c>
      <c r="D1251" s="13">
        <v>370.95</v>
      </c>
      <c r="E1251" s="13" t="str">
        <f>IF(ISERROR(VLOOKUP(F1251,Magic!H:H,1,0)),IF(ISERROR(VLOOKUP(F1251,Magic!T:T,1,0)),"N","Y"),"Y")</f>
        <v>Y</v>
      </c>
      <c r="F1251" s="13">
        <v>1250</v>
      </c>
    </row>
    <row r="1252" spans="1:6" x14ac:dyDescent="0.25">
      <c r="A1252" s="16">
        <v>42862</v>
      </c>
      <c r="B1252" s="13" t="s">
        <v>29</v>
      </c>
      <c r="C1252" s="13">
        <v>35</v>
      </c>
      <c r="D1252" s="13">
        <v>395</v>
      </c>
      <c r="E1252" s="13" t="str">
        <f>IF(ISERROR(VLOOKUP(F1252,Magic!H:H,1,0)),IF(ISERROR(VLOOKUP(F1252,Magic!T:T,1,0)),"N","Y"),"Y")</f>
        <v>Y</v>
      </c>
      <c r="F1252" s="13">
        <v>1251</v>
      </c>
    </row>
    <row r="1253" spans="1:6" x14ac:dyDescent="0.25">
      <c r="A1253" s="16">
        <v>42860</v>
      </c>
      <c r="B1253" s="13" t="s">
        <v>82</v>
      </c>
      <c r="C1253" s="13">
        <v>35</v>
      </c>
      <c r="D1253" s="13">
        <v>2.5</v>
      </c>
      <c r="E1253" s="13" t="str">
        <f>IF(ISERROR(VLOOKUP(F1253,Magic!H:H,1,0)),IF(ISERROR(VLOOKUP(F1253,Magic!T:T,1,0)),"N","Y"),"Y")</f>
        <v>Y</v>
      </c>
      <c r="F1253" s="13">
        <v>1252</v>
      </c>
    </row>
    <row r="1254" spans="1:6" x14ac:dyDescent="0.25">
      <c r="A1254" s="16">
        <v>42860</v>
      </c>
      <c r="B1254" s="13" t="s">
        <v>31</v>
      </c>
      <c r="C1254" s="13">
        <v>37</v>
      </c>
      <c r="D1254" s="13">
        <v>729.45</v>
      </c>
      <c r="E1254" s="13" t="str">
        <f>IF(ISERROR(VLOOKUP(F1254,Magic!H:H,1,0)),IF(ISERROR(VLOOKUP(F1254,Magic!T:T,1,0)),"N","Y"),"Y")</f>
        <v>Y</v>
      </c>
      <c r="F1254" s="13">
        <v>1253</v>
      </c>
    </row>
    <row r="1255" spans="1:6" x14ac:dyDescent="0.25">
      <c r="A1255" s="16">
        <v>42860</v>
      </c>
      <c r="B1255" s="13" t="s">
        <v>56</v>
      </c>
      <c r="C1255" s="13">
        <v>41</v>
      </c>
      <c r="D1255" s="13">
        <v>479.6</v>
      </c>
      <c r="E1255" s="13" t="str">
        <f>IF(ISERROR(VLOOKUP(F1255,Magic!H:H,1,0)),IF(ISERROR(VLOOKUP(F1255,Magic!T:T,1,0)),"N","Y"),"Y")</f>
        <v>Y</v>
      </c>
      <c r="F1255" s="13">
        <v>1254</v>
      </c>
    </row>
    <row r="1256" spans="1:6" x14ac:dyDescent="0.25">
      <c r="A1256" s="16">
        <v>42860</v>
      </c>
      <c r="B1256" s="13" t="s">
        <v>24</v>
      </c>
      <c r="C1256" s="13">
        <v>43</v>
      </c>
      <c r="D1256" s="13">
        <v>803.25</v>
      </c>
      <c r="E1256" s="13" t="str">
        <f>IF(ISERROR(VLOOKUP(F1256,Magic!H:H,1,0)),IF(ISERROR(VLOOKUP(F1256,Magic!T:T,1,0)),"N","Y"),"Y")</f>
        <v>Y</v>
      </c>
      <c r="F1256" s="13">
        <v>1255</v>
      </c>
    </row>
    <row r="1257" spans="1:6" x14ac:dyDescent="0.25">
      <c r="A1257" s="16">
        <v>42860</v>
      </c>
      <c r="B1257" s="13" t="s">
        <v>25</v>
      </c>
      <c r="C1257" s="13">
        <v>44</v>
      </c>
      <c r="D1257" s="13">
        <v>334.65</v>
      </c>
      <c r="E1257" s="13" t="str">
        <f>IF(ISERROR(VLOOKUP(F1257,Magic!H:H,1,0)),IF(ISERROR(VLOOKUP(F1257,Magic!T:T,1,0)),"N","Y"),"Y")</f>
        <v>Y</v>
      </c>
      <c r="F1257" s="13">
        <v>1256</v>
      </c>
    </row>
    <row r="1258" spans="1:6" x14ac:dyDescent="0.25">
      <c r="A1258" s="16">
        <v>42860</v>
      </c>
      <c r="B1258" s="13" t="s">
        <v>28</v>
      </c>
      <c r="C1258" s="13">
        <v>103</v>
      </c>
      <c r="D1258" s="13">
        <v>919.05</v>
      </c>
      <c r="E1258" s="13" t="str">
        <f>IF(ISERROR(VLOOKUP(F1258,Magic!H:H,1,0)),IF(ISERROR(VLOOKUP(F1258,Magic!T:T,1,0)),"N","Y"),"Y")</f>
        <v>Y</v>
      </c>
      <c r="F1258" s="13">
        <v>1257</v>
      </c>
    </row>
    <row r="1259" spans="1:6" x14ac:dyDescent="0.25">
      <c r="A1259" s="16">
        <v>42861</v>
      </c>
      <c r="B1259" s="13" t="s">
        <v>29</v>
      </c>
      <c r="C1259" s="13">
        <v>35</v>
      </c>
      <c r="D1259" s="13">
        <v>550</v>
      </c>
      <c r="E1259" s="13" t="str">
        <f>IF(ISERROR(VLOOKUP(F1259,Magic!H:H,1,0)),IF(ISERROR(VLOOKUP(F1259,Magic!T:T,1,0)),"N","Y"),"Y")</f>
        <v>Y</v>
      </c>
      <c r="F1259" s="13">
        <v>1258</v>
      </c>
    </row>
    <row r="1260" spans="1:6" x14ac:dyDescent="0.25">
      <c r="A1260" s="16">
        <v>42861</v>
      </c>
      <c r="B1260" s="13" t="s">
        <v>29</v>
      </c>
      <c r="C1260" s="13">
        <v>35</v>
      </c>
      <c r="D1260" s="13">
        <v>990</v>
      </c>
      <c r="E1260" s="13" t="str">
        <f>IF(ISERROR(VLOOKUP(F1260,Magic!H:H,1,0)),IF(ISERROR(VLOOKUP(F1260,Magic!T:T,1,0)),"N","Y"),"Y")</f>
        <v>Y</v>
      </c>
      <c r="F1260" s="13">
        <v>1259</v>
      </c>
    </row>
    <row r="1261" spans="1:6" x14ac:dyDescent="0.25">
      <c r="A1261" s="16">
        <v>42861</v>
      </c>
      <c r="B1261" s="13" t="s">
        <v>113</v>
      </c>
      <c r="C1261" s="13">
        <v>103</v>
      </c>
      <c r="D1261" s="13">
        <v>750</v>
      </c>
      <c r="E1261" s="13" t="str">
        <f>IF(ISERROR(VLOOKUP(F1261,Magic!H:H,1,0)),IF(ISERROR(VLOOKUP(F1261,Magic!T:T,1,0)),"N","Y"),"Y")</f>
        <v>Y</v>
      </c>
      <c r="F1261" s="13">
        <v>1260</v>
      </c>
    </row>
    <row r="1262" spans="1:6" x14ac:dyDescent="0.25">
      <c r="A1262" s="16">
        <v>42863</v>
      </c>
      <c r="B1262" s="13" t="s">
        <v>29</v>
      </c>
      <c r="C1262" s="13">
        <v>35</v>
      </c>
      <c r="D1262" s="13">
        <v>505</v>
      </c>
      <c r="E1262" s="13" t="str">
        <f>IF(ISERROR(VLOOKUP(F1262,Magic!H:H,1,0)),IF(ISERROR(VLOOKUP(F1262,Magic!T:T,1,0)),"N","Y"),"Y")</f>
        <v>Y</v>
      </c>
      <c r="F1262" s="13">
        <v>1261</v>
      </c>
    </row>
    <row r="1263" spans="1:6" x14ac:dyDescent="0.25">
      <c r="A1263" s="16">
        <v>42863</v>
      </c>
      <c r="B1263" s="13" t="s">
        <v>82</v>
      </c>
      <c r="C1263" s="13">
        <v>35</v>
      </c>
      <c r="D1263" s="13">
        <v>29.3</v>
      </c>
      <c r="E1263" s="13" t="str">
        <f>IF(ISERROR(VLOOKUP(F1263,Magic!H:H,1,0)),IF(ISERROR(VLOOKUP(F1263,Magic!T:T,1,0)),"N","Y"),"Y")</f>
        <v>Y</v>
      </c>
      <c r="F1263" s="13">
        <v>1262</v>
      </c>
    </row>
    <row r="1264" spans="1:6" x14ac:dyDescent="0.25">
      <c r="A1264" s="16">
        <v>42863</v>
      </c>
      <c r="B1264" s="13" t="s">
        <v>82</v>
      </c>
      <c r="C1264" s="13">
        <v>35</v>
      </c>
      <c r="D1264" s="13">
        <v>2.15</v>
      </c>
      <c r="E1264" s="13" t="str">
        <f>IF(ISERROR(VLOOKUP(F1264,Magic!H:H,1,0)),IF(ISERROR(VLOOKUP(F1264,Magic!T:T,1,0)),"N","Y"),"Y")</f>
        <v>Y</v>
      </c>
      <c r="F1264" s="13">
        <v>1263</v>
      </c>
    </row>
    <row r="1265" spans="1:6" x14ac:dyDescent="0.25">
      <c r="A1265" s="16">
        <v>42863</v>
      </c>
      <c r="B1265" s="13" t="s">
        <v>82</v>
      </c>
      <c r="C1265" s="13">
        <v>35</v>
      </c>
      <c r="D1265" s="13">
        <v>7.6</v>
      </c>
      <c r="E1265" s="13" t="str">
        <f>IF(ISERROR(VLOOKUP(F1265,Magic!H:H,1,0)),IF(ISERROR(VLOOKUP(F1265,Magic!T:T,1,0)),"N","Y"),"Y")</f>
        <v>Y</v>
      </c>
      <c r="F1265" s="13">
        <v>1264</v>
      </c>
    </row>
    <row r="1266" spans="1:6" x14ac:dyDescent="0.25">
      <c r="A1266" s="16">
        <v>42863</v>
      </c>
      <c r="B1266" s="13" t="s">
        <v>146</v>
      </c>
      <c r="C1266" s="13">
        <v>37</v>
      </c>
      <c r="D1266" s="13">
        <v>649.45000000000005</v>
      </c>
      <c r="E1266" s="13" t="str">
        <f>IF(ISERROR(VLOOKUP(F1266,Magic!H:H,1,0)),IF(ISERROR(VLOOKUP(F1266,Magic!T:T,1,0)),"N","Y"),"Y")</f>
        <v>Y</v>
      </c>
      <c r="F1266" s="13">
        <v>1265</v>
      </c>
    </row>
    <row r="1267" spans="1:6" x14ac:dyDescent="0.25">
      <c r="A1267" s="16">
        <v>42863</v>
      </c>
      <c r="B1267" s="13" t="s">
        <v>146</v>
      </c>
      <c r="C1267" s="13">
        <v>37</v>
      </c>
      <c r="D1267" s="13">
        <v>409.8</v>
      </c>
      <c r="E1267" s="13" t="str">
        <f>IF(ISERROR(VLOOKUP(F1267,Magic!H:H,1,0)),IF(ISERROR(VLOOKUP(F1267,Magic!T:T,1,0)),"N","Y"),"Y")</f>
        <v>Y</v>
      </c>
      <c r="F1267" s="13">
        <v>1266</v>
      </c>
    </row>
    <row r="1268" spans="1:6" x14ac:dyDescent="0.25">
      <c r="A1268" s="16">
        <v>42863</v>
      </c>
      <c r="B1268" s="13" t="s">
        <v>146</v>
      </c>
      <c r="C1268" s="13">
        <v>37</v>
      </c>
      <c r="D1268" s="13">
        <v>579.45000000000005</v>
      </c>
      <c r="E1268" s="13" t="str">
        <f>IF(ISERROR(VLOOKUP(F1268,Magic!H:H,1,0)),IF(ISERROR(VLOOKUP(F1268,Magic!T:T,1,0)),"N","Y"),"Y")</f>
        <v>Y</v>
      </c>
      <c r="F1268" s="13">
        <v>1267</v>
      </c>
    </row>
    <row r="1269" spans="1:6" x14ac:dyDescent="0.25">
      <c r="A1269" s="16">
        <v>42863</v>
      </c>
      <c r="B1269" s="13" t="s">
        <v>31</v>
      </c>
      <c r="C1269" s="13">
        <v>37</v>
      </c>
      <c r="D1269" s="13">
        <v>50</v>
      </c>
      <c r="E1269" s="13" t="str">
        <f>IF(ISERROR(VLOOKUP(F1269,Magic!H:H,1,0)),IF(ISERROR(VLOOKUP(F1269,Magic!T:T,1,0)),"N","Y"),"Y")</f>
        <v>Y</v>
      </c>
      <c r="F1269" s="13">
        <v>1268</v>
      </c>
    </row>
    <row r="1270" spans="1:6" x14ac:dyDescent="0.25">
      <c r="A1270" s="16">
        <v>42863</v>
      </c>
      <c r="B1270" s="13" t="s">
        <v>24</v>
      </c>
      <c r="C1270" s="13">
        <v>43</v>
      </c>
      <c r="D1270" s="13">
        <v>1104.55</v>
      </c>
      <c r="E1270" s="13" t="str">
        <f>IF(ISERROR(VLOOKUP(F1270,Magic!H:H,1,0)),IF(ISERROR(VLOOKUP(F1270,Magic!T:T,1,0)),"N","Y"),"Y")</f>
        <v>Y</v>
      </c>
      <c r="F1270" s="13">
        <v>1269</v>
      </c>
    </row>
    <row r="1271" spans="1:6" x14ac:dyDescent="0.25">
      <c r="A1271" s="16">
        <v>42863</v>
      </c>
      <c r="B1271" s="13" t="s">
        <v>24</v>
      </c>
      <c r="C1271" s="13">
        <v>43</v>
      </c>
      <c r="D1271" s="13">
        <v>534.70000000000005</v>
      </c>
      <c r="E1271" s="13" t="str">
        <f>IF(ISERROR(VLOOKUP(F1271,Magic!H:H,1,0)),IF(ISERROR(VLOOKUP(F1271,Magic!T:T,1,0)),"N","Y"),"Y")</f>
        <v>Y</v>
      </c>
      <c r="F1271" s="13">
        <v>1270</v>
      </c>
    </row>
    <row r="1272" spans="1:6" x14ac:dyDescent="0.25">
      <c r="A1272" s="16">
        <v>42863</v>
      </c>
      <c r="B1272" s="13" t="s">
        <v>24</v>
      </c>
      <c r="C1272" s="13">
        <v>43</v>
      </c>
      <c r="D1272" s="13">
        <v>617.6</v>
      </c>
      <c r="E1272" s="13" t="str">
        <f>IF(ISERROR(VLOOKUP(F1272,Magic!H:H,1,0)),IF(ISERROR(VLOOKUP(F1272,Magic!T:T,1,0)),"N","Y"),"Y")</f>
        <v>Y</v>
      </c>
      <c r="F1272" s="13">
        <v>1271</v>
      </c>
    </row>
    <row r="1273" spans="1:6" x14ac:dyDescent="0.25">
      <c r="A1273" s="16">
        <v>42863</v>
      </c>
      <c r="B1273" s="13" t="s">
        <v>25</v>
      </c>
      <c r="C1273" s="13">
        <v>44</v>
      </c>
      <c r="D1273" s="13">
        <v>130.85</v>
      </c>
      <c r="E1273" s="13" t="str">
        <f>IF(ISERROR(VLOOKUP(F1273,Magic!H:H,1,0)),IF(ISERROR(VLOOKUP(F1273,Magic!T:T,1,0)),"N","Y"),"Y")</f>
        <v>Y</v>
      </c>
      <c r="F1273" s="13">
        <v>1272</v>
      </c>
    </row>
    <row r="1274" spans="1:6" x14ac:dyDescent="0.25">
      <c r="A1274" s="16">
        <v>42863</v>
      </c>
      <c r="B1274" s="13" t="s">
        <v>25</v>
      </c>
      <c r="C1274" s="13">
        <v>44</v>
      </c>
      <c r="D1274" s="13">
        <v>72.849999999999994</v>
      </c>
      <c r="E1274" s="13" t="str">
        <f>IF(ISERROR(VLOOKUP(F1274,Magic!H:H,1,0)),IF(ISERROR(VLOOKUP(F1274,Magic!T:T,1,0)),"N","Y"),"Y")</f>
        <v>Y</v>
      </c>
      <c r="F1274" s="13">
        <v>1273</v>
      </c>
    </row>
    <row r="1275" spans="1:6" x14ac:dyDescent="0.25">
      <c r="A1275" s="16">
        <v>42863</v>
      </c>
      <c r="B1275" s="13" t="s">
        <v>25</v>
      </c>
      <c r="C1275" s="13">
        <v>44</v>
      </c>
      <c r="D1275" s="13">
        <v>439.5</v>
      </c>
      <c r="E1275" s="13" t="str">
        <f>IF(ISERROR(VLOOKUP(F1275,Magic!H:H,1,0)),IF(ISERROR(VLOOKUP(F1275,Magic!T:T,1,0)),"N","Y"),"Y")</f>
        <v>Y</v>
      </c>
      <c r="F1275" s="13">
        <v>1274</v>
      </c>
    </row>
    <row r="1276" spans="1:6" x14ac:dyDescent="0.25">
      <c r="A1276" s="16">
        <v>42863</v>
      </c>
      <c r="B1276" s="13" t="s">
        <v>28</v>
      </c>
      <c r="C1276" s="13">
        <v>103</v>
      </c>
      <c r="D1276" s="13">
        <v>588.95000000000005</v>
      </c>
      <c r="E1276" s="13" t="str">
        <f>IF(ISERROR(VLOOKUP(F1276,Magic!H:H,1,0)),IF(ISERROR(VLOOKUP(F1276,Magic!T:T,1,0)),"N","Y"),"Y")</f>
        <v>Y</v>
      </c>
      <c r="F1276" s="13">
        <v>1275</v>
      </c>
    </row>
    <row r="1277" spans="1:6" x14ac:dyDescent="0.25">
      <c r="A1277" s="16">
        <v>42863</v>
      </c>
      <c r="B1277" s="13" t="s">
        <v>28</v>
      </c>
      <c r="C1277" s="13">
        <v>103</v>
      </c>
      <c r="D1277" s="13">
        <v>901.5</v>
      </c>
      <c r="E1277" s="13" t="str">
        <f>IF(ISERROR(VLOOKUP(F1277,Magic!H:H,1,0)),IF(ISERROR(VLOOKUP(F1277,Magic!T:T,1,0)),"N","Y"),"Y")</f>
        <v>Y</v>
      </c>
      <c r="F1277" s="13">
        <v>1276</v>
      </c>
    </row>
    <row r="1278" spans="1:6" x14ac:dyDescent="0.25">
      <c r="A1278" s="16">
        <v>42863</v>
      </c>
      <c r="B1278" s="13" t="s">
        <v>611</v>
      </c>
      <c r="C1278" s="13">
        <v>201</v>
      </c>
      <c r="D1278" s="13">
        <v>759.75</v>
      </c>
      <c r="E1278" s="13" t="str">
        <f>IF(ISERROR(VLOOKUP(F1278,Magic!H:H,1,0)),IF(ISERROR(VLOOKUP(F1278,Magic!T:T,1,0)),"N","Y"),"Y")</f>
        <v>Y</v>
      </c>
      <c r="F1278" s="13">
        <v>1277</v>
      </c>
    </row>
    <row r="1279" spans="1:6" x14ac:dyDescent="0.25">
      <c r="A1279" s="16">
        <v>42863</v>
      </c>
      <c r="B1279" s="13" t="s">
        <v>611</v>
      </c>
      <c r="C1279" s="13">
        <v>201</v>
      </c>
      <c r="D1279" s="13">
        <v>493.5</v>
      </c>
      <c r="E1279" s="13" t="str">
        <f>IF(ISERROR(VLOOKUP(F1279,Magic!H:H,1,0)),IF(ISERROR(VLOOKUP(F1279,Magic!T:T,1,0)),"N","Y"),"Y")</f>
        <v>Y</v>
      </c>
      <c r="F1279" s="13">
        <v>1278</v>
      </c>
    </row>
    <row r="1280" spans="1:6" x14ac:dyDescent="0.25">
      <c r="A1280" s="16">
        <v>42863</v>
      </c>
      <c r="B1280" s="13" t="s">
        <v>611</v>
      </c>
      <c r="C1280" s="13">
        <v>201</v>
      </c>
      <c r="D1280" s="13">
        <v>309.55</v>
      </c>
      <c r="E1280" s="13" t="str">
        <f>IF(ISERROR(VLOOKUP(F1280,Magic!H:H,1,0)),IF(ISERROR(VLOOKUP(F1280,Magic!T:T,1,0)),"N","Y"),"Y")</f>
        <v>Y</v>
      </c>
      <c r="F1280" s="13">
        <v>1279</v>
      </c>
    </row>
    <row r="1281" spans="1:6" x14ac:dyDescent="0.25">
      <c r="A1281" s="16">
        <v>42863</v>
      </c>
      <c r="B1281" s="13" t="s">
        <v>611</v>
      </c>
      <c r="C1281" s="13">
        <v>201</v>
      </c>
      <c r="D1281" s="13">
        <v>271</v>
      </c>
      <c r="E1281" s="13" t="str">
        <f>IF(ISERROR(VLOOKUP(F1281,Magic!H:H,1,0)),IF(ISERROR(VLOOKUP(F1281,Magic!T:T,1,0)),"N","Y"),"Y")</f>
        <v>Y</v>
      </c>
      <c r="F1281" s="13">
        <v>1280</v>
      </c>
    </row>
    <row r="1282" spans="1:6" x14ac:dyDescent="0.25">
      <c r="A1282" s="16">
        <v>42864</v>
      </c>
      <c r="B1282" s="13" t="s">
        <v>29</v>
      </c>
      <c r="C1282" s="13">
        <v>35</v>
      </c>
      <c r="D1282" s="13">
        <v>510</v>
      </c>
      <c r="E1282" s="13" t="str">
        <f>IF(ISERROR(VLOOKUP(F1282,Magic!H:H,1,0)),IF(ISERROR(VLOOKUP(F1282,Magic!T:T,1,0)),"N","Y"),"Y")</f>
        <v>Y</v>
      </c>
      <c r="F1282" s="13">
        <v>1281</v>
      </c>
    </row>
    <row r="1283" spans="1:6" x14ac:dyDescent="0.25">
      <c r="A1283" s="16">
        <v>42864</v>
      </c>
      <c r="B1283" s="13" t="s">
        <v>82</v>
      </c>
      <c r="C1283" s="13">
        <v>35</v>
      </c>
      <c r="D1283" s="13">
        <v>2.8</v>
      </c>
      <c r="E1283" s="13" t="str">
        <f>IF(ISERROR(VLOOKUP(F1283,Magic!H:H,1,0)),IF(ISERROR(VLOOKUP(F1283,Magic!T:T,1,0)),"N","Y"),"Y")</f>
        <v>Y</v>
      </c>
      <c r="F1283" s="13">
        <v>1282</v>
      </c>
    </row>
    <row r="1284" spans="1:6" x14ac:dyDescent="0.25">
      <c r="A1284" s="16">
        <v>42864</v>
      </c>
      <c r="B1284" s="13" t="s">
        <v>146</v>
      </c>
      <c r="C1284" s="13">
        <v>37</v>
      </c>
      <c r="D1284" s="13">
        <v>440</v>
      </c>
      <c r="E1284" s="13" t="str">
        <f>IF(ISERROR(VLOOKUP(F1284,Magic!H:H,1,0)),IF(ISERROR(VLOOKUP(F1284,Magic!T:T,1,0)),"N","Y"),"Y")</f>
        <v>Y</v>
      </c>
      <c r="F1284" s="13">
        <v>1283</v>
      </c>
    </row>
    <row r="1285" spans="1:6" x14ac:dyDescent="0.25">
      <c r="A1285" s="16">
        <v>42864</v>
      </c>
      <c r="B1285" s="13" t="s">
        <v>56</v>
      </c>
      <c r="C1285" s="13">
        <v>41</v>
      </c>
      <c r="D1285" s="13">
        <v>310.75</v>
      </c>
      <c r="E1285" s="13" t="str">
        <f>IF(ISERROR(VLOOKUP(F1285,Magic!H:H,1,0)),IF(ISERROR(VLOOKUP(F1285,Magic!T:T,1,0)),"N","Y"),"Y")</f>
        <v>Y</v>
      </c>
      <c r="F1285" s="13">
        <v>1284</v>
      </c>
    </row>
    <row r="1286" spans="1:6" x14ac:dyDescent="0.25">
      <c r="A1286" s="16">
        <v>42864</v>
      </c>
      <c r="B1286" s="13" t="s">
        <v>56</v>
      </c>
      <c r="C1286" s="13">
        <v>41</v>
      </c>
      <c r="D1286" s="13">
        <v>114.9</v>
      </c>
      <c r="E1286" s="13" t="str">
        <f>IF(ISERROR(VLOOKUP(F1286,Magic!H:H,1,0)),IF(ISERROR(VLOOKUP(F1286,Magic!T:T,1,0)),"N","Y"),"Y")</f>
        <v>Y</v>
      </c>
      <c r="F1286" s="13">
        <v>1285</v>
      </c>
    </row>
    <row r="1287" spans="1:6" x14ac:dyDescent="0.25">
      <c r="A1287" s="16">
        <v>42864</v>
      </c>
      <c r="B1287" s="13" t="s">
        <v>56</v>
      </c>
      <c r="C1287" s="13">
        <v>41</v>
      </c>
      <c r="D1287" s="13">
        <v>414.55</v>
      </c>
      <c r="E1287" s="13" t="str">
        <f>IF(ISERROR(VLOOKUP(F1287,Magic!H:H,1,0)),IF(ISERROR(VLOOKUP(F1287,Magic!T:T,1,0)),"N","Y"),"Y")</f>
        <v>Y</v>
      </c>
      <c r="F1287" s="13">
        <v>1286</v>
      </c>
    </row>
    <row r="1288" spans="1:6" x14ac:dyDescent="0.25">
      <c r="A1288" s="16">
        <v>42864</v>
      </c>
      <c r="B1288" s="13" t="s">
        <v>56</v>
      </c>
      <c r="C1288" s="13">
        <v>41</v>
      </c>
      <c r="D1288" s="13">
        <v>532.95000000000005</v>
      </c>
      <c r="E1288" s="13" t="str">
        <f>IF(ISERROR(VLOOKUP(F1288,Magic!H:H,1,0)),IF(ISERROR(VLOOKUP(F1288,Magic!T:T,1,0)),"N","Y"),"Y")</f>
        <v>Y</v>
      </c>
      <c r="F1288" s="13">
        <v>1287</v>
      </c>
    </row>
    <row r="1289" spans="1:6" x14ac:dyDescent="0.25">
      <c r="A1289" s="16">
        <v>42864</v>
      </c>
      <c r="B1289" s="13" t="s">
        <v>24</v>
      </c>
      <c r="C1289" s="13">
        <v>43</v>
      </c>
      <c r="D1289" s="13">
        <v>626.54999999999995</v>
      </c>
      <c r="E1289" s="13" t="str">
        <f>IF(ISERROR(VLOOKUP(F1289,Magic!H:H,1,0)),IF(ISERROR(VLOOKUP(F1289,Magic!T:T,1,0)),"N","Y"),"Y")</f>
        <v>Y</v>
      </c>
      <c r="F1289" s="13">
        <v>1288</v>
      </c>
    </row>
    <row r="1290" spans="1:6" x14ac:dyDescent="0.25">
      <c r="A1290" s="16">
        <v>42864</v>
      </c>
      <c r="B1290" s="13" t="s">
        <v>25</v>
      </c>
      <c r="C1290" s="13">
        <v>44</v>
      </c>
      <c r="D1290" s="13">
        <v>310.64999999999998</v>
      </c>
      <c r="E1290" s="13" t="str">
        <f>IF(ISERROR(VLOOKUP(F1290,Magic!H:H,1,0)),IF(ISERROR(VLOOKUP(F1290,Magic!T:T,1,0)),"N","Y"),"Y")</f>
        <v>Y</v>
      </c>
      <c r="F1290" s="13">
        <v>1289</v>
      </c>
    </row>
    <row r="1291" spans="1:6" x14ac:dyDescent="0.25">
      <c r="A1291" s="16">
        <v>42864</v>
      </c>
      <c r="B1291" s="13" t="s">
        <v>28</v>
      </c>
      <c r="C1291" s="13">
        <v>103</v>
      </c>
      <c r="D1291" s="13">
        <v>1010</v>
      </c>
      <c r="E1291" s="13" t="str">
        <f>IF(ISERROR(VLOOKUP(F1291,Magic!H:H,1,0)),IF(ISERROR(VLOOKUP(F1291,Magic!T:T,1,0)),"N","Y"),"Y")</f>
        <v>Y</v>
      </c>
      <c r="F1291" s="13">
        <v>1290</v>
      </c>
    </row>
    <row r="1292" spans="1:6" x14ac:dyDescent="0.25">
      <c r="A1292" s="16">
        <v>42864</v>
      </c>
      <c r="B1292" s="13" t="s">
        <v>611</v>
      </c>
      <c r="C1292" s="13">
        <v>201</v>
      </c>
      <c r="D1292" s="13">
        <v>250</v>
      </c>
      <c r="E1292" s="13" t="str">
        <f>IF(ISERROR(VLOOKUP(F1292,Magic!H:H,1,0)),IF(ISERROR(VLOOKUP(F1292,Magic!T:T,1,0)),"N","Y"),"Y")</f>
        <v>Y</v>
      </c>
      <c r="F1292" s="13">
        <v>1291</v>
      </c>
    </row>
    <row r="1293" spans="1:6" x14ac:dyDescent="0.25">
      <c r="A1293" s="16">
        <v>42865</v>
      </c>
      <c r="B1293" s="13" t="s">
        <v>29</v>
      </c>
      <c r="C1293" s="13">
        <v>35</v>
      </c>
      <c r="D1293" s="13">
        <v>465</v>
      </c>
      <c r="E1293" s="13" t="str">
        <f>IF(ISERROR(VLOOKUP(F1293,Magic!H:H,1,0)),IF(ISERROR(VLOOKUP(F1293,Magic!T:T,1,0)),"N","Y"),"Y")</f>
        <v>Y</v>
      </c>
      <c r="F1293" s="13">
        <v>1292</v>
      </c>
    </row>
    <row r="1294" spans="1:6" x14ac:dyDescent="0.25">
      <c r="A1294" s="16">
        <v>42865</v>
      </c>
      <c r="B1294" s="13" t="s">
        <v>82</v>
      </c>
      <c r="C1294" s="13">
        <v>35</v>
      </c>
      <c r="D1294" s="13">
        <v>3.6</v>
      </c>
      <c r="E1294" s="13" t="str">
        <f>IF(ISERROR(VLOOKUP(F1294,Magic!H:H,1,0)),IF(ISERROR(VLOOKUP(F1294,Magic!T:T,1,0)),"N","Y"),"Y")</f>
        <v>Y</v>
      </c>
      <c r="F1294" s="13">
        <v>1293</v>
      </c>
    </row>
    <row r="1295" spans="1:6" x14ac:dyDescent="0.25">
      <c r="A1295" s="16">
        <v>42865</v>
      </c>
      <c r="B1295" s="13" t="s">
        <v>31</v>
      </c>
      <c r="C1295" s="13">
        <v>37</v>
      </c>
      <c r="D1295" s="13">
        <v>394.85</v>
      </c>
      <c r="E1295" s="13" t="str">
        <f>IF(ISERROR(VLOOKUP(F1295,Magic!H:H,1,0)),IF(ISERROR(VLOOKUP(F1295,Magic!T:T,1,0)),"N","Y"),"Y")</f>
        <v>Y</v>
      </c>
      <c r="F1295" s="13">
        <v>1294</v>
      </c>
    </row>
    <row r="1296" spans="1:6" x14ac:dyDescent="0.25">
      <c r="A1296" s="16">
        <v>42865</v>
      </c>
      <c r="B1296" s="13" t="s">
        <v>56</v>
      </c>
      <c r="C1296" s="13">
        <v>41</v>
      </c>
      <c r="D1296" s="13">
        <v>402.55</v>
      </c>
      <c r="E1296" s="13" t="str">
        <f>IF(ISERROR(VLOOKUP(F1296,Magic!H:H,1,0)),IF(ISERROR(VLOOKUP(F1296,Magic!T:T,1,0)),"N","Y"),"Y")</f>
        <v>Y</v>
      </c>
      <c r="F1296" s="13">
        <v>1295</v>
      </c>
    </row>
    <row r="1297" spans="1:6" x14ac:dyDescent="0.25">
      <c r="A1297" s="16">
        <v>42865</v>
      </c>
      <c r="B1297" s="13" t="s">
        <v>24</v>
      </c>
      <c r="C1297" s="13">
        <v>43</v>
      </c>
      <c r="D1297" s="13">
        <v>722.6</v>
      </c>
      <c r="E1297" s="13" t="str">
        <f>IF(ISERROR(VLOOKUP(F1297,Magic!H:H,1,0)),IF(ISERROR(VLOOKUP(F1297,Magic!T:T,1,0)),"N","Y"),"Y")</f>
        <v>Y</v>
      </c>
      <c r="F1297" s="13">
        <v>1296</v>
      </c>
    </row>
    <row r="1298" spans="1:6" x14ac:dyDescent="0.25">
      <c r="A1298" s="16">
        <v>42865</v>
      </c>
      <c r="B1298" s="13" t="s">
        <v>25</v>
      </c>
      <c r="C1298" s="13">
        <v>44</v>
      </c>
      <c r="D1298" s="13">
        <v>128.6</v>
      </c>
      <c r="E1298" s="13" t="str">
        <f>IF(ISERROR(VLOOKUP(F1298,Magic!H:H,1,0)),IF(ISERROR(VLOOKUP(F1298,Magic!T:T,1,0)),"N","Y"),"Y")</f>
        <v>Y</v>
      </c>
      <c r="F1298" s="13">
        <v>1297</v>
      </c>
    </row>
    <row r="1299" spans="1:6" x14ac:dyDescent="0.25">
      <c r="A1299" s="16">
        <v>42865</v>
      </c>
      <c r="B1299" s="13" t="s">
        <v>28</v>
      </c>
      <c r="C1299" s="13">
        <v>103</v>
      </c>
      <c r="D1299" s="13">
        <v>2.1</v>
      </c>
      <c r="E1299" s="13" t="str">
        <f>IF(ISERROR(VLOOKUP(F1299,Magic!H:H,1,0)),IF(ISERROR(VLOOKUP(F1299,Magic!T:T,1,0)),"N","Y"),"Y")</f>
        <v>Y</v>
      </c>
      <c r="F1299" s="13">
        <v>1298</v>
      </c>
    </row>
    <row r="1300" spans="1:6" x14ac:dyDescent="0.25">
      <c r="A1300" s="16">
        <v>42865</v>
      </c>
      <c r="B1300" s="13" t="s">
        <v>28</v>
      </c>
      <c r="C1300" s="13">
        <v>103</v>
      </c>
      <c r="D1300" s="13">
        <v>513.25</v>
      </c>
      <c r="E1300" s="13" t="str">
        <f>IF(ISERROR(VLOOKUP(F1300,Magic!H:H,1,0)),IF(ISERROR(VLOOKUP(F1300,Magic!T:T,1,0)),"N","Y"),"Y")</f>
        <v>Y</v>
      </c>
      <c r="F1300" s="13">
        <v>1299</v>
      </c>
    </row>
    <row r="1301" spans="1:6" x14ac:dyDescent="0.25">
      <c r="A1301" s="16">
        <v>42865</v>
      </c>
      <c r="B1301" s="13" t="s">
        <v>611</v>
      </c>
      <c r="C1301" s="13">
        <v>201</v>
      </c>
      <c r="D1301" s="13">
        <v>374.65</v>
      </c>
      <c r="E1301" s="13" t="str">
        <f>IF(ISERROR(VLOOKUP(F1301,Magic!H:H,1,0)),IF(ISERROR(VLOOKUP(F1301,Magic!T:T,1,0)),"N","Y"),"Y")</f>
        <v>Y</v>
      </c>
      <c r="F1301" s="13">
        <v>1300</v>
      </c>
    </row>
    <row r="1302" spans="1:6" x14ac:dyDescent="0.25">
      <c r="A1302" s="16">
        <v>42866</v>
      </c>
      <c r="B1302" s="13" t="s">
        <v>29</v>
      </c>
      <c r="C1302" s="13">
        <v>35</v>
      </c>
      <c r="D1302" s="13">
        <v>1575</v>
      </c>
      <c r="E1302" s="13" t="str">
        <f>IF(ISERROR(VLOOKUP(F1302,Magic!H:H,1,0)),IF(ISERROR(VLOOKUP(F1302,Magic!T:T,1,0)),"N","Y"),"Y")</f>
        <v>Y</v>
      </c>
      <c r="F1302" s="13">
        <v>1301</v>
      </c>
    </row>
    <row r="1303" spans="1:6" x14ac:dyDescent="0.25">
      <c r="A1303" s="16">
        <v>42866</v>
      </c>
      <c r="B1303" s="13" t="s">
        <v>82</v>
      </c>
      <c r="C1303" s="13">
        <v>35</v>
      </c>
      <c r="D1303" s="13">
        <v>0.35</v>
      </c>
      <c r="E1303" s="13" t="str">
        <f>IF(ISERROR(VLOOKUP(F1303,Magic!H:H,1,0)),IF(ISERROR(VLOOKUP(F1303,Magic!T:T,1,0)),"N","Y"),"Y")</f>
        <v>Y</v>
      </c>
      <c r="F1303" s="13">
        <v>1302</v>
      </c>
    </row>
    <row r="1304" spans="1:6" x14ac:dyDescent="0.25">
      <c r="A1304" s="16">
        <v>42866</v>
      </c>
      <c r="B1304" s="13" t="s">
        <v>146</v>
      </c>
      <c r="C1304" s="13">
        <v>37</v>
      </c>
      <c r="D1304" s="13">
        <v>414.55</v>
      </c>
      <c r="E1304" s="13" t="str">
        <f>IF(ISERROR(VLOOKUP(F1304,Magic!H:H,1,0)),IF(ISERROR(VLOOKUP(F1304,Magic!T:T,1,0)),"N","Y"),"Y")</f>
        <v>Y</v>
      </c>
      <c r="F1304" s="13">
        <v>1303</v>
      </c>
    </row>
    <row r="1305" spans="1:6" x14ac:dyDescent="0.25">
      <c r="A1305" s="16">
        <v>42866</v>
      </c>
      <c r="B1305" s="13" t="s">
        <v>31</v>
      </c>
      <c r="C1305" s="13">
        <v>37</v>
      </c>
      <c r="D1305" s="13">
        <v>9.85</v>
      </c>
      <c r="E1305" s="13" t="str">
        <f>IF(ISERROR(VLOOKUP(F1305,Magic!H:H,1,0)),IF(ISERROR(VLOOKUP(F1305,Magic!T:T,1,0)),"N","Y"),"Y")</f>
        <v>N</v>
      </c>
      <c r="F1305" s="13">
        <v>1304</v>
      </c>
    </row>
    <row r="1306" spans="1:6" x14ac:dyDescent="0.25">
      <c r="A1306" s="16">
        <v>42866</v>
      </c>
      <c r="B1306" s="13" t="s">
        <v>31</v>
      </c>
      <c r="C1306" s="13">
        <v>37</v>
      </c>
      <c r="D1306" s="13">
        <v>9.65</v>
      </c>
      <c r="E1306" s="13" t="str">
        <f>IF(ISERROR(VLOOKUP(F1306,Magic!H:H,1,0)),IF(ISERROR(VLOOKUP(F1306,Magic!T:T,1,0)),"N","Y"),"Y")</f>
        <v>Y</v>
      </c>
      <c r="F1306" s="13">
        <v>1310</v>
      </c>
    </row>
    <row r="1307" spans="1:6" x14ac:dyDescent="0.25">
      <c r="A1307" s="16">
        <v>42866</v>
      </c>
      <c r="B1307" s="13" t="s">
        <v>31</v>
      </c>
      <c r="C1307" s="13">
        <v>37</v>
      </c>
      <c r="D1307" s="13">
        <v>0.2</v>
      </c>
      <c r="E1307" s="13" t="str">
        <f>IF(ISERROR(VLOOKUP(F1307,Magic!H:H,1,0)),IF(ISERROR(VLOOKUP(F1307,Magic!T:T,1,0)),"N","Y"),"Y")</f>
        <v>Y</v>
      </c>
      <c r="F1307" s="13">
        <v>1311</v>
      </c>
    </row>
    <row r="1308" spans="1:6" x14ac:dyDescent="0.25">
      <c r="A1308" s="16">
        <v>42866</v>
      </c>
      <c r="B1308" s="13" t="s">
        <v>81</v>
      </c>
      <c r="C1308" s="13">
        <v>41</v>
      </c>
      <c r="D1308" s="13">
        <v>275.64999999999998</v>
      </c>
      <c r="E1308" s="13" t="str">
        <f>IF(ISERROR(VLOOKUP(F1308,Magic!H:H,1,0)),IF(ISERROR(VLOOKUP(F1308,Magic!T:T,1,0)),"N","Y"),"Y")</f>
        <v>Y</v>
      </c>
      <c r="F1308" s="13">
        <v>1305</v>
      </c>
    </row>
    <row r="1309" spans="1:6" x14ac:dyDescent="0.25">
      <c r="A1309" s="16">
        <v>42866</v>
      </c>
      <c r="B1309" s="13" t="s">
        <v>24</v>
      </c>
      <c r="C1309" s="13">
        <v>43</v>
      </c>
      <c r="D1309" s="13">
        <v>857.3</v>
      </c>
      <c r="E1309" s="13" t="str">
        <f>IF(ISERROR(VLOOKUP(F1309,Magic!H:H,1,0)),IF(ISERROR(VLOOKUP(F1309,Magic!T:T,1,0)),"N","Y"),"Y")</f>
        <v>Y</v>
      </c>
      <c r="F1309" s="13">
        <v>1306</v>
      </c>
    </row>
    <row r="1310" spans="1:6" x14ac:dyDescent="0.25">
      <c r="A1310" s="16">
        <v>42866</v>
      </c>
      <c r="B1310" s="13" t="s">
        <v>25</v>
      </c>
      <c r="C1310" s="13">
        <v>44</v>
      </c>
      <c r="D1310" s="13">
        <v>267.7</v>
      </c>
      <c r="E1310" s="13" t="str">
        <f>IF(ISERROR(VLOOKUP(F1310,Magic!H:H,1,0)),IF(ISERROR(VLOOKUP(F1310,Magic!T:T,1,0)),"N","Y"),"Y")</f>
        <v>Y</v>
      </c>
      <c r="F1310" s="13">
        <v>1307</v>
      </c>
    </row>
    <row r="1311" spans="1:6" x14ac:dyDescent="0.25">
      <c r="A1311" s="16">
        <v>42866</v>
      </c>
      <c r="B1311" s="13" t="s">
        <v>28</v>
      </c>
      <c r="C1311" s="13">
        <v>103</v>
      </c>
      <c r="D1311" s="13">
        <v>836.2</v>
      </c>
      <c r="E1311" s="13" t="str">
        <f>IF(ISERROR(VLOOKUP(F1311,Magic!H:H,1,0)),IF(ISERROR(VLOOKUP(F1311,Magic!T:T,1,0)),"N","Y"),"Y")</f>
        <v>Y</v>
      </c>
      <c r="F1311" s="13">
        <v>1308</v>
      </c>
    </row>
    <row r="1312" spans="1:6" x14ac:dyDescent="0.25">
      <c r="A1312" s="16">
        <v>42866</v>
      </c>
      <c r="B1312" s="13" t="s">
        <v>611</v>
      </c>
      <c r="C1312" s="13">
        <v>201</v>
      </c>
      <c r="D1312" s="13">
        <v>384.6</v>
      </c>
      <c r="E1312" s="13" t="str">
        <f>IF(ISERROR(VLOOKUP(F1312,Magic!H:H,1,0)),IF(ISERROR(VLOOKUP(F1312,Magic!T:T,1,0)),"N","Y"),"Y")</f>
        <v>Y</v>
      </c>
      <c r="F1312" s="13">
        <v>1309</v>
      </c>
    </row>
    <row r="1313" spans="1:6" x14ac:dyDescent="0.25">
      <c r="A1313" s="16">
        <v>42869</v>
      </c>
      <c r="B1313" s="13" t="s">
        <v>29</v>
      </c>
      <c r="C1313" s="13">
        <v>35</v>
      </c>
      <c r="D1313" s="13">
        <v>460</v>
      </c>
      <c r="E1313" s="13" t="str">
        <f>IF(ISERROR(VLOOKUP(F1313,Magic!H:H,1,0)),IF(ISERROR(VLOOKUP(F1313,Magic!T:T,1,0)),"N","Y"),"Y")</f>
        <v>Y</v>
      </c>
      <c r="F1313" s="13">
        <v>1312</v>
      </c>
    </row>
    <row r="1314" spans="1:6" x14ac:dyDescent="0.25">
      <c r="A1314" s="16">
        <v>42867</v>
      </c>
      <c r="B1314" s="13" t="s">
        <v>29</v>
      </c>
      <c r="C1314" s="13">
        <v>35</v>
      </c>
      <c r="D1314" s="13">
        <v>840</v>
      </c>
      <c r="E1314" s="13" t="str">
        <f>IF(ISERROR(VLOOKUP(F1314,Magic!H:H,1,0)),IF(ISERROR(VLOOKUP(F1314,Magic!T:T,1,0)),"N","Y"),"Y")</f>
        <v>Y</v>
      </c>
      <c r="F1314" s="13">
        <v>1313</v>
      </c>
    </row>
    <row r="1315" spans="1:6" x14ac:dyDescent="0.25">
      <c r="A1315" s="16">
        <v>42867</v>
      </c>
      <c r="B1315" s="13" t="s">
        <v>82</v>
      </c>
      <c r="C1315" s="13">
        <v>35</v>
      </c>
      <c r="D1315" s="13">
        <v>3.15</v>
      </c>
      <c r="E1315" s="13" t="str">
        <f>IF(ISERROR(VLOOKUP(F1315,Magic!H:H,1,0)),IF(ISERROR(VLOOKUP(F1315,Magic!T:T,1,0)),"N","Y"),"Y")</f>
        <v>Y</v>
      </c>
      <c r="F1315" s="13">
        <v>1314</v>
      </c>
    </row>
    <row r="1316" spans="1:6" x14ac:dyDescent="0.25">
      <c r="A1316" s="16">
        <v>42867</v>
      </c>
      <c r="B1316" s="13" t="s">
        <v>31</v>
      </c>
      <c r="C1316" s="13">
        <v>37</v>
      </c>
      <c r="D1316" s="13">
        <v>489.8</v>
      </c>
      <c r="E1316" s="13" t="str">
        <f>IF(ISERROR(VLOOKUP(F1316,Magic!H:H,1,0)),IF(ISERROR(VLOOKUP(F1316,Magic!T:T,1,0)),"N","Y"),"Y")</f>
        <v>Y</v>
      </c>
      <c r="F1316" s="13">
        <v>1315</v>
      </c>
    </row>
    <row r="1317" spans="1:6" x14ac:dyDescent="0.25">
      <c r="A1317" s="16">
        <v>42867</v>
      </c>
      <c r="B1317" s="13" t="s">
        <v>81</v>
      </c>
      <c r="C1317" s="13">
        <v>41</v>
      </c>
      <c r="D1317" s="13">
        <v>521.54999999999995</v>
      </c>
      <c r="E1317" s="13" t="str">
        <f>IF(ISERROR(VLOOKUP(F1317,Magic!H:H,1,0)),IF(ISERROR(VLOOKUP(F1317,Magic!T:T,1,0)),"N","Y"),"Y")</f>
        <v>Y</v>
      </c>
      <c r="F1317" s="13">
        <v>1316</v>
      </c>
    </row>
    <row r="1318" spans="1:6" x14ac:dyDescent="0.25">
      <c r="A1318" s="16">
        <v>42867</v>
      </c>
      <c r="B1318" s="13" t="s">
        <v>819</v>
      </c>
      <c r="C1318" s="13">
        <v>43</v>
      </c>
      <c r="D1318" s="13">
        <v>843.5</v>
      </c>
      <c r="E1318" s="13" t="str">
        <f>IF(ISERROR(VLOOKUP(F1318,Magic!H:H,1,0)),IF(ISERROR(VLOOKUP(F1318,Magic!T:T,1,0)),"N","Y"),"Y")</f>
        <v>Y</v>
      </c>
      <c r="F1318" s="13">
        <v>1317</v>
      </c>
    </row>
    <row r="1319" spans="1:6" x14ac:dyDescent="0.25">
      <c r="A1319" s="16">
        <v>42867</v>
      </c>
      <c r="B1319" s="13" t="s">
        <v>611</v>
      </c>
      <c r="C1319" s="13">
        <v>201</v>
      </c>
      <c r="D1319" s="13">
        <v>374</v>
      </c>
      <c r="E1319" s="13" t="str">
        <f>IF(ISERROR(VLOOKUP(F1319,Magic!H:H,1,0)),IF(ISERROR(VLOOKUP(F1319,Magic!T:T,1,0)),"N","Y"),"Y")</f>
        <v>Y</v>
      </c>
      <c r="F1319" s="13">
        <v>1318</v>
      </c>
    </row>
    <row r="1320" spans="1:6" x14ac:dyDescent="0.25">
      <c r="A1320" s="16">
        <v>42868</v>
      </c>
      <c r="B1320" s="13" t="s">
        <v>29</v>
      </c>
      <c r="C1320" s="13">
        <v>35</v>
      </c>
      <c r="D1320" s="13">
        <v>1200</v>
      </c>
      <c r="E1320" s="13" t="str">
        <f>IF(ISERROR(VLOOKUP(F1320,Magic!H:H,1,0)),IF(ISERROR(VLOOKUP(F1320,Magic!T:T,1,0)),"N","Y"),"Y")</f>
        <v>Y</v>
      </c>
      <c r="F1320" s="13">
        <v>1319</v>
      </c>
    </row>
    <row r="1321" spans="1:6" x14ac:dyDescent="0.25">
      <c r="A1321" s="16">
        <v>42868</v>
      </c>
      <c r="B1321" s="13" t="s">
        <v>28</v>
      </c>
      <c r="C1321" s="13">
        <v>103</v>
      </c>
      <c r="D1321" s="13">
        <v>1169.7</v>
      </c>
      <c r="E1321" s="13" t="str">
        <f>IF(ISERROR(VLOOKUP(F1321,Magic!H:H,1,0)),IF(ISERROR(VLOOKUP(F1321,Magic!T:T,1,0)),"N","Y"),"Y")</f>
        <v>Y</v>
      </c>
      <c r="F1321" s="13">
        <v>1320</v>
      </c>
    </row>
    <row r="1322" spans="1:6" x14ac:dyDescent="0.25">
      <c r="A1322" s="26">
        <f>DATE(2017,5,12)</f>
        <v>42867</v>
      </c>
      <c r="B1322" s="13" t="s">
        <v>1272</v>
      </c>
      <c r="C1322" s="13">
        <v>103</v>
      </c>
      <c r="D1322" s="13">
        <v>1323.05</v>
      </c>
      <c r="E1322" s="13" t="str">
        <f>IF(ISERROR(VLOOKUP(F1322,Magic!H:H,1,0)),IF(ISERROR(VLOOKUP(F1322,Magic!T:T,1,0)),"N","Y"),"Y")</f>
        <v>Y</v>
      </c>
      <c r="F1322" s="13">
        <v>1321</v>
      </c>
    </row>
    <row r="1323" spans="1:6" x14ac:dyDescent="0.25">
      <c r="A1323" s="16">
        <v>42870</v>
      </c>
      <c r="B1323" s="13" t="s">
        <v>29</v>
      </c>
      <c r="C1323" s="13">
        <v>35</v>
      </c>
      <c r="D1323" s="13">
        <v>445</v>
      </c>
      <c r="E1323" s="13" t="str">
        <f>IF(ISERROR(VLOOKUP(F1323,Magic!H:H,1,0)),IF(ISERROR(VLOOKUP(F1323,Magic!T:T,1,0)),"N","Y"),"Y")</f>
        <v>Y</v>
      </c>
      <c r="F1323" s="13">
        <v>1322</v>
      </c>
    </row>
    <row r="1324" spans="1:6" x14ac:dyDescent="0.25">
      <c r="A1324" s="16">
        <v>42870</v>
      </c>
      <c r="B1324" s="13" t="s">
        <v>82</v>
      </c>
      <c r="C1324" s="13">
        <v>35</v>
      </c>
      <c r="D1324" s="13">
        <v>2.4500000000000002</v>
      </c>
      <c r="E1324" s="13" t="str">
        <f>IF(ISERROR(VLOOKUP(F1324,Magic!H:H,1,0)),IF(ISERROR(VLOOKUP(F1324,Magic!T:T,1,0)),"N","Y"),"Y")</f>
        <v>Y</v>
      </c>
      <c r="F1324" s="13">
        <v>1323</v>
      </c>
    </row>
    <row r="1325" spans="1:6" x14ac:dyDescent="0.25">
      <c r="A1325" s="16">
        <v>42870</v>
      </c>
      <c r="B1325" s="13" t="s">
        <v>82</v>
      </c>
      <c r="C1325" s="13">
        <v>35</v>
      </c>
      <c r="D1325" s="13">
        <v>7.95</v>
      </c>
      <c r="E1325" s="13" t="str">
        <f>IF(ISERROR(VLOOKUP(F1325,Magic!H:H,1,0)),IF(ISERROR(VLOOKUP(F1325,Magic!T:T,1,0)),"N","Y"),"Y")</f>
        <v>Y</v>
      </c>
      <c r="F1325" s="13">
        <v>1324</v>
      </c>
    </row>
    <row r="1326" spans="1:6" x14ac:dyDescent="0.25">
      <c r="A1326" s="16">
        <v>42870</v>
      </c>
      <c r="B1326" s="13" t="s">
        <v>82</v>
      </c>
      <c r="C1326" s="13">
        <v>35</v>
      </c>
      <c r="D1326" s="13">
        <v>12.45</v>
      </c>
      <c r="E1326" s="13" t="str">
        <f>IF(ISERROR(VLOOKUP(F1326,Magic!H:H,1,0)),IF(ISERROR(VLOOKUP(F1326,Magic!T:T,1,0)),"N","Y"),"Y")</f>
        <v>Y</v>
      </c>
      <c r="F1326" s="13">
        <v>1325</v>
      </c>
    </row>
    <row r="1327" spans="1:6" x14ac:dyDescent="0.25">
      <c r="A1327" s="16">
        <v>42870</v>
      </c>
      <c r="B1327" s="13" t="s">
        <v>82</v>
      </c>
      <c r="C1327" s="13">
        <v>35</v>
      </c>
      <c r="D1327" s="13">
        <v>2.4500000000000002</v>
      </c>
      <c r="E1327" s="13" t="str">
        <f>IF(ISERROR(VLOOKUP(F1327,Magic!H:H,1,0)),IF(ISERROR(VLOOKUP(F1327,Magic!T:T,1,0)),"N","Y"),"Y")</f>
        <v>Y</v>
      </c>
      <c r="F1327" s="13">
        <v>1326</v>
      </c>
    </row>
    <row r="1328" spans="1:6" x14ac:dyDescent="0.25">
      <c r="A1328" s="16">
        <v>42870</v>
      </c>
      <c r="B1328" s="13" t="s">
        <v>31</v>
      </c>
      <c r="C1328" s="13">
        <v>37</v>
      </c>
      <c r="D1328" s="13">
        <v>434.8</v>
      </c>
      <c r="E1328" s="13" t="str">
        <f>IF(ISERROR(VLOOKUP(F1328,Magic!H:H,1,0)),IF(ISERROR(VLOOKUP(F1328,Magic!T:T,1,0)),"N","Y"),"Y")</f>
        <v>Y</v>
      </c>
      <c r="F1328" s="13">
        <v>1327</v>
      </c>
    </row>
    <row r="1329" spans="1:6" x14ac:dyDescent="0.25">
      <c r="A1329" s="16">
        <v>42870</v>
      </c>
      <c r="B1329" s="13" t="s">
        <v>31</v>
      </c>
      <c r="C1329" s="13">
        <v>37</v>
      </c>
      <c r="D1329" s="13">
        <v>434.75</v>
      </c>
      <c r="E1329" s="13" t="str">
        <f>IF(ISERROR(VLOOKUP(F1329,Magic!H:H,1,0)),IF(ISERROR(VLOOKUP(F1329,Magic!T:T,1,0)),"N","Y"),"Y")</f>
        <v>Y</v>
      </c>
      <c r="F1329" s="13">
        <v>1328</v>
      </c>
    </row>
    <row r="1330" spans="1:6" x14ac:dyDescent="0.25">
      <c r="A1330" s="16">
        <v>42870</v>
      </c>
      <c r="B1330" s="13" t="s">
        <v>31</v>
      </c>
      <c r="C1330" s="13">
        <v>37</v>
      </c>
      <c r="D1330" s="13">
        <v>194.9</v>
      </c>
      <c r="E1330" s="13" t="str">
        <f>IF(ISERROR(VLOOKUP(F1330,Magic!H:H,1,0)),IF(ISERROR(VLOOKUP(F1330,Magic!T:T,1,0)),"N","Y"),"Y")</f>
        <v>Y</v>
      </c>
      <c r="F1330" s="13">
        <v>1329</v>
      </c>
    </row>
    <row r="1331" spans="1:6" x14ac:dyDescent="0.25">
      <c r="A1331" s="16">
        <v>42870</v>
      </c>
      <c r="B1331" s="13" t="s">
        <v>24</v>
      </c>
      <c r="C1331" s="13">
        <v>43</v>
      </c>
      <c r="D1331" s="13">
        <v>1142.5999999999999</v>
      </c>
      <c r="E1331" s="13" t="str">
        <f>IF(ISERROR(VLOOKUP(F1331,Magic!H:H,1,0)),IF(ISERROR(VLOOKUP(F1331,Magic!T:T,1,0)),"N","Y"),"Y")</f>
        <v>Y</v>
      </c>
      <c r="F1331" s="13">
        <v>1330</v>
      </c>
    </row>
    <row r="1332" spans="1:6" x14ac:dyDescent="0.25">
      <c r="A1332" s="16">
        <v>42870</v>
      </c>
      <c r="B1332" s="13" t="s">
        <v>24</v>
      </c>
      <c r="C1332" s="13">
        <v>43</v>
      </c>
      <c r="D1332" s="13">
        <v>1099.55</v>
      </c>
      <c r="E1332" s="13" t="str">
        <f>IF(ISERROR(VLOOKUP(F1332,Magic!H:H,1,0)),IF(ISERROR(VLOOKUP(F1332,Magic!T:T,1,0)),"N","Y"),"Y")</f>
        <v>Y</v>
      </c>
      <c r="F1332" s="13">
        <v>1331</v>
      </c>
    </row>
    <row r="1333" spans="1:6" x14ac:dyDescent="0.25">
      <c r="A1333" s="16">
        <v>42870</v>
      </c>
      <c r="B1333" s="13" t="s">
        <v>24</v>
      </c>
      <c r="C1333" s="13">
        <v>43</v>
      </c>
      <c r="D1333" s="13">
        <v>1003.9</v>
      </c>
      <c r="E1333" s="13" t="str">
        <f>IF(ISERROR(VLOOKUP(F1333,Magic!H:H,1,0)),IF(ISERROR(VLOOKUP(F1333,Magic!T:T,1,0)),"N","Y"),"Y")</f>
        <v>Y</v>
      </c>
      <c r="F1333" s="13">
        <v>1332</v>
      </c>
    </row>
    <row r="1334" spans="1:6" x14ac:dyDescent="0.25">
      <c r="A1334" s="16">
        <v>42870</v>
      </c>
      <c r="B1334" s="13" t="s">
        <v>25</v>
      </c>
      <c r="C1334" s="13">
        <v>44</v>
      </c>
      <c r="D1334" s="13">
        <v>232.85</v>
      </c>
      <c r="E1334" s="13" t="str">
        <f>IF(ISERROR(VLOOKUP(F1334,Magic!H:H,1,0)),IF(ISERROR(VLOOKUP(F1334,Magic!T:T,1,0)),"N","Y"),"Y")</f>
        <v>Y</v>
      </c>
      <c r="F1334" s="13">
        <v>1333</v>
      </c>
    </row>
    <row r="1335" spans="1:6" x14ac:dyDescent="0.25">
      <c r="A1335" s="16">
        <v>42870</v>
      </c>
      <c r="B1335" s="13" t="s">
        <v>25</v>
      </c>
      <c r="C1335" s="13">
        <v>44</v>
      </c>
      <c r="D1335" s="13">
        <v>223.55</v>
      </c>
      <c r="E1335" s="13" t="str">
        <f>IF(ISERROR(VLOOKUP(F1335,Magic!H:H,1,0)),IF(ISERROR(VLOOKUP(F1335,Magic!T:T,1,0)),"N","Y"),"Y")</f>
        <v>Y</v>
      </c>
      <c r="F1335" s="13">
        <v>1334</v>
      </c>
    </row>
    <row r="1336" spans="1:6" x14ac:dyDescent="0.25">
      <c r="A1336" s="16">
        <v>42870</v>
      </c>
      <c r="B1336" s="13" t="s">
        <v>25</v>
      </c>
      <c r="C1336" s="13">
        <v>44</v>
      </c>
      <c r="D1336" s="13">
        <v>262.25</v>
      </c>
      <c r="E1336" s="13" t="str">
        <f>IF(ISERROR(VLOOKUP(F1336,Magic!H:H,1,0)),IF(ISERROR(VLOOKUP(F1336,Magic!T:T,1,0)),"N","Y"),"Y")</f>
        <v>Y</v>
      </c>
      <c r="F1336" s="13">
        <v>1335</v>
      </c>
    </row>
    <row r="1337" spans="1:6" x14ac:dyDescent="0.25">
      <c r="A1337" s="16">
        <v>42870</v>
      </c>
      <c r="B1337" s="13" t="s">
        <v>28</v>
      </c>
      <c r="C1337" s="13">
        <v>103</v>
      </c>
      <c r="D1337" s="13">
        <v>601.79999999999995</v>
      </c>
      <c r="E1337" s="13" t="str">
        <f>IF(ISERROR(VLOOKUP(F1337,Magic!H:H,1,0)),IF(ISERROR(VLOOKUP(F1337,Magic!T:T,1,0)),"N","Y"),"Y")</f>
        <v>Y</v>
      </c>
      <c r="F1337" s="13">
        <v>1336</v>
      </c>
    </row>
    <row r="1338" spans="1:6" x14ac:dyDescent="0.25">
      <c r="A1338" s="16">
        <v>42870</v>
      </c>
      <c r="B1338" s="13" t="s">
        <v>28</v>
      </c>
      <c r="C1338" s="13">
        <v>103</v>
      </c>
      <c r="D1338" s="13">
        <v>958.3</v>
      </c>
      <c r="E1338" s="13" t="str">
        <f>IF(ISERROR(VLOOKUP(F1338,Magic!H:H,1,0)),IF(ISERROR(VLOOKUP(F1338,Magic!T:T,1,0)),"N","Y"),"Y")</f>
        <v>Y</v>
      </c>
      <c r="F1338" s="13">
        <v>1337</v>
      </c>
    </row>
    <row r="1339" spans="1:6" x14ac:dyDescent="0.25">
      <c r="A1339" s="16">
        <v>42871</v>
      </c>
      <c r="B1339" s="13" t="s">
        <v>28</v>
      </c>
      <c r="C1339" s="13">
        <v>103</v>
      </c>
      <c r="D1339" s="13">
        <v>840</v>
      </c>
      <c r="E1339" s="13" t="str">
        <f>IF(ISERROR(VLOOKUP(F1339,Magic!H:H,1,0)),IF(ISERROR(VLOOKUP(F1339,Magic!T:T,1,0)),"N","Y"),"Y")</f>
        <v>Y</v>
      </c>
      <c r="F1339" s="13">
        <v>1338</v>
      </c>
    </row>
    <row r="1340" spans="1:6" x14ac:dyDescent="0.25">
      <c r="A1340" s="1">
        <v>42871</v>
      </c>
      <c r="B1340" t="s">
        <v>82</v>
      </c>
      <c r="C1340">
        <v>35</v>
      </c>
      <c r="D1340">
        <v>1.35</v>
      </c>
      <c r="E1340" t="str">
        <f>IF(ISERROR(VLOOKUP(F1340,Magic!H:H,1,0)),IF(ISERROR(VLOOKUP(F1340,Magic!T:T,1,0)),"N","Y"),"Y")</f>
        <v>N</v>
      </c>
      <c r="F1340">
        <v>1339</v>
      </c>
    </row>
    <row r="1341" spans="1:6" x14ac:dyDescent="0.25">
      <c r="A1341" s="16">
        <v>42871</v>
      </c>
      <c r="B1341" s="13" t="s">
        <v>31</v>
      </c>
      <c r="C1341" s="13">
        <v>37</v>
      </c>
      <c r="D1341" s="13">
        <v>299.25</v>
      </c>
      <c r="E1341" s="13" t="str">
        <f>IF(ISERROR(VLOOKUP(F1341,Magic!H:H,1,0)),IF(ISERROR(VLOOKUP(F1341,Magic!T:T,1,0)),"N","Y"),"Y")</f>
        <v>Y</v>
      </c>
      <c r="F1341" s="13">
        <v>1340</v>
      </c>
    </row>
    <row r="1342" spans="1:6" x14ac:dyDescent="0.25">
      <c r="A1342" s="16">
        <v>42871</v>
      </c>
      <c r="B1342" s="13" t="s">
        <v>81</v>
      </c>
      <c r="C1342" s="13">
        <v>41</v>
      </c>
      <c r="D1342" s="13">
        <v>377.45</v>
      </c>
      <c r="E1342" s="13" t="str">
        <f>IF(ISERROR(VLOOKUP(F1342,Magic!H:H,1,0)),IF(ISERROR(VLOOKUP(F1342,Magic!T:T,1,0)),"N","Y"),"Y")</f>
        <v>Y</v>
      </c>
      <c r="F1342" s="13">
        <v>1341</v>
      </c>
    </row>
    <row r="1343" spans="1:6" x14ac:dyDescent="0.25">
      <c r="A1343" s="16">
        <v>42871</v>
      </c>
      <c r="B1343" s="13" t="s">
        <v>81</v>
      </c>
      <c r="C1343" s="13">
        <v>41</v>
      </c>
      <c r="D1343" s="13">
        <v>134.75</v>
      </c>
      <c r="E1343" s="13" t="str">
        <f>IF(ISERROR(VLOOKUP(F1343,Magic!H:H,1,0)),IF(ISERROR(VLOOKUP(F1343,Magic!T:T,1,0)),"N","Y"),"Y")</f>
        <v>Y</v>
      </c>
      <c r="F1343" s="13">
        <v>1342</v>
      </c>
    </row>
    <row r="1344" spans="1:6" x14ac:dyDescent="0.25">
      <c r="A1344" s="16">
        <v>42871</v>
      </c>
      <c r="B1344" s="13" t="s">
        <v>81</v>
      </c>
      <c r="C1344" s="13">
        <v>41</v>
      </c>
      <c r="D1344" s="13">
        <v>252.75</v>
      </c>
      <c r="E1344" s="13" t="str">
        <f>IF(ISERROR(VLOOKUP(F1344,Magic!H:H,1,0)),IF(ISERROR(VLOOKUP(F1344,Magic!T:T,1,0)),"N","Y"),"Y")</f>
        <v>Y</v>
      </c>
      <c r="F1344" s="13">
        <v>1343</v>
      </c>
    </row>
    <row r="1345" spans="1:6" x14ac:dyDescent="0.25">
      <c r="A1345" s="16">
        <v>42871</v>
      </c>
      <c r="B1345" s="13" t="s">
        <v>81</v>
      </c>
      <c r="C1345" s="13">
        <v>41</v>
      </c>
      <c r="D1345" s="13">
        <v>396.5</v>
      </c>
      <c r="E1345" s="13" t="str">
        <f>IF(ISERROR(VLOOKUP(F1345,Magic!H:H,1,0)),IF(ISERROR(VLOOKUP(F1345,Magic!T:T,1,0)),"N","Y"),"Y")</f>
        <v>Y</v>
      </c>
      <c r="F1345" s="13">
        <v>1344</v>
      </c>
    </row>
    <row r="1346" spans="1:6" x14ac:dyDescent="0.25">
      <c r="A1346" s="16">
        <v>42871</v>
      </c>
      <c r="B1346" s="13" t="s">
        <v>819</v>
      </c>
      <c r="C1346" s="13">
        <v>43</v>
      </c>
      <c r="D1346" s="13">
        <v>844.2</v>
      </c>
      <c r="E1346" s="13" t="str">
        <f>IF(ISERROR(VLOOKUP(F1346,Magic!H:H,1,0)),IF(ISERROR(VLOOKUP(F1346,Magic!T:T,1,0)),"N","Y"),"Y")</f>
        <v>Y</v>
      </c>
      <c r="F1346" s="13">
        <v>1345</v>
      </c>
    </row>
    <row r="1347" spans="1:6" x14ac:dyDescent="0.25">
      <c r="A1347" s="16">
        <v>42871</v>
      </c>
      <c r="B1347" s="13" t="s">
        <v>25</v>
      </c>
      <c r="C1347" s="13">
        <v>44</v>
      </c>
      <c r="D1347" s="13">
        <v>496.3</v>
      </c>
      <c r="E1347" s="13" t="str">
        <f>IF(ISERROR(VLOOKUP(F1347,Magic!H:H,1,0)),IF(ISERROR(VLOOKUP(F1347,Magic!T:T,1,0)),"N","Y"),"Y")</f>
        <v>Y</v>
      </c>
      <c r="F1347" s="13">
        <v>1346</v>
      </c>
    </row>
    <row r="1348" spans="1:6" x14ac:dyDescent="0.25">
      <c r="A1348" s="16">
        <v>42871</v>
      </c>
      <c r="B1348" s="13" t="s">
        <v>28</v>
      </c>
      <c r="C1348" s="13">
        <v>103</v>
      </c>
      <c r="D1348" s="13">
        <v>5.25</v>
      </c>
      <c r="E1348" s="13" t="s">
        <v>71</v>
      </c>
      <c r="F1348" s="13">
        <v>1347</v>
      </c>
    </row>
    <row r="1349" spans="1:6" x14ac:dyDescent="0.25">
      <c r="A1349" s="16">
        <v>42871</v>
      </c>
      <c r="B1349" s="13" t="s">
        <v>28</v>
      </c>
      <c r="C1349" s="13">
        <v>103</v>
      </c>
      <c r="D1349" s="13">
        <v>4</v>
      </c>
      <c r="E1349" s="13" t="str">
        <f>IF(ISERROR(VLOOKUP(F1349,Magic!H:H,1,0)),IF(ISERROR(VLOOKUP(F1349,Magic!T:T,1,0)),"N","Y"),"Y")</f>
        <v>Y</v>
      </c>
      <c r="F1349" s="13">
        <v>1349</v>
      </c>
    </row>
    <row r="1350" spans="1:6" x14ac:dyDescent="0.25">
      <c r="A1350" s="16">
        <v>42871</v>
      </c>
      <c r="B1350" s="13" t="s">
        <v>28</v>
      </c>
      <c r="C1350" s="13">
        <v>103</v>
      </c>
      <c r="D1350" s="13">
        <v>1.25</v>
      </c>
      <c r="E1350" s="13" t="str">
        <f>IF(ISERROR(VLOOKUP(F1350,Magic!H:H,1,0)),IF(ISERROR(VLOOKUP(F1350,Magic!T:T,1,0)),"N","Y"),"Y")</f>
        <v>Y</v>
      </c>
      <c r="F1350" s="13">
        <v>1350</v>
      </c>
    </row>
    <row r="1351" spans="1:6" x14ac:dyDescent="0.25">
      <c r="A1351" s="16">
        <v>42871</v>
      </c>
      <c r="B1351" s="13" t="s">
        <v>611</v>
      </c>
      <c r="C1351" s="13">
        <v>201</v>
      </c>
      <c r="D1351" s="13">
        <v>257.89999999999998</v>
      </c>
      <c r="E1351" s="13" t="str">
        <f>IF(ISERROR(VLOOKUP(F1351,Magic!H:H,1,0)),IF(ISERROR(VLOOKUP(F1351,Magic!T:T,1,0)),"N","Y"),"Y")</f>
        <v>Y</v>
      </c>
      <c r="F1351" s="13">
        <v>1348</v>
      </c>
    </row>
    <row r="1352" spans="1:6" x14ac:dyDescent="0.25">
      <c r="A1352" s="16">
        <v>42867</v>
      </c>
      <c r="B1352" s="13" t="s">
        <v>1294</v>
      </c>
      <c r="C1352" s="13">
        <v>44</v>
      </c>
      <c r="D1352" s="13">
        <v>374.55</v>
      </c>
      <c r="E1352" s="13" t="str">
        <f>IF(ISERROR(VLOOKUP(F1352,Magic!H:H,1,0)),IF(ISERROR(VLOOKUP(F1352,Magic!T:T,1,0)),"N","Y"),"Y")</f>
        <v>Y</v>
      </c>
      <c r="F1352" s="13">
        <v>1351</v>
      </c>
    </row>
    <row r="1353" spans="1:6" x14ac:dyDescent="0.25">
      <c r="A1353" s="16">
        <v>42872</v>
      </c>
      <c r="B1353" s="13" t="s">
        <v>29</v>
      </c>
      <c r="C1353" s="13">
        <v>35</v>
      </c>
      <c r="D1353" s="13">
        <v>695</v>
      </c>
      <c r="E1353" s="13" t="str">
        <f>IF(ISERROR(VLOOKUP(F1353,Magic!H:H,1,0)),IF(ISERROR(VLOOKUP(F1353,Magic!T:T,1,0)),"N","Y"),"Y")</f>
        <v>Y</v>
      </c>
      <c r="F1353" s="13">
        <v>1352</v>
      </c>
    </row>
    <row r="1354" spans="1:6" x14ac:dyDescent="0.25">
      <c r="A1354" s="16">
        <v>42872</v>
      </c>
      <c r="B1354" s="13" t="s">
        <v>82</v>
      </c>
      <c r="C1354" s="13">
        <v>35</v>
      </c>
      <c r="D1354" s="13">
        <v>713.05</v>
      </c>
      <c r="E1354" s="13" t="str">
        <f>IF(ISERROR(VLOOKUP(F1354,Magic!H:H,1,0)),IF(ISERROR(VLOOKUP(F1354,Magic!T:T,1,0)),"N","Y"),"Y")</f>
        <v>Y</v>
      </c>
      <c r="F1354" s="13">
        <v>1353</v>
      </c>
    </row>
    <row r="1355" spans="1:6" x14ac:dyDescent="0.25">
      <c r="A1355" s="16">
        <v>42872</v>
      </c>
      <c r="B1355" s="13" t="s">
        <v>31</v>
      </c>
      <c r="C1355" s="13">
        <v>37</v>
      </c>
      <c r="D1355" s="13">
        <v>344.5</v>
      </c>
      <c r="E1355" s="13" t="str">
        <f>IF(ISERROR(VLOOKUP(F1355,Magic!H:H,1,0)),IF(ISERROR(VLOOKUP(F1355,Magic!T:T,1,0)),"N","Y"),"Y")</f>
        <v>Y</v>
      </c>
      <c r="F1355" s="13">
        <v>1354</v>
      </c>
    </row>
    <row r="1356" spans="1:6" x14ac:dyDescent="0.25">
      <c r="A1356" s="16">
        <v>42872</v>
      </c>
      <c r="B1356" s="13" t="s">
        <v>81</v>
      </c>
      <c r="C1356" s="13">
        <v>41</v>
      </c>
      <c r="D1356" s="13">
        <v>492.4</v>
      </c>
      <c r="E1356" s="13" t="str">
        <f>IF(ISERROR(VLOOKUP(F1356,Magic!H:H,1,0)),IF(ISERROR(VLOOKUP(F1356,Magic!T:T,1,0)),"N","Y"),"Y")</f>
        <v>Y</v>
      </c>
      <c r="F1356" s="13">
        <v>1355</v>
      </c>
    </row>
    <row r="1357" spans="1:6" x14ac:dyDescent="0.25">
      <c r="A1357" s="16">
        <v>42872</v>
      </c>
      <c r="B1357" s="13" t="s">
        <v>24</v>
      </c>
      <c r="C1357" s="13">
        <v>43</v>
      </c>
      <c r="D1357" s="13">
        <v>997</v>
      </c>
      <c r="E1357" s="13" t="str">
        <f>IF(ISERROR(VLOOKUP(F1357,Magic!H:H,1,0)),IF(ISERROR(VLOOKUP(F1357,Magic!T:T,1,0)),"N","Y"),"Y")</f>
        <v>Y</v>
      </c>
      <c r="F1357" s="13">
        <v>1356</v>
      </c>
    </row>
    <row r="1358" spans="1:6" x14ac:dyDescent="0.25">
      <c r="A1358" s="16">
        <v>42872</v>
      </c>
      <c r="B1358" s="13" t="s">
        <v>25</v>
      </c>
      <c r="C1358" s="13">
        <v>44</v>
      </c>
      <c r="D1358" s="13">
        <v>251.5</v>
      </c>
      <c r="E1358" s="13" t="str">
        <f>IF(ISERROR(VLOOKUP(F1358,Magic!H:H,1,0)),IF(ISERROR(VLOOKUP(F1358,Magic!T:T,1,0)),"N","Y"),"Y")</f>
        <v>Y</v>
      </c>
      <c r="F1358" s="13">
        <v>1357</v>
      </c>
    </row>
    <row r="1359" spans="1:6" x14ac:dyDescent="0.25">
      <c r="A1359" s="16">
        <v>42872</v>
      </c>
      <c r="B1359" s="13" t="s">
        <v>28</v>
      </c>
      <c r="C1359" s="13">
        <v>103</v>
      </c>
      <c r="D1359" s="13">
        <v>646.35</v>
      </c>
      <c r="E1359" s="13" t="str">
        <f>IF(ISERROR(VLOOKUP(F1359,Magic!H:H,1,0)),IF(ISERROR(VLOOKUP(F1359,Magic!T:T,1,0)),"N","Y"),"Y")</f>
        <v>Y</v>
      </c>
      <c r="F1359" s="13">
        <v>1358</v>
      </c>
    </row>
    <row r="1360" spans="1:6" x14ac:dyDescent="0.25">
      <c r="A1360" s="16">
        <v>42872</v>
      </c>
      <c r="B1360" s="13" t="s">
        <v>611</v>
      </c>
      <c r="C1360" s="13">
        <v>201</v>
      </c>
      <c r="D1360" s="13">
        <v>369.9</v>
      </c>
      <c r="E1360" s="13" t="str">
        <f>IF(ISERROR(VLOOKUP(F1360,Magic!H:H,1,0)),IF(ISERROR(VLOOKUP(F1360,Magic!T:T,1,0)),"N","Y"),"Y")</f>
        <v>Y</v>
      </c>
      <c r="F1360" s="13">
        <v>1359</v>
      </c>
    </row>
    <row r="1361" spans="1:6" x14ac:dyDescent="0.25">
      <c r="A1361" s="1">
        <v>42870</v>
      </c>
      <c r="B1361" s="13" t="s">
        <v>611</v>
      </c>
      <c r="C1361" s="13">
        <v>201</v>
      </c>
      <c r="D1361" s="13">
        <v>50</v>
      </c>
      <c r="E1361" s="13" t="str">
        <f>IF(ISERROR(VLOOKUP(F1361,Magic!H:H,1,0)),IF(ISERROR(VLOOKUP(F1361,Magic!T:T,1,0)),"N","Y"),"Y")</f>
        <v>N</v>
      </c>
      <c r="F1361" s="13">
        <v>1360</v>
      </c>
    </row>
    <row r="1362" spans="1:6" x14ac:dyDescent="0.25">
      <c r="A1362" s="16">
        <v>42870</v>
      </c>
      <c r="B1362" s="13" t="s">
        <v>611</v>
      </c>
      <c r="C1362" s="13">
        <v>201</v>
      </c>
      <c r="D1362" s="13">
        <v>360</v>
      </c>
      <c r="E1362" s="13" t="str">
        <f>IF(ISERROR(VLOOKUP(F1362,Magic!H:H,1,0)),IF(ISERROR(VLOOKUP(F1362,Magic!T:T,1,0)),"N","Y"),"Y")</f>
        <v>Y</v>
      </c>
      <c r="F1362" s="13">
        <v>1361</v>
      </c>
    </row>
    <row r="1363" spans="1:6" x14ac:dyDescent="0.25">
      <c r="A1363" s="16">
        <v>42870</v>
      </c>
      <c r="B1363" s="13" t="s">
        <v>611</v>
      </c>
      <c r="C1363" s="13">
        <v>201</v>
      </c>
      <c r="D1363" s="13">
        <v>501.45</v>
      </c>
      <c r="E1363" s="13" t="str">
        <f>IF(ISERROR(VLOOKUP(F1363,Magic!H:H,1,0)),IF(ISERROR(VLOOKUP(F1363,Magic!T:T,1,0)),"N","Y"),"Y")</f>
        <v>Y</v>
      </c>
      <c r="F1363" s="13">
        <v>1362</v>
      </c>
    </row>
    <row r="1364" spans="1:6" x14ac:dyDescent="0.25">
      <c r="A1364" s="16">
        <v>42870</v>
      </c>
      <c r="B1364" s="13" t="s">
        <v>611</v>
      </c>
      <c r="C1364" s="13">
        <v>201</v>
      </c>
      <c r="D1364" s="13">
        <v>774.55</v>
      </c>
      <c r="E1364" s="13" t="str">
        <f>IF(ISERROR(VLOOKUP(F1364,Magic!H:H,1,0)),IF(ISERROR(VLOOKUP(F1364,Magic!T:T,1,0)),"N","Y"),"Y")</f>
        <v>Y</v>
      </c>
      <c r="F1364" s="13">
        <v>1363</v>
      </c>
    </row>
    <row r="1365" spans="1:6" x14ac:dyDescent="0.25">
      <c r="A1365" s="16">
        <v>42873</v>
      </c>
      <c r="B1365" s="13" t="s">
        <v>29</v>
      </c>
      <c r="C1365" s="13">
        <v>35</v>
      </c>
      <c r="D1365" s="13">
        <v>860</v>
      </c>
      <c r="E1365" s="13" t="str">
        <f>IF(ISERROR(VLOOKUP(F1365,Magic!H:H,1,0)),IF(ISERROR(VLOOKUP(F1365,Magic!T:T,1,0)),"N","Y"),"Y")</f>
        <v>Y</v>
      </c>
      <c r="F1365" s="13">
        <v>1364</v>
      </c>
    </row>
    <row r="1366" spans="1:6" x14ac:dyDescent="0.25">
      <c r="A1366" s="16">
        <v>42873</v>
      </c>
      <c r="B1366" s="13" t="s">
        <v>57</v>
      </c>
      <c r="C1366" s="13">
        <v>35</v>
      </c>
      <c r="D1366" s="13">
        <v>39.200000000000003</v>
      </c>
      <c r="E1366" s="13" t="str">
        <f>IF(ISERROR(VLOOKUP(F1366,Magic!H:H,1,0)),IF(ISERROR(VLOOKUP(F1366,Magic!T:T,1,0)),"N","Y"),"Y")</f>
        <v>Y</v>
      </c>
      <c r="F1366" s="13">
        <v>1365</v>
      </c>
    </row>
    <row r="1367" spans="1:6" x14ac:dyDescent="0.25">
      <c r="A1367" s="16">
        <v>42873</v>
      </c>
      <c r="B1367" s="13" t="s">
        <v>24</v>
      </c>
      <c r="C1367" s="13">
        <v>43</v>
      </c>
      <c r="D1367" s="13">
        <v>687.2</v>
      </c>
      <c r="E1367" s="13" t="str">
        <f>IF(ISERROR(VLOOKUP(F1367,Magic!H:H,1,0)),IF(ISERROR(VLOOKUP(F1367,Magic!T:T,1,0)),"N","Y"),"Y")</f>
        <v>Y</v>
      </c>
      <c r="F1367" s="13">
        <v>1366</v>
      </c>
    </row>
    <row r="1368" spans="1:6" x14ac:dyDescent="0.25">
      <c r="A1368" s="16">
        <v>42873</v>
      </c>
      <c r="B1368" s="13" t="s">
        <v>25</v>
      </c>
      <c r="C1368" s="13">
        <v>44</v>
      </c>
      <c r="D1368" s="13">
        <v>517</v>
      </c>
      <c r="E1368" s="13" t="str">
        <f>IF(ISERROR(VLOOKUP(F1368,Magic!H:H,1,0)),IF(ISERROR(VLOOKUP(F1368,Magic!T:T,1,0)),"N","Y"),"Y")</f>
        <v>Y</v>
      </c>
      <c r="F1368" s="13">
        <v>1367</v>
      </c>
    </row>
    <row r="1369" spans="1:6" x14ac:dyDescent="0.25">
      <c r="A1369" s="16">
        <v>42873</v>
      </c>
      <c r="B1369" s="13" t="s">
        <v>28</v>
      </c>
      <c r="C1369" s="13">
        <v>103</v>
      </c>
      <c r="D1369" s="13">
        <v>1020.05</v>
      </c>
      <c r="E1369" s="13" t="str">
        <f>IF(ISERROR(VLOOKUP(F1369,Magic!H:H,1,0)),IF(ISERROR(VLOOKUP(F1369,Magic!T:T,1,0)),"N","Y"),"Y")</f>
        <v>Y</v>
      </c>
      <c r="F1369" s="13">
        <v>1368</v>
      </c>
    </row>
    <row r="1370" spans="1:6" x14ac:dyDescent="0.25">
      <c r="A1370" s="16">
        <v>42873</v>
      </c>
      <c r="B1370" s="13" t="s">
        <v>611</v>
      </c>
      <c r="C1370" s="13">
        <v>201</v>
      </c>
      <c r="D1370" s="13">
        <v>424.8</v>
      </c>
      <c r="E1370" s="13" t="str">
        <f>IF(ISERROR(VLOOKUP(F1370,Magic!H:H,1,0)),IF(ISERROR(VLOOKUP(F1370,Magic!T:T,1,0)),"N","Y"),"Y")</f>
        <v>Y</v>
      </c>
      <c r="F1370" s="13">
        <v>1369</v>
      </c>
    </row>
    <row r="1371" spans="1:6" x14ac:dyDescent="0.25">
      <c r="A1371" s="16">
        <v>42876</v>
      </c>
      <c r="B1371" s="13" t="s">
        <v>28</v>
      </c>
      <c r="C1371" s="13">
        <v>103</v>
      </c>
      <c r="D1371" s="13">
        <v>746.75</v>
      </c>
      <c r="E1371" s="13" t="str">
        <f>IF(ISERROR(VLOOKUP(F1371,Magic!H:H,1,0)),IF(ISERROR(VLOOKUP(F1371,Magic!T:T,1,0)),"N","Y"),"Y")</f>
        <v>Y</v>
      </c>
      <c r="F1371" s="13">
        <v>1370</v>
      </c>
    </row>
    <row r="1372" spans="1:6" x14ac:dyDescent="0.25">
      <c r="A1372" s="16">
        <v>42874</v>
      </c>
      <c r="B1372" s="13" t="s">
        <v>29</v>
      </c>
      <c r="C1372" s="13">
        <v>35</v>
      </c>
      <c r="D1372" s="13">
        <v>640</v>
      </c>
      <c r="E1372" s="13" t="str">
        <f>IF(ISERROR(VLOOKUP(F1372,Magic!H:H,1,0)),IF(ISERROR(VLOOKUP(F1372,Magic!T:T,1,0)),"N","Y"),"Y")</f>
        <v>Y</v>
      </c>
      <c r="F1372" s="13">
        <v>1371</v>
      </c>
    </row>
    <row r="1373" spans="1:6" x14ac:dyDescent="0.25">
      <c r="A1373" s="16">
        <v>42874</v>
      </c>
      <c r="B1373" s="13" t="s">
        <v>82</v>
      </c>
      <c r="C1373" s="13">
        <v>35</v>
      </c>
      <c r="D1373" s="13">
        <v>15.3</v>
      </c>
      <c r="E1373" s="13" t="str">
        <f>IF(ISERROR(VLOOKUP(F1373,Magic!H:H,1,0)),IF(ISERROR(VLOOKUP(F1373,Magic!T:T,1,0)),"N","Y"),"Y")</f>
        <v>Y</v>
      </c>
      <c r="F1373" s="13">
        <v>1372</v>
      </c>
    </row>
    <row r="1374" spans="1:6" x14ac:dyDescent="0.25">
      <c r="A1374" s="16">
        <v>42874</v>
      </c>
      <c r="B1374" s="13" t="s">
        <v>31</v>
      </c>
      <c r="C1374" s="13">
        <v>37</v>
      </c>
      <c r="D1374" s="13">
        <v>429.75</v>
      </c>
      <c r="E1374" s="13" t="str">
        <f>IF(ISERROR(VLOOKUP(F1374,Magic!H:H,1,0)),IF(ISERROR(VLOOKUP(F1374,Magic!T:T,1,0)),"N","Y"),"Y")</f>
        <v>Y</v>
      </c>
      <c r="F1374" s="13">
        <v>1373</v>
      </c>
    </row>
    <row r="1375" spans="1:6" x14ac:dyDescent="0.25">
      <c r="A1375" s="16">
        <v>42874</v>
      </c>
      <c r="B1375" s="13" t="s">
        <v>31</v>
      </c>
      <c r="C1375" s="13">
        <v>37</v>
      </c>
      <c r="D1375" s="13">
        <v>284.7</v>
      </c>
      <c r="E1375" s="13" t="str">
        <f>IF(ISERROR(VLOOKUP(F1375,Magic!H:H,1,0)),IF(ISERROR(VLOOKUP(F1375,Magic!T:T,1,0)),"N","Y"),"Y")</f>
        <v>Y</v>
      </c>
      <c r="F1375" s="13">
        <v>1374</v>
      </c>
    </row>
    <row r="1376" spans="1:6" x14ac:dyDescent="0.25">
      <c r="A1376" s="16">
        <v>42874</v>
      </c>
      <c r="B1376" s="13" t="s">
        <v>81</v>
      </c>
      <c r="C1376" s="13">
        <v>41</v>
      </c>
      <c r="D1376" s="13">
        <v>339.85</v>
      </c>
      <c r="E1376" s="13" t="str">
        <f>IF(ISERROR(VLOOKUP(F1376,Magic!H:H,1,0)),IF(ISERROR(VLOOKUP(F1376,Magic!T:T,1,0)),"N","Y"),"Y")</f>
        <v>Y</v>
      </c>
      <c r="F1376" s="13">
        <v>1375</v>
      </c>
    </row>
    <row r="1377" spans="1:6" x14ac:dyDescent="0.25">
      <c r="A1377" s="16">
        <v>42874</v>
      </c>
      <c r="B1377" s="13" t="s">
        <v>81</v>
      </c>
      <c r="C1377" s="13">
        <v>41</v>
      </c>
      <c r="D1377" s="13">
        <v>210.55</v>
      </c>
      <c r="E1377" s="13" t="str">
        <f>IF(ISERROR(VLOOKUP(F1377,Magic!H:H,1,0)),IF(ISERROR(VLOOKUP(F1377,Magic!T:T,1,0)),"N","Y"),"Y")</f>
        <v>Y</v>
      </c>
      <c r="F1377" s="13">
        <v>1376</v>
      </c>
    </row>
    <row r="1378" spans="1:6" x14ac:dyDescent="0.25">
      <c r="A1378" s="16">
        <v>42874</v>
      </c>
      <c r="B1378" s="13" t="s">
        <v>24</v>
      </c>
      <c r="C1378" s="13">
        <v>43</v>
      </c>
      <c r="D1378" s="13">
        <v>1104.7</v>
      </c>
      <c r="E1378" s="13" t="str">
        <f>IF(ISERROR(VLOOKUP(F1378,Magic!H:H,1,0)),IF(ISERROR(VLOOKUP(F1378,Magic!T:T,1,0)),"N","Y"),"Y")</f>
        <v>Y</v>
      </c>
      <c r="F1378" s="13">
        <v>1377</v>
      </c>
    </row>
    <row r="1379" spans="1:6" x14ac:dyDescent="0.25">
      <c r="A1379" s="16">
        <v>42874</v>
      </c>
      <c r="B1379" s="13" t="s">
        <v>28</v>
      </c>
      <c r="C1379" s="13">
        <v>103</v>
      </c>
      <c r="D1379" s="13">
        <v>0.2</v>
      </c>
      <c r="E1379" s="13" t="str">
        <f>IF(ISERROR(VLOOKUP(F1379,Magic!H:H,1,0)),IF(ISERROR(VLOOKUP(F1379,Magic!T:T,1,0)),"N","Y"),"Y")</f>
        <v>Y</v>
      </c>
      <c r="F1379" s="13">
        <v>1378</v>
      </c>
    </row>
    <row r="1380" spans="1:6" x14ac:dyDescent="0.25">
      <c r="A1380" s="16">
        <v>42874</v>
      </c>
      <c r="B1380" s="13" t="s">
        <v>28</v>
      </c>
      <c r="C1380" s="13">
        <v>103</v>
      </c>
      <c r="D1380" s="13">
        <v>1704.75</v>
      </c>
      <c r="E1380" s="13" t="str">
        <f>IF(ISERROR(VLOOKUP(F1380,Magic!H:H,1,0)),IF(ISERROR(VLOOKUP(F1380,Magic!T:T,1,0)),"N","Y"),"Y")</f>
        <v>Y</v>
      </c>
      <c r="F1380" s="13">
        <v>1379</v>
      </c>
    </row>
    <row r="1381" spans="1:6" x14ac:dyDescent="0.25">
      <c r="A1381" s="16">
        <v>42875</v>
      </c>
      <c r="B1381" s="13" t="s">
        <v>28</v>
      </c>
      <c r="C1381" s="13">
        <v>103</v>
      </c>
      <c r="D1381" s="13">
        <v>686.3</v>
      </c>
      <c r="E1381" s="13" t="str">
        <f>IF(ISERROR(VLOOKUP(F1381,Magic!H:H,1,0)),IF(ISERROR(VLOOKUP(F1381,Magic!T:T,1,0)),"N","Y"),"Y")</f>
        <v>Y</v>
      </c>
      <c r="F1381" s="13">
        <v>1380</v>
      </c>
    </row>
    <row r="1382" spans="1:6" x14ac:dyDescent="0.25">
      <c r="A1382" s="16">
        <v>42877</v>
      </c>
      <c r="B1382" s="13" t="s">
        <v>29</v>
      </c>
      <c r="C1382" s="13">
        <v>35</v>
      </c>
      <c r="D1382" s="13">
        <v>605</v>
      </c>
      <c r="E1382" s="13" t="str">
        <f>IF(ISERROR(VLOOKUP(F1382,Magic!H:H,1,0)),IF(ISERROR(VLOOKUP(F1382,Magic!T:T,1,0)),"N","Y"),"Y")</f>
        <v>Y</v>
      </c>
      <c r="F1382" s="13">
        <v>1381</v>
      </c>
    </row>
    <row r="1383" spans="1:6" x14ac:dyDescent="0.25">
      <c r="A1383" s="16">
        <v>42877</v>
      </c>
      <c r="B1383" s="13" t="s">
        <v>82</v>
      </c>
      <c r="C1383" s="13">
        <v>35</v>
      </c>
      <c r="D1383" s="13">
        <v>605.9</v>
      </c>
      <c r="E1383" s="13" t="str">
        <f>IF(ISERROR(VLOOKUP(F1383,Magic!H:H,1,0)),IF(ISERROR(VLOOKUP(F1383,Magic!T:T,1,0)),"N","Y"),"Y")</f>
        <v>Y</v>
      </c>
      <c r="F1383" s="13">
        <v>1382</v>
      </c>
    </row>
    <row r="1384" spans="1:6" x14ac:dyDescent="0.25">
      <c r="A1384" s="16">
        <v>42877</v>
      </c>
      <c r="B1384" s="13" t="s">
        <v>82</v>
      </c>
      <c r="C1384" s="13">
        <v>35</v>
      </c>
      <c r="D1384" s="13">
        <v>339.7</v>
      </c>
      <c r="E1384" s="13" t="str">
        <f>IF(ISERROR(VLOOKUP(F1384,Magic!H:H,1,0)),IF(ISERROR(VLOOKUP(F1384,Magic!T:T,1,0)),"N","Y"),"Y")</f>
        <v>Y</v>
      </c>
      <c r="F1384" s="13">
        <v>1383</v>
      </c>
    </row>
    <row r="1385" spans="1:6" x14ac:dyDescent="0.25">
      <c r="A1385" s="16">
        <v>42877</v>
      </c>
      <c r="B1385" s="13" t="s">
        <v>57</v>
      </c>
      <c r="C1385" s="13">
        <v>35</v>
      </c>
      <c r="D1385" s="13">
        <v>2.5</v>
      </c>
      <c r="E1385" s="13" t="str">
        <f>IF(ISERROR(VLOOKUP(F1385,Magic!H:H,1,0)),IF(ISERROR(VLOOKUP(F1385,Magic!T:T,1,0)),"N","Y"),"Y")</f>
        <v>Y</v>
      </c>
      <c r="F1385" s="13">
        <v>1384</v>
      </c>
    </row>
    <row r="1386" spans="1:6" x14ac:dyDescent="0.25">
      <c r="A1386" s="16">
        <v>42877</v>
      </c>
      <c r="B1386" s="13" t="s">
        <v>31</v>
      </c>
      <c r="C1386" s="13">
        <v>37</v>
      </c>
      <c r="D1386" s="13">
        <v>255</v>
      </c>
      <c r="E1386" s="13" t="str">
        <f>IF(ISERROR(VLOOKUP(F1386,Magic!H:H,1,0)),IF(ISERROR(VLOOKUP(F1386,Magic!T:T,1,0)),"N","Y"),"Y")</f>
        <v>Y</v>
      </c>
      <c r="F1386" s="13">
        <v>1385</v>
      </c>
    </row>
    <row r="1387" spans="1:6" x14ac:dyDescent="0.25">
      <c r="A1387" s="16">
        <v>42877</v>
      </c>
      <c r="B1387" s="13" t="s">
        <v>31</v>
      </c>
      <c r="C1387" s="13">
        <v>37</v>
      </c>
      <c r="D1387" s="13">
        <v>406.75</v>
      </c>
      <c r="E1387" s="13" t="str">
        <f>IF(ISERROR(VLOOKUP(F1387,Magic!H:H,1,0)),IF(ISERROR(VLOOKUP(F1387,Magic!T:T,1,0)),"N","Y"),"Y")</f>
        <v>Y</v>
      </c>
      <c r="F1387" s="13">
        <v>1386</v>
      </c>
    </row>
    <row r="1388" spans="1:6" x14ac:dyDescent="0.25">
      <c r="A1388" s="16">
        <v>42877</v>
      </c>
      <c r="B1388" s="13" t="s">
        <v>31</v>
      </c>
      <c r="C1388" s="13">
        <v>37</v>
      </c>
      <c r="D1388" s="13">
        <v>523.04999999999995</v>
      </c>
      <c r="E1388" s="13" t="str">
        <f>IF(ISERROR(VLOOKUP(F1388,Magic!H:H,1,0)),IF(ISERROR(VLOOKUP(F1388,Magic!T:T,1,0)),"N","Y"),"Y")</f>
        <v>Y</v>
      </c>
      <c r="F1388" s="13">
        <v>1387</v>
      </c>
    </row>
    <row r="1389" spans="1:6" x14ac:dyDescent="0.25">
      <c r="A1389" s="16">
        <v>42877</v>
      </c>
      <c r="B1389" s="13" t="s">
        <v>81</v>
      </c>
      <c r="C1389" s="13">
        <v>41</v>
      </c>
      <c r="D1389" s="13">
        <v>342.8</v>
      </c>
      <c r="E1389" s="13" t="str">
        <f>IF(ISERROR(VLOOKUP(F1389,Magic!H:H,1,0)),IF(ISERROR(VLOOKUP(F1389,Magic!T:T,1,0)),"N","Y"),"Y")</f>
        <v>Y</v>
      </c>
      <c r="F1389" s="13">
        <v>1388</v>
      </c>
    </row>
    <row r="1390" spans="1:6" x14ac:dyDescent="0.25">
      <c r="A1390" s="16">
        <v>42877</v>
      </c>
      <c r="B1390" s="13" t="s">
        <v>81</v>
      </c>
      <c r="C1390" s="13">
        <v>41</v>
      </c>
      <c r="D1390" s="13">
        <v>409.55</v>
      </c>
      <c r="E1390" s="13" t="str">
        <f>IF(ISERROR(VLOOKUP(F1390,Magic!H:H,1,0)),IF(ISERROR(VLOOKUP(F1390,Magic!T:T,1,0)),"N","Y"),"Y")</f>
        <v>Y</v>
      </c>
      <c r="F1390" s="13">
        <v>1389</v>
      </c>
    </row>
    <row r="1391" spans="1:6" x14ac:dyDescent="0.25">
      <c r="A1391" s="16">
        <v>42877</v>
      </c>
      <c r="B1391" s="13" t="s">
        <v>81</v>
      </c>
      <c r="C1391" s="13">
        <v>41</v>
      </c>
      <c r="D1391" s="13">
        <v>523.65</v>
      </c>
      <c r="E1391" s="13" t="str">
        <f>IF(ISERROR(VLOOKUP(F1391,Magic!H:H,1,0)),IF(ISERROR(VLOOKUP(F1391,Magic!T:T,1,0)),"N","Y"),"Y")</f>
        <v>Y</v>
      </c>
      <c r="F1391" s="13">
        <v>1390</v>
      </c>
    </row>
    <row r="1392" spans="1:6" x14ac:dyDescent="0.25">
      <c r="A1392" s="16">
        <v>42877</v>
      </c>
      <c r="B1392" s="13" t="s">
        <v>24</v>
      </c>
      <c r="C1392" s="13">
        <v>43</v>
      </c>
      <c r="D1392" s="13">
        <v>1189.6500000000001</v>
      </c>
      <c r="E1392" s="13" t="str">
        <f>IF(ISERROR(VLOOKUP(F1392,Magic!H:H,1,0)),IF(ISERROR(VLOOKUP(F1392,Magic!T:T,1,0)),"N","Y"),"Y")</f>
        <v>Y</v>
      </c>
      <c r="F1392" s="13">
        <v>1391</v>
      </c>
    </row>
    <row r="1393" spans="1:6" x14ac:dyDescent="0.25">
      <c r="A1393" s="16">
        <v>42877</v>
      </c>
      <c r="B1393" s="13" t="s">
        <v>24</v>
      </c>
      <c r="C1393" s="13">
        <v>43</v>
      </c>
      <c r="D1393" s="13">
        <v>839.65</v>
      </c>
      <c r="E1393" s="13" t="str">
        <f>IF(ISERROR(VLOOKUP(F1393,Magic!H:H,1,0)),IF(ISERROR(VLOOKUP(F1393,Magic!T:T,1,0)),"N","Y"),"Y")</f>
        <v>Y</v>
      </c>
      <c r="F1393" s="13">
        <v>1392</v>
      </c>
    </row>
    <row r="1394" spans="1:6" x14ac:dyDescent="0.25">
      <c r="A1394" s="16">
        <v>42877</v>
      </c>
      <c r="B1394" s="13" t="s">
        <v>24</v>
      </c>
      <c r="C1394" s="13">
        <v>43</v>
      </c>
      <c r="D1394" s="13">
        <v>974.85</v>
      </c>
      <c r="E1394" s="13" t="str">
        <f>IF(ISERROR(VLOOKUP(F1394,Magic!H:H,1,0)),IF(ISERROR(VLOOKUP(F1394,Magic!T:T,1,0)),"N","Y"),"Y")</f>
        <v>Y</v>
      </c>
      <c r="F1394" s="13">
        <v>1393</v>
      </c>
    </row>
    <row r="1395" spans="1:6" x14ac:dyDescent="0.25">
      <c r="A1395" s="16">
        <v>42877</v>
      </c>
      <c r="B1395" s="13" t="s">
        <v>25</v>
      </c>
      <c r="C1395" s="13">
        <v>44</v>
      </c>
      <c r="D1395" s="13">
        <v>273.75</v>
      </c>
      <c r="E1395" s="13" t="str">
        <f>IF(ISERROR(VLOOKUP(F1395,Magic!H:H,1,0)),IF(ISERROR(VLOOKUP(F1395,Magic!T:T,1,0)),"N","Y"),"Y")</f>
        <v>Y</v>
      </c>
      <c r="F1395" s="13">
        <v>1394</v>
      </c>
    </row>
    <row r="1396" spans="1:6" x14ac:dyDescent="0.25">
      <c r="A1396" s="16">
        <v>42877</v>
      </c>
      <c r="B1396" s="13" t="s">
        <v>25</v>
      </c>
      <c r="C1396" s="13">
        <v>44</v>
      </c>
      <c r="D1396" s="13">
        <v>153.80000000000001</v>
      </c>
      <c r="E1396" s="13" t="str">
        <f>IF(ISERROR(VLOOKUP(F1396,Magic!H:H,1,0)),IF(ISERROR(VLOOKUP(F1396,Magic!T:T,1,0)),"N","Y"),"Y")</f>
        <v>Y</v>
      </c>
      <c r="F1396" s="13">
        <v>1395</v>
      </c>
    </row>
    <row r="1397" spans="1:6" x14ac:dyDescent="0.25">
      <c r="A1397" s="16">
        <v>42877</v>
      </c>
      <c r="B1397" s="13" t="s">
        <v>25</v>
      </c>
      <c r="C1397" s="13">
        <v>44</v>
      </c>
      <c r="D1397" s="13">
        <v>455.1</v>
      </c>
      <c r="E1397" s="13" t="str">
        <f>IF(ISERROR(VLOOKUP(F1397,Magic!H:H,1,0)),IF(ISERROR(VLOOKUP(F1397,Magic!T:T,1,0)),"N","Y"),"Y")</f>
        <v>Y</v>
      </c>
      <c r="F1397" s="13">
        <v>1396</v>
      </c>
    </row>
    <row r="1398" spans="1:6" x14ac:dyDescent="0.25">
      <c r="A1398" s="16">
        <v>42877</v>
      </c>
      <c r="B1398" s="13" t="s">
        <v>25</v>
      </c>
      <c r="C1398" s="13">
        <v>44</v>
      </c>
      <c r="D1398" s="13">
        <v>219.45</v>
      </c>
      <c r="E1398" s="13" t="str">
        <f>IF(ISERROR(VLOOKUP(F1398,Magic!H:H,1,0)),IF(ISERROR(VLOOKUP(F1398,Magic!T:T,1,0)),"N","Y"),"Y")</f>
        <v>Y</v>
      </c>
      <c r="F1398" s="13">
        <v>1397</v>
      </c>
    </row>
    <row r="1399" spans="1:6" x14ac:dyDescent="0.25">
      <c r="A1399" s="16">
        <v>42877</v>
      </c>
      <c r="B1399" s="13" t="s">
        <v>28</v>
      </c>
      <c r="C1399" s="13">
        <v>103</v>
      </c>
      <c r="D1399" s="13">
        <v>447.9</v>
      </c>
      <c r="E1399" s="13" t="str">
        <f>IF(ISERROR(VLOOKUP(F1399,Magic!H:H,1,0)),IF(ISERROR(VLOOKUP(F1399,Magic!T:T,1,0)),"N","Y"),"Y")</f>
        <v>Y</v>
      </c>
      <c r="F1399" s="13">
        <v>1398</v>
      </c>
    </row>
    <row r="1400" spans="1:6" x14ac:dyDescent="0.25">
      <c r="A1400" s="16">
        <v>42877</v>
      </c>
      <c r="B1400" s="13" t="s">
        <v>611</v>
      </c>
      <c r="C1400" s="13">
        <v>201</v>
      </c>
      <c r="D1400" s="13">
        <v>837.7</v>
      </c>
      <c r="E1400" s="13" t="str">
        <f>IF(ISERROR(VLOOKUP(F1400,Magic!H:H,1,0)),IF(ISERROR(VLOOKUP(F1400,Magic!T:T,1,0)),"N","Y"),"Y")</f>
        <v>Y</v>
      </c>
      <c r="F1400" s="13">
        <v>1399</v>
      </c>
    </row>
    <row r="1401" spans="1:6" x14ac:dyDescent="0.25">
      <c r="A1401" s="1">
        <v>42877</v>
      </c>
      <c r="B1401" t="s">
        <v>611</v>
      </c>
      <c r="C1401">
        <v>201</v>
      </c>
      <c r="D1401">
        <v>599.9</v>
      </c>
      <c r="E1401" t="str">
        <f>IF(ISERROR(VLOOKUP(F1401,Magic!H:H,1,0)),IF(ISERROR(VLOOKUP(F1401,Magic!T:T,1,0)),"N","Y"),"Y")</f>
        <v>N</v>
      </c>
      <c r="F1401">
        <v>1400</v>
      </c>
    </row>
    <row r="1402" spans="1:6" x14ac:dyDescent="0.25">
      <c r="A1402" s="16">
        <v>42877</v>
      </c>
      <c r="B1402" s="13" t="s">
        <v>611</v>
      </c>
      <c r="C1402" s="13">
        <v>201</v>
      </c>
      <c r="D1402" s="13">
        <v>517.65</v>
      </c>
      <c r="E1402" s="13" t="str">
        <f>IF(ISERROR(VLOOKUP(F1402,Magic!H:H,1,0)),IF(ISERROR(VLOOKUP(F1402,Magic!T:T,1,0)),"N","Y"),"Y")</f>
        <v>Y</v>
      </c>
      <c r="F1402" s="13">
        <v>1401</v>
      </c>
    </row>
    <row r="1403" spans="1:6" x14ac:dyDescent="0.25">
      <c r="A1403" s="16">
        <v>42877</v>
      </c>
      <c r="B1403" s="13" t="s">
        <v>611</v>
      </c>
      <c r="C1403" s="13">
        <v>201</v>
      </c>
      <c r="D1403" s="13">
        <v>384.95</v>
      </c>
      <c r="E1403" s="13" t="str">
        <f>IF(ISERROR(VLOOKUP(F1403,Magic!H:H,1,0)),IF(ISERROR(VLOOKUP(F1403,Magic!T:T,1,0)),"N","Y"),"Y")</f>
        <v>Y</v>
      </c>
      <c r="F1403" s="13">
        <v>1402</v>
      </c>
    </row>
    <row r="1404" spans="1:6" x14ac:dyDescent="0.25">
      <c r="A1404" s="16">
        <v>42879</v>
      </c>
      <c r="B1404" s="13" t="s">
        <v>113</v>
      </c>
      <c r="C1404" s="13">
        <v>103</v>
      </c>
      <c r="D1404" s="13">
        <v>50</v>
      </c>
      <c r="E1404" s="13" t="str">
        <f>IF(ISERROR(VLOOKUP(F1404,Magic!H:H,1,0)),IF(ISERROR(VLOOKUP(F1404,Magic!T:T,1,0)),"N","Y"),"Y")</f>
        <v>Y</v>
      </c>
      <c r="F1404" s="13">
        <v>1403</v>
      </c>
    </row>
    <row r="1405" spans="1:6" x14ac:dyDescent="0.25">
      <c r="A1405" s="16">
        <v>42878</v>
      </c>
      <c r="B1405" s="13" t="s">
        <v>29</v>
      </c>
      <c r="C1405" s="13">
        <v>35</v>
      </c>
      <c r="D1405" s="13">
        <v>310</v>
      </c>
      <c r="E1405" s="13" t="str">
        <f>IF(ISERROR(VLOOKUP(F1405,Magic!H:H,1,0)),IF(ISERROR(VLOOKUP(F1405,Magic!T:T,1,0)),"N","Y"),"Y")</f>
        <v>Y</v>
      </c>
      <c r="F1405" s="13">
        <v>1404</v>
      </c>
    </row>
    <row r="1406" spans="1:6" x14ac:dyDescent="0.25">
      <c r="A1406" s="16">
        <v>42878</v>
      </c>
      <c r="B1406" s="13" t="s">
        <v>82</v>
      </c>
      <c r="C1406" s="13">
        <v>35</v>
      </c>
      <c r="D1406" s="13">
        <v>3.75</v>
      </c>
      <c r="E1406" s="13" t="str">
        <f>IF(ISERROR(VLOOKUP(F1406,Magic!H:H,1,0)),IF(ISERROR(VLOOKUP(F1406,Magic!T:T,1,0)),"N","Y"),"Y")</f>
        <v>Y</v>
      </c>
      <c r="F1406" s="13">
        <v>1405</v>
      </c>
    </row>
    <row r="1407" spans="1:6" x14ac:dyDescent="0.25">
      <c r="A1407" s="16">
        <v>42878</v>
      </c>
      <c r="B1407" s="13" t="s">
        <v>31</v>
      </c>
      <c r="C1407" s="13">
        <v>37</v>
      </c>
      <c r="D1407" s="13">
        <v>190.35</v>
      </c>
      <c r="E1407" s="13" t="str">
        <f>IF(ISERROR(VLOOKUP(F1407,Magic!H:H,1,0)),IF(ISERROR(VLOOKUP(F1407,Magic!T:T,1,0)),"N","Y"),"Y")</f>
        <v>Y</v>
      </c>
      <c r="F1407" s="13">
        <v>1406</v>
      </c>
    </row>
    <row r="1408" spans="1:6" x14ac:dyDescent="0.25">
      <c r="A1408" s="16">
        <v>42878</v>
      </c>
      <c r="B1408" s="13" t="s">
        <v>1347</v>
      </c>
      <c r="C1408" s="13">
        <v>41</v>
      </c>
      <c r="D1408" s="13">
        <v>319.85000000000002</v>
      </c>
      <c r="E1408" s="13" t="str">
        <f>IF(ISERROR(VLOOKUP(F1408,Magic!H:H,1,0)),IF(ISERROR(VLOOKUP(F1408,Magic!T:T,1,0)),"N","Y"),"Y")</f>
        <v>Y</v>
      </c>
      <c r="F1408" s="13">
        <v>1407</v>
      </c>
    </row>
    <row r="1409" spans="1:6" x14ac:dyDescent="0.25">
      <c r="A1409" s="16">
        <v>42878</v>
      </c>
      <c r="B1409" s="13" t="s">
        <v>24</v>
      </c>
      <c r="C1409" s="13">
        <v>43</v>
      </c>
      <c r="D1409" s="13">
        <v>709.85</v>
      </c>
      <c r="E1409" s="13" t="str">
        <f>IF(ISERROR(VLOOKUP(F1409,Magic!H:H,1,0)),IF(ISERROR(VLOOKUP(F1409,Magic!T:T,1,0)),"N","Y"),"Y")</f>
        <v>Y</v>
      </c>
      <c r="F1409" s="13">
        <v>1408</v>
      </c>
    </row>
    <row r="1410" spans="1:6" x14ac:dyDescent="0.25">
      <c r="A1410" s="16">
        <v>42878</v>
      </c>
      <c r="B1410" s="13" t="s">
        <v>28</v>
      </c>
      <c r="C1410" s="13">
        <v>103</v>
      </c>
      <c r="D1410" s="13">
        <v>566.9</v>
      </c>
      <c r="E1410" s="13" t="str">
        <f>IF(ISERROR(VLOOKUP(F1410,Magic!H:H,1,0)),IF(ISERROR(VLOOKUP(F1410,Magic!T:T,1,0)),"N","Y"),"Y")</f>
        <v>Y</v>
      </c>
      <c r="F1410" s="13">
        <v>1409</v>
      </c>
    </row>
    <row r="1411" spans="1:6" x14ac:dyDescent="0.25">
      <c r="A1411" s="16">
        <v>42878</v>
      </c>
      <c r="B1411" s="13" t="s">
        <v>611</v>
      </c>
      <c r="C1411" s="13">
        <v>201</v>
      </c>
      <c r="D1411" s="13">
        <v>282.75</v>
      </c>
      <c r="E1411" s="13" t="str">
        <f>IF(ISERROR(VLOOKUP(F1411,Magic!H:H,1,0)),IF(ISERROR(VLOOKUP(F1411,Magic!T:T,1,0)),"N","Y"),"Y")</f>
        <v>Y</v>
      </c>
      <c r="F1411" s="13">
        <v>1410</v>
      </c>
    </row>
    <row r="1412" spans="1:6" x14ac:dyDescent="0.25">
      <c r="A1412" s="16">
        <v>42879</v>
      </c>
      <c r="B1412" s="13" t="s">
        <v>31</v>
      </c>
      <c r="C1412" s="13">
        <v>37</v>
      </c>
      <c r="D1412" s="13">
        <v>145.5</v>
      </c>
      <c r="E1412" s="13" t="str">
        <f>IF(ISERROR(VLOOKUP(F1412,Magic!H:H,1,0)),IF(ISERROR(VLOOKUP(F1412,Magic!T:T,1,0)),"N","Y"),"Y")</f>
        <v>Y</v>
      </c>
      <c r="F1412" s="13">
        <v>1411</v>
      </c>
    </row>
    <row r="1413" spans="1:6" x14ac:dyDescent="0.25">
      <c r="A1413" s="16">
        <v>42879</v>
      </c>
      <c r="B1413" s="13" t="s">
        <v>25</v>
      </c>
      <c r="C1413" s="13">
        <v>44</v>
      </c>
      <c r="D1413" s="13">
        <v>285.85000000000002</v>
      </c>
      <c r="E1413" s="13" t="str">
        <f>IF(ISERROR(VLOOKUP(F1413,Magic!H:H,1,0)),IF(ISERROR(VLOOKUP(F1413,Magic!T:T,1,0)),"N","Y"),"Y")</f>
        <v>Y</v>
      </c>
      <c r="F1413" s="13">
        <v>1412</v>
      </c>
    </row>
    <row r="1414" spans="1:6" x14ac:dyDescent="0.25">
      <c r="A1414" s="16">
        <v>42879</v>
      </c>
      <c r="B1414" s="13" t="s">
        <v>25</v>
      </c>
      <c r="C1414" s="13">
        <v>44</v>
      </c>
      <c r="D1414" s="13">
        <v>229.7</v>
      </c>
      <c r="E1414" s="13" t="str">
        <f>IF(ISERROR(VLOOKUP(F1414,Magic!H:H,1,0)),IF(ISERROR(VLOOKUP(F1414,Magic!T:T,1,0)),"N","Y"),"Y")</f>
        <v>Y</v>
      </c>
      <c r="F1414" s="13">
        <v>1413</v>
      </c>
    </row>
    <row r="1415" spans="1:6" x14ac:dyDescent="0.25">
      <c r="A1415" s="16">
        <v>42879</v>
      </c>
      <c r="B1415" s="13" t="s">
        <v>28</v>
      </c>
      <c r="C1415" s="13">
        <v>103</v>
      </c>
      <c r="D1415" s="13">
        <v>990.75</v>
      </c>
      <c r="E1415" s="13" t="str">
        <f>IF(ISERROR(VLOOKUP(F1415,Magic!H:H,1,0)),IF(ISERROR(VLOOKUP(F1415,Magic!T:T,1,0)),"N","Y"),"Y")</f>
        <v>Y</v>
      </c>
      <c r="F1415" s="13">
        <v>1414</v>
      </c>
    </row>
    <row r="1416" spans="1:6" x14ac:dyDescent="0.25">
      <c r="A1416" s="16">
        <v>42879</v>
      </c>
      <c r="B1416" s="13" t="s">
        <v>611</v>
      </c>
      <c r="C1416" s="13">
        <v>201</v>
      </c>
      <c r="D1416" s="13">
        <v>250</v>
      </c>
      <c r="E1416" s="13" t="str">
        <f>IF(ISERROR(VLOOKUP(F1416,Magic!H:H,1,0)),IF(ISERROR(VLOOKUP(F1416,Magic!T:T,1,0)),"N","Y"),"Y")</f>
        <v>Y</v>
      </c>
      <c r="F1416" s="13">
        <v>1415</v>
      </c>
    </row>
    <row r="1417" spans="1:6" x14ac:dyDescent="0.25">
      <c r="A1417" s="16">
        <v>42879</v>
      </c>
      <c r="B1417" s="13" t="s">
        <v>394</v>
      </c>
      <c r="C1417" s="13">
        <v>43</v>
      </c>
      <c r="D1417" s="13">
        <v>555.04999999999995</v>
      </c>
      <c r="E1417" s="13" t="str">
        <f>IF(ISERROR(VLOOKUP(F1417,Magic!H:H,1,0)),IF(ISERROR(VLOOKUP(F1417,Magic!T:T,1,0)),"N","Y"),"Y")</f>
        <v>Y</v>
      </c>
      <c r="F1417" s="13">
        <v>1416</v>
      </c>
    </row>
    <row r="1418" spans="1:6" x14ac:dyDescent="0.25">
      <c r="A1418" s="16">
        <v>42880</v>
      </c>
      <c r="B1418" s="13" t="s">
        <v>29</v>
      </c>
      <c r="C1418" s="13">
        <v>35</v>
      </c>
      <c r="D1418" s="13">
        <v>1320</v>
      </c>
      <c r="E1418" s="13" t="str">
        <f>IF(ISERROR(VLOOKUP(F1418,Magic!H:H,1,0)),IF(ISERROR(VLOOKUP(F1418,Magic!T:T,1,0)),"N","Y"),"Y")</f>
        <v>Y</v>
      </c>
      <c r="F1418" s="13">
        <v>1417</v>
      </c>
    </row>
    <row r="1419" spans="1:6" x14ac:dyDescent="0.25">
      <c r="A1419" s="16">
        <v>42880</v>
      </c>
      <c r="B1419" s="13" t="s">
        <v>82</v>
      </c>
      <c r="C1419" s="13">
        <v>35</v>
      </c>
      <c r="D1419" s="13">
        <v>769.85</v>
      </c>
      <c r="E1419" s="13" t="str">
        <f>IF(ISERROR(VLOOKUP(F1419,Magic!H:H,1,0)),IF(ISERROR(VLOOKUP(F1419,Magic!T:T,1,0)),"N","Y"),"Y")</f>
        <v>Y</v>
      </c>
      <c r="F1419" s="13">
        <v>1418</v>
      </c>
    </row>
    <row r="1420" spans="1:6" x14ac:dyDescent="0.25">
      <c r="A1420" s="16">
        <v>42880</v>
      </c>
      <c r="B1420" s="13" t="s">
        <v>31</v>
      </c>
      <c r="C1420" s="13">
        <v>37</v>
      </c>
      <c r="D1420" s="13">
        <v>354.8</v>
      </c>
      <c r="E1420" s="13" t="str">
        <f>IF(ISERROR(VLOOKUP(F1420,Magic!H:H,1,0)),IF(ISERROR(VLOOKUP(F1420,Magic!T:T,1,0)),"N","Y"),"Y")</f>
        <v>Y</v>
      </c>
      <c r="F1420" s="13">
        <v>1419</v>
      </c>
    </row>
    <row r="1421" spans="1:6" x14ac:dyDescent="0.25">
      <c r="A1421" s="1">
        <v>42880</v>
      </c>
      <c r="B1421" t="s">
        <v>81</v>
      </c>
      <c r="C1421">
        <v>41</v>
      </c>
      <c r="D1421">
        <v>362.75</v>
      </c>
      <c r="E1421" t="str">
        <f>IF(ISERROR(VLOOKUP(F1421,Magic!H:H,1,0)),IF(ISERROR(VLOOKUP(F1421,Magic!T:T,1,0)),"N","Y"),"Y")</f>
        <v>N</v>
      </c>
      <c r="F1421">
        <v>1420</v>
      </c>
    </row>
    <row r="1422" spans="1:6" x14ac:dyDescent="0.25">
      <c r="A1422" s="16">
        <v>42880</v>
      </c>
      <c r="B1422" s="13" t="s">
        <v>81</v>
      </c>
      <c r="C1422" s="13">
        <v>41</v>
      </c>
      <c r="D1422" s="13">
        <v>347.8</v>
      </c>
      <c r="E1422" s="13" t="str">
        <f>IF(ISERROR(VLOOKUP(F1422,Magic!H:H,1,0)),IF(ISERROR(VLOOKUP(F1422,Magic!T:T,1,0)),"N","Y"),"Y")</f>
        <v>Y</v>
      </c>
      <c r="F1422" s="13">
        <v>1421</v>
      </c>
    </row>
    <row r="1423" spans="1:6" x14ac:dyDescent="0.25">
      <c r="A1423" s="16">
        <v>42880</v>
      </c>
      <c r="B1423" s="13" t="s">
        <v>819</v>
      </c>
      <c r="C1423" s="13">
        <v>43</v>
      </c>
      <c r="D1423" s="13">
        <v>945</v>
      </c>
      <c r="E1423" s="13" t="str">
        <f>IF(ISERROR(VLOOKUP(F1423,Magic!H:H,1,0)),IF(ISERROR(VLOOKUP(F1423,Magic!T:T,1,0)),"N","Y"),"Y")</f>
        <v>Y</v>
      </c>
      <c r="F1423" s="13">
        <v>1422</v>
      </c>
    </row>
    <row r="1424" spans="1:6" x14ac:dyDescent="0.25">
      <c r="A1424" s="16">
        <v>42880</v>
      </c>
      <c r="B1424" s="13" t="s">
        <v>25</v>
      </c>
      <c r="C1424" s="13">
        <v>44</v>
      </c>
      <c r="D1424" s="13">
        <v>203</v>
      </c>
      <c r="E1424" s="13" t="str">
        <f>IF(ISERROR(VLOOKUP(F1424,Magic!H:H,1,0)),IF(ISERROR(VLOOKUP(F1424,Magic!T:T,1,0)),"N","Y"),"Y")</f>
        <v>Y</v>
      </c>
      <c r="F1424" s="13">
        <v>1423</v>
      </c>
    </row>
    <row r="1425" spans="1:6" x14ac:dyDescent="0.25">
      <c r="A1425" s="16">
        <v>42880</v>
      </c>
      <c r="B1425" s="13" t="s">
        <v>28</v>
      </c>
      <c r="C1425" s="13">
        <v>103</v>
      </c>
      <c r="D1425" s="13">
        <v>1022.85</v>
      </c>
      <c r="E1425" s="13" t="str">
        <f>IF(ISERROR(VLOOKUP(F1425,Magic!H:H,1,0)),IF(ISERROR(VLOOKUP(F1425,Magic!T:T,1,0)),"N","Y"),"Y")</f>
        <v>Y</v>
      </c>
      <c r="F1425" s="13">
        <v>1424</v>
      </c>
    </row>
    <row r="1426" spans="1:6" x14ac:dyDescent="0.25">
      <c r="A1426" s="16">
        <v>42880</v>
      </c>
      <c r="B1426" s="13" t="s">
        <v>611</v>
      </c>
      <c r="C1426" s="13">
        <v>201</v>
      </c>
      <c r="D1426" s="13">
        <v>465.9</v>
      </c>
      <c r="E1426" s="13" t="str">
        <f>IF(ISERROR(VLOOKUP(F1426,Magic!H:H,1,0)),IF(ISERROR(VLOOKUP(F1426,Magic!T:T,1,0)),"N","Y"),"Y")</f>
        <v>Y</v>
      </c>
      <c r="F1426" s="13">
        <v>1425</v>
      </c>
    </row>
    <row r="1427" spans="1:6" x14ac:dyDescent="0.25">
      <c r="A1427" s="16">
        <v>42881</v>
      </c>
      <c r="B1427" s="13" t="s">
        <v>29</v>
      </c>
      <c r="C1427" s="13">
        <v>35</v>
      </c>
      <c r="D1427" s="13">
        <v>1500</v>
      </c>
      <c r="E1427" s="13" t="str">
        <f>IF(ISERROR(VLOOKUP(F1427,Magic!H:H,1,0)),IF(ISERROR(VLOOKUP(F1427,Magic!T:T,1,0)),"N","Y"),"Y")</f>
        <v>Y</v>
      </c>
      <c r="F1427" s="13">
        <v>1426</v>
      </c>
    </row>
    <row r="1428" spans="1:6" x14ac:dyDescent="0.25">
      <c r="A1428" s="16">
        <v>42881</v>
      </c>
      <c r="B1428" s="13" t="s">
        <v>82</v>
      </c>
      <c r="C1428" s="13">
        <v>35</v>
      </c>
      <c r="D1428" s="13">
        <v>2.5499999999999998</v>
      </c>
      <c r="E1428" s="13" t="str">
        <f>IF(ISERROR(VLOOKUP(F1428,Magic!H:H,1,0)),IF(ISERROR(VLOOKUP(F1428,Magic!T:T,1,0)),"N","Y"),"Y")</f>
        <v>Y</v>
      </c>
      <c r="F1428" s="13">
        <v>1427</v>
      </c>
    </row>
    <row r="1429" spans="1:6" x14ac:dyDescent="0.25">
      <c r="A1429" s="16">
        <v>42881</v>
      </c>
      <c r="B1429" s="13" t="s">
        <v>31</v>
      </c>
      <c r="C1429" s="13">
        <v>37</v>
      </c>
      <c r="D1429" s="13">
        <v>839.15</v>
      </c>
      <c r="E1429" s="13" t="str">
        <f>IF(ISERROR(VLOOKUP(F1429,Magic!H:H,1,0)),IF(ISERROR(VLOOKUP(F1429,Magic!T:T,1,0)),"N","Y"),"Y")</f>
        <v>Y</v>
      </c>
      <c r="F1429" s="13">
        <v>1428</v>
      </c>
    </row>
    <row r="1430" spans="1:6" x14ac:dyDescent="0.25">
      <c r="A1430" s="16">
        <v>42881</v>
      </c>
      <c r="B1430" s="13" t="s">
        <v>81</v>
      </c>
      <c r="C1430" s="13">
        <v>41</v>
      </c>
      <c r="D1430" s="13">
        <v>765.5</v>
      </c>
      <c r="E1430" s="13" t="str">
        <f>IF(ISERROR(VLOOKUP(F1430,Magic!H:H,1,0)),IF(ISERROR(VLOOKUP(F1430,Magic!T:T,1,0)),"N","Y"),"Y")</f>
        <v>Y</v>
      </c>
      <c r="F1430" s="13">
        <v>1429</v>
      </c>
    </row>
    <row r="1431" spans="1:6" x14ac:dyDescent="0.25">
      <c r="A1431" s="16">
        <v>42881</v>
      </c>
      <c r="B1431" s="13" t="s">
        <v>24</v>
      </c>
      <c r="C1431" s="13">
        <v>43</v>
      </c>
      <c r="D1431" s="13">
        <v>1287.5</v>
      </c>
      <c r="E1431" s="13" t="str">
        <f>IF(ISERROR(VLOOKUP(F1431,Magic!H:H,1,0)),IF(ISERROR(VLOOKUP(F1431,Magic!T:T,1,0)),"N","Y"),"Y")</f>
        <v>Y</v>
      </c>
      <c r="F1431" s="13">
        <v>1430</v>
      </c>
    </row>
    <row r="1432" spans="1:6" x14ac:dyDescent="0.25">
      <c r="A1432" s="16">
        <v>42881</v>
      </c>
      <c r="B1432" s="13" t="s">
        <v>25</v>
      </c>
      <c r="C1432" s="13">
        <v>44</v>
      </c>
      <c r="D1432" s="13">
        <v>401.7</v>
      </c>
      <c r="E1432" s="13" t="str">
        <f>IF(ISERROR(VLOOKUP(F1432,Magic!H:H,1,0)),IF(ISERROR(VLOOKUP(F1432,Magic!T:T,1,0)),"N","Y"),"Y")</f>
        <v>Y</v>
      </c>
      <c r="F1432" s="13">
        <v>1431</v>
      </c>
    </row>
    <row r="1433" spans="1:6" x14ac:dyDescent="0.25">
      <c r="A1433" s="16">
        <v>42881</v>
      </c>
      <c r="B1433" s="13" t="s">
        <v>28</v>
      </c>
      <c r="C1433" s="13">
        <v>103</v>
      </c>
      <c r="D1433" s="13">
        <v>1156.55</v>
      </c>
      <c r="E1433" s="13" t="str">
        <f>IF(ISERROR(VLOOKUP(F1433,Magic!H:H,1,0)),IF(ISERROR(VLOOKUP(F1433,Magic!T:T,1,0)),"N","Y"),"Y")</f>
        <v>Y</v>
      </c>
      <c r="F1433" s="13">
        <v>1432</v>
      </c>
    </row>
    <row r="1434" spans="1:6" x14ac:dyDescent="0.25">
      <c r="A1434" s="16">
        <v>42885</v>
      </c>
      <c r="B1434" s="13" t="s">
        <v>29</v>
      </c>
      <c r="C1434" s="13">
        <v>35</v>
      </c>
      <c r="D1434" s="13">
        <v>1000</v>
      </c>
      <c r="E1434" s="13" t="str">
        <f>IF(ISERROR(VLOOKUP(F1434,Magic!H:H,1,0)),IF(ISERROR(VLOOKUP(F1434,Magic!T:T,1,0)),"N","Y"),"Y")</f>
        <v>Y</v>
      </c>
      <c r="F1434" s="13">
        <v>1433</v>
      </c>
    </row>
    <row r="1435" spans="1:6" x14ac:dyDescent="0.25">
      <c r="A1435" s="16">
        <v>42884</v>
      </c>
      <c r="B1435" s="13" t="s">
        <v>29</v>
      </c>
      <c r="C1435" s="13">
        <v>35</v>
      </c>
      <c r="D1435" s="13">
        <v>1520</v>
      </c>
      <c r="E1435" s="13" t="str">
        <f>IF(ISERROR(VLOOKUP(F1435,Magic!H:H,1,0)),IF(ISERROR(VLOOKUP(F1435,Magic!T:T,1,0)),"N","Y"),"Y")</f>
        <v>Y</v>
      </c>
      <c r="F1435" s="13">
        <v>1434</v>
      </c>
    </row>
    <row r="1436" spans="1:6" x14ac:dyDescent="0.25">
      <c r="A1436" s="16">
        <v>42884</v>
      </c>
      <c r="B1436" s="13" t="s">
        <v>82</v>
      </c>
      <c r="C1436" s="13">
        <v>35</v>
      </c>
      <c r="D1436" s="13">
        <v>781.35</v>
      </c>
      <c r="E1436" s="13" t="str">
        <f>IF(ISERROR(VLOOKUP(F1436,Magic!H:H,1,0)),IF(ISERROR(VLOOKUP(F1436,Magic!T:T,1,0)),"N","Y"),"Y")</f>
        <v>Y</v>
      </c>
      <c r="F1436" s="13">
        <v>1435</v>
      </c>
    </row>
    <row r="1437" spans="1:6" x14ac:dyDescent="0.25">
      <c r="A1437" s="16">
        <v>42884</v>
      </c>
      <c r="B1437" s="13" t="s">
        <v>82</v>
      </c>
      <c r="C1437" s="13">
        <v>35</v>
      </c>
      <c r="D1437" s="13">
        <v>1332.1</v>
      </c>
      <c r="E1437" s="13" t="str">
        <f>IF(ISERROR(VLOOKUP(F1437,Magic!H:H,1,0)),IF(ISERROR(VLOOKUP(F1437,Magic!T:T,1,0)),"N","Y"),"Y")</f>
        <v>Y</v>
      </c>
      <c r="F1437" s="13">
        <v>1436</v>
      </c>
    </row>
    <row r="1438" spans="1:6" x14ac:dyDescent="0.25">
      <c r="A1438" s="16">
        <v>42884</v>
      </c>
      <c r="B1438" s="13" t="s">
        <v>82</v>
      </c>
      <c r="C1438" s="13">
        <v>35</v>
      </c>
      <c r="D1438" s="13">
        <v>9.9499999999999993</v>
      </c>
      <c r="E1438" s="13" t="str">
        <f>IF(ISERROR(VLOOKUP(F1438,Magic!H:H,1,0)),IF(ISERROR(VLOOKUP(F1438,Magic!T:T,1,0)),"N","Y"),"Y")</f>
        <v>Y</v>
      </c>
      <c r="F1438" s="13">
        <v>1437</v>
      </c>
    </row>
    <row r="1439" spans="1:6" x14ac:dyDescent="0.25">
      <c r="A1439" s="16">
        <v>42884</v>
      </c>
      <c r="B1439" s="13" t="s">
        <v>146</v>
      </c>
      <c r="C1439" s="13">
        <v>37</v>
      </c>
      <c r="D1439" s="13">
        <v>421.45</v>
      </c>
      <c r="E1439" s="13" t="str">
        <f>IF(ISERROR(VLOOKUP(F1439,Magic!H:H,1,0)),IF(ISERROR(VLOOKUP(F1439,Magic!T:T,1,0)),"N","Y"),"Y")</f>
        <v>Y</v>
      </c>
      <c r="F1439" s="13">
        <v>1438</v>
      </c>
    </row>
    <row r="1440" spans="1:6" x14ac:dyDescent="0.25">
      <c r="A1440" s="16">
        <v>42884</v>
      </c>
      <c r="B1440" s="13" t="s">
        <v>146</v>
      </c>
      <c r="C1440" s="13">
        <v>37</v>
      </c>
      <c r="D1440" s="13">
        <v>516.35</v>
      </c>
      <c r="E1440" s="13" t="str">
        <f>IF(ISERROR(VLOOKUP(F1440,Magic!H:H,1,0)),IF(ISERROR(VLOOKUP(F1440,Magic!T:T,1,0)),"N","Y"),"Y")</f>
        <v>Y</v>
      </c>
      <c r="F1440" s="13">
        <v>1439</v>
      </c>
    </row>
    <row r="1441" spans="1:6" x14ac:dyDescent="0.25">
      <c r="A1441" s="16">
        <v>42884</v>
      </c>
      <c r="B1441" s="13" t="s">
        <v>146</v>
      </c>
      <c r="C1441" s="13">
        <v>37</v>
      </c>
      <c r="D1441" s="13">
        <v>1244.75</v>
      </c>
      <c r="E1441" s="13" t="str">
        <f>IF(ISERROR(VLOOKUP(F1441,Magic!H:H,1,0)),IF(ISERROR(VLOOKUP(F1441,Magic!T:T,1,0)),"N","Y"),"Y")</f>
        <v>Y</v>
      </c>
      <c r="F1441" s="13">
        <v>1440</v>
      </c>
    </row>
    <row r="1442" spans="1:6" x14ac:dyDescent="0.25">
      <c r="A1442" s="16">
        <v>42884</v>
      </c>
      <c r="B1442" s="13" t="s">
        <v>81</v>
      </c>
      <c r="C1442" s="13">
        <v>41</v>
      </c>
      <c r="D1442" s="13">
        <v>220.75</v>
      </c>
      <c r="E1442" s="13" t="str">
        <f>IF(ISERROR(VLOOKUP(F1442,Magic!H:H,1,0)),IF(ISERROR(VLOOKUP(F1442,Magic!T:T,1,0)),"N","Y"),"Y")</f>
        <v>Y</v>
      </c>
      <c r="F1442" s="13">
        <v>1441</v>
      </c>
    </row>
    <row r="1443" spans="1:6" x14ac:dyDescent="0.25">
      <c r="A1443" s="16">
        <v>42884</v>
      </c>
      <c r="B1443" s="13" t="s">
        <v>81</v>
      </c>
      <c r="C1443" s="13">
        <v>41</v>
      </c>
      <c r="D1443" s="13">
        <v>745.6</v>
      </c>
      <c r="E1443" s="13" t="str">
        <f>IF(ISERROR(VLOOKUP(F1443,Magic!H:H,1,0)),IF(ISERROR(VLOOKUP(F1443,Magic!T:T,1,0)),"N","Y"),"Y")</f>
        <v>Y</v>
      </c>
      <c r="F1443" s="13">
        <v>1442</v>
      </c>
    </row>
    <row r="1444" spans="1:6" x14ac:dyDescent="0.25">
      <c r="A1444" s="16">
        <v>42884</v>
      </c>
      <c r="B1444" s="13" t="s">
        <v>81</v>
      </c>
      <c r="C1444" s="13">
        <v>41</v>
      </c>
      <c r="D1444" s="13">
        <v>774.4</v>
      </c>
      <c r="E1444" s="13" t="str">
        <f>IF(ISERROR(VLOOKUP(F1444,Magic!H:H,1,0)),IF(ISERROR(VLOOKUP(F1444,Magic!T:T,1,0)),"N","Y"),"Y")</f>
        <v>Y</v>
      </c>
      <c r="F1444" s="13">
        <v>1443</v>
      </c>
    </row>
    <row r="1445" spans="1:6" x14ac:dyDescent="0.25">
      <c r="A1445" s="16">
        <v>42884</v>
      </c>
      <c r="B1445" s="13" t="s">
        <v>24</v>
      </c>
      <c r="C1445" s="13">
        <v>43</v>
      </c>
      <c r="D1445" s="13">
        <v>369.8</v>
      </c>
      <c r="E1445" s="13" t="str">
        <f>IF(ISERROR(VLOOKUP(F1445,Magic!H:H,1,0)),IF(ISERROR(VLOOKUP(F1445,Magic!T:T,1,0)),"N","Y"),"Y")</f>
        <v>Y</v>
      </c>
      <c r="F1445" s="13">
        <v>1444</v>
      </c>
    </row>
    <row r="1446" spans="1:6" x14ac:dyDescent="0.25">
      <c r="A1446" s="16">
        <v>42884</v>
      </c>
      <c r="B1446" s="13" t="s">
        <v>24</v>
      </c>
      <c r="C1446" s="13">
        <v>43</v>
      </c>
      <c r="D1446" s="13">
        <v>1484.35</v>
      </c>
      <c r="E1446" s="13" t="str">
        <f>IF(ISERROR(VLOOKUP(F1446,Magic!H:H,1,0)),IF(ISERROR(VLOOKUP(F1446,Magic!T:T,1,0)),"N","Y"),"Y")</f>
        <v>Y</v>
      </c>
      <c r="F1446" s="13">
        <v>1445</v>
      </c>
    </row>
    <row r="1447" spans="1:6" x14ac:dyDescent="0.25">
      <c r="A1447" s="16">
        <v>42884</v>
      </c>
      <c r="B1447" s="13" t="s">
        <v>24</v>
      </c>
      <c r="C1447" s="13">
        <v>43</v>
      </c>
      <c r="D1447" s="13">
        <v>1079.3</v>
      </c>
      <c r="E1447" s="13" t="str">
        <f>IF(ISERROR(VLOOKUP(F1447,Magic!H:H,1,0)),IF(ISERROR(VLOOKUP(F1447,Magic!T:T,1,0)),"N","Y"),"Y")</f>
        <v>Y</v>
      </c>
      <c r="F1447" s="13">
        <v>1446</v>
      </c>
    </row>
    <row r="1448" spans="1:6" x14ac:dyDescent="0.25">
      <c r="A1448" s="16">
        <v>42884</v>
      </c>
      <c r="B1448" s="13" t="s">
        <v>611</v>
      </c>
      <c r="C1448" s="13">
        <v>201</v>
      </c>
      <c r="D1448" s="13">
        <v>825</v>
      </c>
      <c r="E1448" s="13" t="str">
        <f>IF(ISERROR(VLOOKUP(F1448,Magic!H:H,1,0)),IF(ISERROR(VLOOKUP(F1448,Magic!T:T,1,0)),"N","Y"),"Y")</f>
        <v>Y</v>
      </c>
      <c r="F1448" s="13">
        <v>1447</v>
      </c>
    </row>
    <row r="1449" spans="1:6" x14ac:dyDescent="0.25">
      <c r="A1449" s="16">
        <v>42884</v>
      </c>
      <c r="B1449" s="13" t="s">
        <v>611</v>
      </c>
      <c r="C1449" s="13">
        <v>201</v>
      </c>
      <c r="D1449" s="13">
        <v>780.65</v>
      </c>
      <c r="E1449" s="13" t="str">
        <f>IF(ISERROR(VLOOKUP(F1449,Magic!H:H,1,0)),IF(ISERROR(VLOOKUP(F1449,Magic!T:T,1,0)),"N","Y"),"Y")</f>
        <v>Y</v>
      </c>
      <c r="F1449" s="13">
        <v>1448</v>
      </c>
    </row>
    <row r="1450" spans="1:6" x14ac:dyDescent="0.25">
      <c r="A1450" s="16">
        <v>42884</v>
      </c>
      <c r="B1450" s="13" t="s">
        <v>611</v>
      </c>
      <c r="C1450" s="13">
        <v>201</v>
      </c>
      <c r="D1450" s="13">
        <v>614.54999999999995</v>
      </c>
      <c r="E1450" s="13" t="str">
        <f>IF(ISERROR(VLOOKUP(F1450,Magic!H:H,1,0)),IF(ISERROR(VLOOKUP(F1450,Magic!T:T,1,0)),"N","Y"),"Y")</f>
        <v>Y</v>
      </c>
      <c r="F1450" s="13">
        <v>1449</v>
      </c>
    </row>
    <row r="1451" spans="1:6" x14ac:dyDescent="0.25">
      <c r="A1451" s="16">
        <v>42884</v>
      </c>
      <c r="B1451" s="13" t="s">
        <v>611</v>
      </c>
      <c r="C1451" s="13">
        <v>201</v>
      </c>
      <c r="D1451" s="13">
        <v>584.4</v>
      </c>
      <c r="E1451" s="13" t="str">
        <f>IF(ISERROR(VLOOKUP(F1451,Magic!H:H,1,0)),IF(ISERROR(VLOOKUP(F1451,Magic!T:T,1,0)),"N","Y"),"Y")</f>
        <v>Y</v>
      </c>
      <c r="F1451" s="13">
        <v>1450</v>
      </c>
    </row>
    <row r="1452" spans="1:6" x14ac:dyDescent="0.25">
      <c r="A1452" s="16">
        <v>42885</v>
      </c>
      <c r="B1452" s="13" t="s">
        <v>82</v>
      </c>
      <c r="C1452" s="13">
        <v>35</v>
      </c>
      <c r="D1452" s="13">
        <v>2.2000000000000002</v>
      </c>
      <c r="E1452" s="13" t="str">
        <f>IF(ISERROR(VLOOKUP(F1452,Magic!H:H,1,0)),IF(ISERROR(VLOOKUP(F1452,Magic!T:T,1,0)),"N","Y"),"Y")</f>
        <v>Y</v>
      </c>
      <c r="F1452" s="13">
        <v>1451</v>
      </c>
    </row>
    <row r="1453" spans="1:6" x14ac:dyDescent="0.25">
      <c r="A1453" s="16">
        <v>42885</v>
      </c>
      <c r="B1453" s="13" t="s">
        <v>31</v>
      </c>
      <c r="C1453" s="13">
        <v>37</v>
      </c>
      <c r="D1453" s="13">
        <v>20</v>
      </c>
      <c r="E1453" s="13" t="str">
        <f>IF(ISERROR(VLOOKUP(F1453,Magic!H:H,1,0)),IF(ISERROR(VLOOKUP(F1453,Magic!T:T,1,0)),"N","Y"),"Y")</f>
        <v>Y</v>
      </c>
      <c r="F1453" s="13">
        <v>1452</v>
      </c>
    </row>
    <row r="1454" spans="1:6" x14ac:dyDescent="0.25">
      <c r="A1454" s="16">
        <v>42885</v>
      </c>
      <c r="B1454" s="13" t="s">
        <v>31</v>
      </c>
      <c r="C1454" s="13">
        <v>37</v>
      </c>
      <c r="D1454" s="13">
        <v>644.15</v>
      </c>
      <c r="E1454" s="13" t="str">
        <f>IF(ISERROR(VLOOKUP(F1454,Magic!H:H,1,0)),IF(ISERROR(VLOOKUP(F1454,Magic!T:T,1,0)),"N","Y"),"Y")</f>
        <v>Y</v>
      </c>
      <c r="F1454" s="13">
        <v>1453</v>
      </c>
    </row>
    <row r="1455" spans="1:6" x14ac:dyDescent="0.25">
      <c r="A1455" s="16">
        <v>42885</v>
      </c>
      <c r="B1455" s="13" t="s">
        <v>81</v>
      </c>
      <c r="C1455" s="13">
        <v>41</v>
      </c>
      <c r="D1455" s="13">
        <v>329.65</v>
      </c>
      <c r="E1455" s="13" t="str">
        <f>IF(ISERROR(VLOOKUP(F1455,Magic!H:H,1,0)),IF(ISERROR(VLOOKUP(F1455,Magic!T:T,1,0)),"N","Y"),"Y")</f>
        <v>Y</v>
      </c>
      <c r="F1455" s="13">
        <v>1454</v>
      </c>
    </row>
    <row r="1456" spans="1:6" x14ac:dyDescent="0.25">
      <c r="A1456" s="16">
        <v>42885</v>
      </c>
      <c r="B1456" s="13" t="s">
        <v>24</v>
      </c>
      <c r="C1456" s="13">
        <v>43</v>
      </c>
      <c r="D1456" s="13">
        <v>913.8</v>
      </c>
      <c r="E1456" s="13" t="str">
        <f>IF(ISERROR(VLOOKUP(F1456,Magic!H:H,1,0)),IF(ISERROR(VLOOKUP(F1456,Magic!T:T,1,0)),"N","Y"),"Y")</f>
        <v>Y</v>
      </c>
      <c r="F1456" s="13">
        <v>1455</v>
      </c>
    </row>
    <row r="1457" spans="1:6" x14ac:dyDescent="0.25">
      <c r="A1457" s="16">
        <v>42885</v>
      </c>
      <c r="B1457" s="13" t="s">
        <v>611</v>
      </c>
      <c r="C1457" s="13">
        <v>201</v>
      </c>
      <c r="D1457" s="13">
        <v>649.75</v>
      </c>
      <c r="E1457" s="13" t="str">
        <f>IF(ISERROR(VLOOKUP(F1457,Magic!H:H,1,0)),IF(ISERROR(VLOOKUP(F1457,Magic!T:T,1,0)),"N","Y"),"Y")</f>
        <v>Y</v>
      </c>
      <c r="F1457" s="13">
        <v>1456</v>
      </c>
    </row>
    <row r="1458" spans="1:6" x14ac:dyDescent="0.25">
      <c r="A1458" s="16">
        <v>42885</v>
      </c>
      <c r="B1458" s="13" t="s">
        <v>124</v>
      </c>
      <c r="C1458" s="13">
        <v>103</v>
      </c>
      <c r="D1458" s="13">
        <v>710.05</v>
      </c>
      <c r="E1458" s="13" t="str">
        <f>IF(ISERROR(VLOOKUP(F1458,Magic!H:H,1,0)),IF(ISERROR(VLOOKUP(F1458,Magic!T:T,1,0)),"N","Y"),"Y")</f>
        <v>Y</v>
      </c>
      <c r="F1458" s="13">
        <v>1457</v>
      </c>
    </row>
    <row r="1459" spans="1:6" x14ac:dyDescent="0.25">
      <c r="A1459" s="16">
        <v>42886</v>
      </c>
      <c r="B1459" s="13" t="s">
        <v>29</v>
      </c>
      <c r="C1459" s="13">
        <v>35</v>
      </c>
      <c r="D1459" s="13">
        <v>1275</v>
      </c>
      <c r="E1459" s="13" t="str">
        <f>IF(ISERROR(VLOOKUP(F1459,Magic!H:H,1,0)),IF(ISERROR(VLOOKUP(F1459,Magic!T:T,1,0)),"N","Y"),"Y")</f>
        <v>Y</v>
      </c>
      <c r="F1459" s="13">
        <v>1458</v>
      </c>
    </row>
    <row r="1460" spans="1:6" x14ac:dyDescent="0.25">
      <c r="A1460" s="16">
        <v>42886</v>
      </c>
      <c r="B1460" s="13" t="s">
        <v>82</v>
      </c>
      <c r="C1460" s="13">
        <v>35</v>
      </c>
      <c r="D1460" s="13">
        <v>24.5</v>
      </c>
      <c r="E1460" s="13" t="str">
        <f>IF(ISERROR(VLOOKUP(F1460,Magic!H:H,1,0)),IF(ISERROR(VLOOKUP(F1460,Magic!T:T,1,0)),"N","Y"),"Y")</f>
        <v>Y</v>
      </c>
      <c r="F1460" s="13">
        <v>1459</v>
      </c>
    </row>
    <row r="1461" spans="1:6" x14ac:dyDescent="0.25">
      <c r="A1461" s="16">
        <v>42886</v>
      </c>
      <c r="B1461" s="13" t="s">
        <v>31</v>
      </c>
      <c r="C1461" s="13">
        <v>37</v>
      </c>
      <c r="D1461" s="13">
        <v>779.25</v>
      </c>
      <c r="E1461" s="13" t="str">
        <f>IF(ISERROR(VLOOKUP(F1461,Magic!H:H,1,0)),IF(ISERROR(VLOOKUP(F1461,Magic!T:T,1,0)),"N","Y"),"Y")</f>
        <v>Y</v>
      </c>
      <c r="F1461" s="13">
        <v>1460</v>
      </c>
    </row>
    <row r="1462" spans="1:6" x14ac:dyDescent="0.25">
      <c r="A1462" s="16">
        <v>42886</v>
      </c>
      <c r="B1462" s="13" t="s">
        <v>81</v>
      </c>
      <c r="C1462" s="13">
        <v>41</v>
      </c>
      <c r="D1462" s="13">
        <v>487.3</v>
      </c>
      <c r="E1462" s="13" t="str">
        <f>IF(ISERROR(VLOOKUP(F1462,Magic!H:H,1,0)),IF(ISERROR(VLOOKUP(F1462,Magic!T:T,1,0)),"N","Y"),"Y")</f>
        <v>Y</v>
      </c>
      <c r="F1462" s="13">
        <v>1461</v>
      </c>
    </row>
    <row r="1463" spans="1:6" x14ac:dyDescent="0.25">
      <c r="A1463" s="16">
        <v>42886</v>
      </c>
      <c r="B1463" s="13" t="s">
        <v>24</v>
      </c>
      <c r="C1463" s="13">
        <v>43</v>
      </c>
      <c r="D1463" s="13">
        <v>1150.3</v>
      </c>
      <c r="E1463" s="13" t="str">
        <f>IF(ISERROR(VLOOKUP(F1463,Magic!H:H,1,0)),IF(ISERROR(VLOOKUP(F1463,Magic!T:T,1,0)),"N","Y"),"Y")</f>
        <v>Y</v>
      </c>
      <c r="F1463" s="13">
        <v>1462</v>
      </c>
    </row>
    <row r="1464" spans="1:6" x14ac:dyDescent="0.25">
      <c r="A1464" s="16">
        <v>42886</v>
      </c>
      <c r="B1464" s="13" t="s">
        <v>25</v>
      </c>
      <c r="C1464" s="13">
        <v>44</v>
      </c>
      <c r="D1464" s="13">
        <v>356.45</v>
      </c>
      <c r="E1464" s="13" t="str">
        <f>IF(ISERROR(VLOOKUP(F1464,Magic!H:H,1,0)),IF(ISERROR(VLOOKUP(F1464,Magic!T:T,1,0)),"N","Y"),"Y")</f>
        <v>Y</v>
      </c>
      <c r="F1464" s="13">
        <v>1463</v>
      </c>
    </row>
    <row r="1465" spans="1:6" x14ac:dyDescent="0.25">
      <c r="A1465" s="1">
        <v>42886</v>
      </c>
      <c r="B1465" t="s">
        <v>25</v>
      </c>
      <c r="C1465">
        <v>44</v>
      </c>
      <c r="D1465">
        <v>90</v>
      </c>
      <c r="E1465" t="str">
        <f>IF(ISERROR(VLOOKUP(F1465,Magic!H:H,1,0)),IF(ISERROR(VLOOKUP(F1465,Magic!T:T,1,0)),"N","Y"),"Y")</f>
        <v>N</v>
      </c>
      <c r="F1465">
        <v>1464</v>
      </c>
    </row>
    <row r="1466" spans="1:6" x14ac:dyDescent="0.25">
      <c r="A1466" s="16">
        <v>42886</v>
      </c>
      <c r="B1466" s="13" t="s">
        <v>28</v>
      </c>
      <c r="C1466" s="13">
        <v>103</v>
      </c>
      <c r="D1466" s="13">
        <v>856.6</v>
      </c>
      <c r="E1466" s="13" t="str">
        <f>IF(ISERROR(VLOOKUP(F1466,Magic!H:H,1,0)),IF(ISERROR(VLOOKUP(F1466,Magic!T:T,1,0)),"N","Y"),"Y")</f>
        <v>Y</v>
      </c>
      <c r="F1466" s="13">
        <v>1465</v>
      </c>
    </row>
    <row r="1467" spans="1:6" x14ac:dyDescent="0.25">
      <c r="A1467" s="16">
        <v>42886</v>
      </c>
      <c r="B1467" s="13" t="s">
        <v>611</v>
      </c>
      <c r="C1467" s="13">
        <v>201</v>
      </c>
      <c r="D1467" s="13">
        <v>652.5</v>
      </c>
      <c r="E1467" s="13" t="str">
        <f>IF(ISERROR(VLOOKUP(F1467,Magic!H:H,1,0)),IF(ISERROR(VLOOKUP(F1467,Magic!T:T,1,0)),"N","Y"),"Y")</f>
        <v>Y</v>
      </c>
      <c r="F1467" s="13">
        <v>1466</v>
      </c>
    </row>
    <row r="1468" spans="1:6" x14ac:dyDescent="0.25">
      <c r="A1468" s="16">
        <v>42887</v>
      </c>
      <c r="B1468" s="13" t="s">
        <v>28</v>
      </c>
      <c r="C1468" s="13">
        <v>103</v>
      </c>
      <c r="D1468" s="13">
        <v>1210.05</v>
      </c>
      <c r="E1468" s="13" t="str">
        <f>IF(ISERROR(VLOOKUP(F1468,Magic!H:H,1,0)),IF(ISERROR(VLOOKUP(F1468,Magic!T:T,1,0)),"N","Y"),"Y")</f>
        <v>Y</v>
      </c>
      <c r="F1468" s="13">
        <v>1467</v>
      </c>
    </row>
    <row r="1469" spans="1:6" x14ac:dyDescent="0.25">
      <c r="A1469" s="16">
        <v>42887</v>
      </c>
      <c r="B1469" s="13" t="s">
        <v>31</v>
      </c>
      <c r="C1469" s="13">
        <v>37</v>
      </c>
      <c r="D1469" s="13">
        <v>959.95</v>
      </c>
      <c r="E1469" s="13" t="str">
        <f>IF(ISERROR(VLOOKUP(F1469,Magic!H:H,1,0)),IF(ISERROR(VLOOKUP(F1469,Magic!T:T,1,0)),"N","Y"),"Y")</f>
        <v>Y</v>
      </c>
      <c r="F1469" s="13">
        <v>1468</v>
      </c>
    </row>
    <row r="1470" spans="1:6" x14ac:dyDescent="0.25">
      <c r="A1470" s="16">
        <v>42887</v>
      </c>
      <c r="B1470" s="13" t="s">
        <v>81</v>
      </c>
      <c r="C1470" s="13">
        <v>41</v>
      </c>
      <c r="D1470" s="13">
        <v>712.65</v>
      </c>
      <c r="E1470" s="13" t="str">
        <f>IF(ISERROR(VLOOKUP(F1470,Magic!H:H,1,0)),IF(ISERROR(VLOOKUP(F1470,Magic!T:T,1,0)),"N","Y"),"Y")</f>
        <v>Y</v>
      </c>
      <c r="F1470" s="13">
        <v>1469</v>
      </c>
    </row>
    <row r="1471" spans="1:6" x14ac:dyDescent="0.25">
      <c r="A1471" s="16">
        <v>42887</v>
      </c>
      <c r="B1471" s="13" t="s">
        <v>24</v>
      </c>
      <c r="C1471" s="13">
        <v>43</v>
      </c>
      <c r="D1471" s="13">
        <v>1655.2</v>
      </c>
      <c r="E1471" s="13" t="str">
        <f>IF(ISERROR(VLOOKUP(F1471,Magic!H:H,1,0)),IF(ISERROR(VLOOKUP(F1471,Magic!T:T,1,0)),"N","Y"),"Y")</f>
        <v>Y</v>
      </c>
      <c r="F1471" s="13">
        <v>1470</v>
      </c>
    </row>
    <row r="1472" spans="1:6" x14ac:dyDescent="0.25">
      <c r="A1472" s="16">
        <v>42887</v>
      </c>
      <c r="B1472" s="13" t="s">
        <v>25</v>
      </c>
      <c r="C1472" s="13">
        <v>44</v>
      </c>
      <c r="D1472" s="13">
        <v>482.2</v>
      </c>
      <c r="E1472" s="13" t="str">
        <f>IF(ISERROR(VLOOKUP(F1472,Magic!H:H,1,0)),IF(ISERROR(VLOOKUP(F1472,Magic!T:T,1,0)),"N","Y"),"Y")</f>
        <v>Y</v>
      </c>
      <c r="F1472" s="13">
        <v>1471</v>
      </c>
    </row>
    <row r="1473" spans="1:6" x14ac:dyDescent="0.25">
      <c r="A1473" s="16">
        <v>42887</v>
      </c>
      <c r="B1473" s="13" t="s">
        <v>28</v>
      </c>
      <c r="C1473" s="13">
        <v>103</v>
      </c>
      <c r="D1473" s="13">
        <v>50</v>
      </c>
      <c r="E1473" s="13" t="s">
        <v>71</v>
      </c>
      <c r="F1473" s="13">
        <v>1472</v>
      </c>
    </row>
    <row r="1474" spans="1:6" x14ac:dyDescent="0.25">
      <c r="A1474" s="16">
        <v>42887</v>
      </c>
      <c r="B1474" s="13" t="s">
        <v>28</v>
      </c>
      <c r="C1474" s="13">
        <v>103</v>
      </c>
      <c r="D1474" s="13">
        <v>2</v>
      </c>
      <c r="E1474" s="13" t="s">
        <v>71</v>
      </c>
      <c r="F1474" s="13">
        <v>1473</v>
      </c>
    </row>
    <row r="1475" spans="1:6" x14ac:dyDescent="0.25">
      <c r="A1475" s="16">
        <v>42887</v>
      </c>
      <c r="B1475" s="13" t="s">
        <v>28</v>
      </c>
      <c r="C1475" s="13">
        <v>103</v>
      </c>
      <c r="D1475" s="13">
        <v>52</v>
      </c>
      <c r="E1475" s="13" t="str">
        <f>IF(ISERROR(VLOOKUP(F1475,Magic!H:H,1,0)),IF(ISERROR(VLOOKUP(F1475,Magic!T:T,1,0)),"N","Y"),"Y")</f>
        <v>Y</v>
      </c>
      <c r="F1475" s="13">
        <v>1477</v>
      </c>
    </row>
    <row r="1476" spans="1:6" x14ac:dyDescent="0.25">
      <c r="A1476" s="16">
        <v>42887</v>
      </c>
      <c r="B1476" s="13" t="s">
        <v>28</v>
      </c>
      <c r="C1476" s="13">
        <v>103</v>
      </c>
      <c r="D1476" s="13">
        <v>1346.4</v>
      </c>
      <c r="E1476" s="13" t="str">
        <f>IF(ISERROR(VLOOKUP(F1476,Magic!H:H,1,0)),IF(ISERROR(VLOOKUP(F1476,Magic!T:T,1,0)),"N","Y"),"Y")</f>
        <v>Y</v>
      </c>
      <c r="F1476" s="13">
        <v>1474</v>
      </c>
    </row>
    <row r="1477" spans="1:6" x14ac:dyDescent="0.25">
      <c r="A1477" s="16">
        <v>42887</v>
      </c>
      <c r="B1477" s="13" t="s">
        <v>611</v>
      </c>
      <c r="C1477" s="13">
        <v>201</v>
      </c>
      <c r="D1477" s="13">
        <v>379.35</v>
      </c>
      <c r="E1477" s="13" t="str">
        <f>IF(ISERROR(VLOOKUP(F1477,Magic!H:H,1,0)),IF(ISERROR(VLOOKUP(F1477,Magic!T:T,1,0)),"N","Y"),"Y")</f>
        <v>Y</v>
      </c>
      <c r="F1477" s="13">
        <v>1475</v>
      </c>
    </row>
    <row r="1478" spans="1:6" x14ac:dyDescent="0.25">
      <c r="A1478" s="1">
        <v>42887</v>
      </c>
      <c r="B1478" t="s">
        <v>611</v>
      </c>
      <c r="C1478">
        <v>201</v>
      </c>
      <c r="D1478">
        <v>90</v>
      </c>
      <c r="E1478" t="str">
        <f>IF(ISERROR(VLOOKUP(F1478,Magic!H:H,1,0)),IF(ISERROR(VLOOKUP(F1478,Magic!T:T,1,0)),"N","Y"),"Y")</f>
        <v>N</v>
      </c>
      <c r="F1478">
        <v>1476</v>
      </c>
    </row>
    <row r="1479" spans="1:6" x14ac:dyDescent="0.25">
      <c r="A1479" s="16">
        <v>42892</v>
      </c>
      <c r="B1479" s="13" t="s">
        <v>82</v>
      </c>
      <c r="C1479" s="13">
        <v>35</v>
      </c>
      <c r="D1479" s="13">
        <v>3.2</v>
      </c>
      <c r="E1479" s="13" t="str">
        <f>IF(ISERROR(VLOOKUP(F1479,Magic!H:H,1,0)),IF(ISERROR(VLOOKUP(F1479,Magic!T:T,1,0)),"N","Y"),"Y")</f>
        <v>Y</v>
      </c>
      <c r="F1479" s="13">
        <v>1478</v>
      </c>
    </row>
    <row r="1480" spans="1:6" x14ac:dyDescent="0.25">
      <c r="A1480" s="16">
        <v>42888</v>
      </c>
      <c r="B1480" s="13" t="s">
        <v>29</v>
      </c>
      <c r="C1480" s="13">
        <v>35</v>
      </c>
      <c r="D1480" s="13">
        <v>1465</v>
      </c>
      <c r="E1480" s="13" t="str">
        <f>IF(ISERROR(VLOOKUP(F1480,Magic!H:H,1,0)),IF(ISERROR(VLOOKUP(F1480,Magic!T:T,1,0)),"N","Y"),"Y")</f>
        <v>Y</v>
      </c>
      <c r="F1480" s="13">
        <v>1479</v>
      </c>
    </row>
    <row r="1481" spans="1:6" x14ac:dyDescent="0.25">
      <c r="A1481" s="16">
        <v>42888</v>
      </c>
      <c r="B1481" s="13" t="s">
        <v>82</v>
      </c>
      <c r="C1481" s="13">
        <v>35</v>
      </c>
      <c r="D1481" s="13">
        <v>3.6</v>
      </c>
      <c r="E1481" s="13" t="str">
        <f>IF(ISERROR(VLOOKUP(F1481,Magic!H:H,1,0)),IF(ISERROR(VLOOKUP(F1481,Magic!T:T,1,0)),"N","Y"),"Y")</f>
        <v>Y</v>
      </c>
      <c r="F1481" s="13">
        <v>1480</v>
      </c>
    </row>
    <row r="1482" spans="1:6" x14ac:dyDescent="0.25">
      <c r="A1482" s="16">
        <v>42888</v>
      </c>
      <c r="B1482" s="13" t="s">
        <v>82</v>
      </c>
      <c r="C1482" s="13">
        <v>35</v>
      </c>
      <c r="D1482" s="13">
        <v>1848.3</v>
      </c>
      <c r="E1482" s="13" t="str">
        <f>IF(ISERROR(VLOOKUP(F1482,Magic!H:H,1,0)),IF(ISERROR(VLOOKUP(F1482,Magic!T:T,1,0)),"N","Y"),"Y")</f>
        <v>Y</v>
      </c>
      <c r="F1482" s="13">
        <v>1481</v>
      </c>
    </row>
    <row r="1483" spans="1:6" x14ac:dyDescent="0.25">
      <c r="A1483" s="16">
        <v>42888</v>
      </c>
      <c r="B1483" s="13" t="s">
        <v>31</v>
      </c>
      <c r="C1483" s="13">
        <v>37</v>
      </c>
      <c r="D1483" s="13">
        <v>1351.5</v>
      </c>
      <c r="E1483" s="13" t="str">
        <f>IF(ISERROR(VLOOKUP(F1483,Magic!H:H,1,0)),IF(ISERROR(VLOOKUP(F1483,Magic!T:T,1,0)),"N","Y"),"Y")</f>
        <v>Y</v>
      </c>
      <c r="F1483" s="13">
        <v>1482</v>
      </c>
    </row>
    <row r="1484" spans="1:6" x14ac:dyDescent="0.25">
      <c r="A1484" s="16">
        <v>42888</v>
      </c>
      <c r="B1484" s="13" t="s">
        <v>81</v>
      </c>
      <c r="C1484" s="13">
        <v>41</v>
      </c>
      <c r="D1484" s="13">
        <v>983.45</v>
      </c>
      <c r="E1484" s="13" t="str">
        <f>IF(ISERROR(VLOOKUP(F1484,Magic!H:H,1,0)),IF(ISERROR(VLOOKUP(F1484,Magic!T:T,1,0)),"N","Y"),"Y")</f>
        <v>Y</v>
      </c>
      <c r="F1484" s="13">
        <v>1483</v>
      </c>
    </row>
    <row r="1485" spans="1:6" x14ac:dyDescent="0.25">
      <c r="A1485" s="16">
        <v>42888</v>
      </c>
      <c r="B1485" s="13" t="s">
        <v>24</v>
      </c>
      <c r="C1485" s="13">
        <v>43</v>
      </c>
      <c r="D1485" s="13">
        <v>1640.8</v>
      </c>
      <c r="E1485" s="13" t="str">
        <f>IF(ISERROR(VLOOKUP(F1485,Magic!H:H,1,0)),IF(ISERROR(VLOOKUP(F1485,Magic!T:T,1,0)),"N","Y"),"Y")</f>
        <v>Y</v>
      </c>
      <c r="F1485" s="13">
        <v>1484</v>
      </c>
    </row>
    <row r="1486" spans="1:6" x14ac:dyDescent="0.25">
      <c r="A1486" s="16">
        <v>42888</v>
      </c>
      <c r="B1486" s="13" t="s">
        <v>611</v>
      </c>
      <c r="C1486" s="13">
        <v>201</v>
      </c>
      <c r="D1486" s="13">
        <v>843.45</v>
      </c>
      <c r="E1486" s="13" t="str">
        <f>IF(ISERROR(VLOOKUP(F1486,Magic!H:H,1,0)),IF(ISERROR(VLOOKUP(F1486,Magic!T:T,1,0)),"N","Y"),"Y")</f>
        <v>Y</v>
      </c>
      <c r="F1486" s="13">
        <v>1485</v>
      </c>
    </row>
    <row r="1487" spans="1:6" x14ac:dyDescent="0.25">
      <c r="A1487" s="16">
        <v>42889</v>
      </c>
      <c r="B1487" s="13" t="s">
        <v>29</v>
      </c>
      <c r="C1487" s="13">
        <v>35</v>
      </c>
      <c r="D1487" s="13">
        <v>1390</v>
      </c>
      <c r="E1487" s="13" t="str">
        <f>IF(ISERROR(VLOOKUP(F1487,Magic!H:H,1,0)),IF(ISERROR(VLOOKUP(F1487,Magic!T:T,1,0)),"N","Y"),"Y")</f>
        <v>Y</v>
      </c>
      <c r="F1487" s="13">
        <v>1486</v>
      </c>
    </row>
    <row r="1488" spans="1:6" x14ac:dyDescent="0.25">
      <c r="A1488" s="16">
        <v>42891</v>
      </c>
      <c r="B1488" s="13" t="s">
        <v>29</v>
      </c>
      <c r="C1488" s="13">
        <v>35</v>
      </c>
      <c r="D1488" s="13">
        <v>1170</v>
      </c>
      <c r="E1488" s="13" t="str">
        <f>IF(ISERROR(VLOOKUP(F1488,Magic!H:H,1,0)),IF(ISERROR(VLOOKUP(F1488,Magic!T:T,1,0)),"N","Y"),"Y")</f>
        <v>Y</v>
      </c>
      <c r="F1488" s="13">
        <v>1487</v>
      </c>
    </row>
    <row r="1489" spans="1:6" x14ac:dyDescent="0.25">
      <c r="A1489" s="16">
        <v>42891</v>
      </c>
      <c r="B1489" s="13" t="s">
        <v>82</v>
      </c>
      <c r="C1489" s="13">
        <v>35</v>
      </c>
      <c r="D1489" s="13">
        <v>848.25</v>
      </c>
      <c r="E1489" s="13" t="str">
        <f>IF(ISERROR(VLOOKUP(F1489,Magic!H:H,1,0)),IF(ISERROR(VLOOKUP(F1489,Magic!T:T,1,0)),"N","Y"),"Y")</f>
        <v>Y</v>
      </c>
      <c r="F1489" s="13">
        <v>1488</v>
      </c>
    </row>
    <row r="1490" spans="1:6" x14ac:dyDescent="0.25">
      <c r="A1490" s="16">
        <v>42891</v>
      </c>
      <c r="B1490" s="13" t="s">
        <v>82</v>
      </c>
      <c r="C1490" s="13">
        <v>35</v>
      </c>
      <c r="D1490" s="13">
        <v>3.55</v>
      </c>
      <c r="E1490" s="13" t="str">
        <f>IF(ISERROR(VLOOKUP(F1490,Magic!H:H,1,0)),IF(ISERROR(VLOOKUP(F1490,Magic!T:T,1,0)),"N","Y"),"Y")</f>
        <v>Y</v>
      </c>
      <c r="F1490" s="13">
        <v>1489</v>
      </c>
    </row>
    <row r="1491" spans="1:6" x14ac:dyDescent="0.25">
      <c r="A1491" s="16">
        <v>42891</v>
      </c>
      <c r="B1491" s="13" t="s">
        <v>82</v>
      </c>
      <c r="C1491" s="13">
        <v>35</v>
      </c>
      <c r="D1491" s="13">
        <v>2.1</v>
      </c>
      <c r="E1491" s="13" t="str">
        <f>IF(ISERROR(VLOOKUP(F1491,Magic!H:H,1,0)),IF(ISERROR(VLOOKUP(F1491,Magic!T:T,1,0)),"N","Y"),"Y")</f>
        <v>Y</v>
      </c>
      <c r="F1491" s="13">
        <v>1490</v>
      </c>
    </row>
    <row r="1492" spans="1:6" x14ac:dyDescent="0.25">
      <c r="A1492" s="16">
        <v>42891</v>
      </c>
      <c r="B1492" s="13" t="s">
        <v>31</v>
      </c>
      <c r="C1492" s="13">
        <v>37</v>
      </c>
      <c r="D1492" s="13">
        <v>853.85</v>
      </c>
      <c r="E1492" s="13" t="str">
        <f>IF(ISERROR(VLOOKUP(F1492,Magic!H:H,1,0)),IF(ISERROR(VLOOKUP(F1492,Magic!T:T,1,0)),"N","Y"),"Y")</f>
        <v>Y</v>
      </c>
      <c r="F1492" s="13">
        <v>1491</v>
      </c>
    </row>
    <row r="1493" spans="1:6" x14ac:dyDescent="0.25">
      <c r="A1493" s="16">
        <v>42891</v>
      </c>
      <c r="B1493" s="13" t="s">
        <v>31</v>
      </c>
      <c r="C1493" s="13">
        <v>37</v>
      </c>
      <c r="D1493" s="13">
        <v>950.5</v>
      </c>
      <c r="E1493" s="13" t="str">
        <f>IF(ISERROR(VLOOKUP(F1493,Magic!H:H,1,0)),IF(ISERROR(VLOOKUP(F1493,Magic!T:T,1,0)),"N","Y"),"Y")</f>
        <v>Y</v>
      </c>
      <c r="F1493" s="13">
        <v>1492</v>
      </c>
    </row>
    <row r="1494" spans="1:6" x14ac:dyDescent="0.25">
      <c r="A1494" s="16">
        <v>42891</v>
      </c>
      <c r="B1494" s="13" t="s">
        <v>31</v>
      </c>
      <c r="C1494" s="13">
        <v>37</v>
      </c>
      <c r="D1494" s="13">
        <v>671.95</v>
      </c>
      <c r="E1494" s="13" t="str">
        <f>IF(ISERROR(VLOOKUP(F1494,Magic!H:H,1,0)),IF(ISERROR(VLOOKUP(F1494,Magic!T:T,1,0)),"N","Y"),"Y")</f>
        <v>Y</v>
      </c>
      <c r="F1494" s="13">
        <v>1493</v>
      </c>
    </row>
    <row r="1495" spans="1:6" x14ac:dyDescent="0.25">
      <c r="A1495" s="16">
        <v>42891</v>
      </c>
      <c r="B1495" s="13" t="s">
        <v>81</v>
      </c>
      <c r="C1495" s="13">
        <v>41</v>
      </c>
      <c r="D1495" s="13">
        <v>697.95</v>
      </c>
      <c r="E1495" s="13" t="str">
        <f>IF(ISERROR(VLOOKUP(F1495,Magic!H:H,1,0)),IF(ISERROR(VLOOKUP(F1495,Magic!T:T,1,0)),"N","Y"),"Y")</f>
        <v>Y</v>
      </c>
      <c r="F1495" s="13">
        <v>1494</v>
      </c>
    </row>
    <row r="1496" spans="1:6" x14ac:dyDescent="0.25">
      <c r="A1496" s="16">
        <v>42891</v>
      </c>
      <c r="B1496" s="13" t="s">
        <v>81</v>
      </c>
      <c r="C1496" s="13">
        <v>41</v>
      </c>
      <c r="D1496" s="13">
        <v>778.6</v>
      </c>
      <c r="E1496" s="13" t="str">
        <f>IF(ISERROR(VLOOKUP(F1496,Magic!H:H,1,0)),IF(ISERROR(VLOOKUP(F1496,Magic!T:T,1,0)),"N","Y"),"Y")</f>
        <v>Y</v>
      </c>
      <c r="F1496" s="13">
        <v>1495</v>
      </c>
    </row>
    <row r="1497" spans="1:6" x14ac:dyDescent="0.25">
      <c r="A1497" s="16">
        <v>42891</v>
      </c>
      <c r="B1497" s="13" t="s">
        <v>81</v>
      </c>
      <c r="C1497" s="13">
        <v>41</v>
      </c>
      <c r="D1497" s="13">
        <v>349.65</v>
      </c>
      <c r="E1497" s="13" t="str">
        <f>IF(ISERROR(VLOOKUP(F1497,Magic!H:H,1,0)),IF(ISERROR(VLOOKUP(F1497,Magic!T:T,1,0)),"N","Y"),"Y")</f>
        <v>Y</v>
      </c>
      <c r="F1497" s="13">
        <v>1496</v>
      </c>
    </row>
    <row r="1498" spans="1:6" x14ac:dyDescent="0.25">
      <c r="A1498" s="16">
        <v>42891</v>
      </c>
      <c r="B1498" s="13" t="s">
        <v>24</v>
      </c>
      <c r="C1498" s="13">
        <v>43</v>
      </c>
      <c r="D1498" s="13">
        <v>1473.25</v>
      </c>
      <c r="E1498" s="13" t="str">
        <f>IF(ISERROR(VLOOKUP(F1498,Magic!H:H,1,0)),IF(ISERROR(VLOOKUP(F1498,Magic!T:T,1,0)),"N","Y"),"Y")</f>
        <v>Y</v>
      </c>
      <c r="F1498" s="13">
        <v>1497</v>
      </c>
    </row>
    <row r="1499" spans="1:6" x14ac:dyDescent="0.25">
      <c r="A1499" s="16">
        <v>42891</v>
      </c>
      <c r="B1499" s="13" t="s">
        <v>24</v>
      </c>
      <c r="C1499" s="13">
        <v>43</v>
      </c>
      <c r="D1499" s="13">
        <v>1428.75</v>
      </c>
      <c r="E1499" s="13" t="str">
        <f>IF(ISERROR(VLOOKUP(F1499,Magic!H:H,1,0)),IF(ISERROR(VLOOKUP(F1499,Magic!T:T,1,0)),"N","Y"),"Y")</f>
        <v>Y</v>
      </c>
      <c r="F1499" s="13">
        <v>1498</v>
      </c>
    </row>
    <row r="1500" spans="1:6" x14ac:dyDescent="0.25">
      <c r="A1500" s="16">
        <v>42891</v>
      </c>
      <c r="B1500" s="13" t="s">
        <v>24</v>
      </c>
      <c r="C1500" s="13">
        <v>43</v>
      </c>
      <c r="D1500" s="13">
        <v>654.04999999999995</v>
      </c>
      <c r="E1500" s="13" t="str">
        <f>IF(ISERROR(VLOOKUP(F1500,Magic!H:H,1,0)),IF(ISERROR(VLOOKUP(F1500,Magic!T:T,1,0)),"N","Y"),"Y")</f>
        <v>Y</v>
      </c>
      <c r="F1500" s="13">
        <v>1499</v>
      </c>
    </row>
    <row r="1501" spans="1:6" x14ac:dyDescent="0.25">
      <c r="A1501" s="1">
        <v>42891</v>
      </c>
      <c r="B1501" t="s">
        <v>25</v>
      </c>
      <c r="C1501">
        <v>44</v>
      </c>
      <c r="D1501">
        <v>341.25</v>
      </c>
      <c r="E1501" t="str">
        <f>IF(ISERROR(VLOOKUP(F1501,Magic!H:H,1,0)),IF(ISERROR(VLOOKUP(F1501,Magic!T:T,1,0)),"N","Y"),"Y")</f>
        <v>N</v>
      </c>
      <c r="F1501">
        <v>1500</v>
      </c>
    </row>
    <row r="1502" spans="1:6" x14ac:dyDescent="0.25">
      <c r="A1502" s="16">
        <v>42891</v>
      </c>
      <c r="B1502" s="13" t="s">
        <v>28</v>
      </c>
      <c r="C1502" s="13">
        <v>103</v>
      </c>
      <c r="D1502" s="13">
        <v>1161.55</v>
      </c>
      <c r="E1502" s="13" t="str">
        <f>IF(ISERROR(VLOOKUP(F1502,Magic!H:H,1,0)),IF(ISERROR(VLOOKUP(F1502,Magic!T:T,1,0)),"N","Y"),"Y")</f>
        <v>Y</v>
      </c>
      <c r="F1502" s="13">
        <v>1501</v>
      </c>
    </row>
    <row r="1503" spans="1:6" x14ac:dyDescent="0.25">
      <c r="A1503" s="16">
        <v>42891</v>
      </c>
      <c r="B1503" s="13" t="s">
        <v>28</v>
      </c>
      <c r="C1503" s="13">
        <v>103</v>
      </c>
      <c r="D1503" s="13">
        <v>1305.3499999999999</v>
      </c>
      <c r="E1503" s="13" t="str">
        <f>IF(ISERROR(VLOOKUP(F1503,Magic!H:H,1,0)),IF(ISERROR(VLOOKUP(F1503,Magic!T:T,1,0)),"N","Y"),"Y")</f>
        <v>Y</v>
      </c>
      <c r="F1503" s="13">
        <v>1502</v>
      </c>
    </row>
    <row r="1504" spans="1:6" x14ac:dyDescent="0.25">
      <c r="A1504" s="16">
        <v>42891</v>
      </c>
      <c r="B1504" s="13" t="s">
        <v>611</v>
      </c>
      <c r="C1504" s="13">
        <v>201</v>
      </c>
      <c r="D1504" s="13">
        <v>1048.55</v>
      </c>
      <c r="E1504" s="13" t="str">
        <f>IF(ISERROR(VLOOKUP(F1504,Magic!H:H,1,0)),IF(ISERROR(VLOOKUP(F1504,Magic!T:T,1,0)),"N","Y"),"Y")</f>
        <v>Y</v>
      </c>
      <c r="F1504" s="13">
        <v>1503</v>
      </c>
    </row>
    <row r="1505" spans="1:6" x14ac:dyDescent="0.25">
      <c r="A1505" s="16">
        <v>42891</v>
      </c>
      <c r="B1505" s="13" t="s">
        <v>611</v>
      </c>
      <c r="C1505" s="13">
        <v>201</v>
      </c>
      <c r="D1505" s="13">
        <v>863.95</v>
      </c>
      <c r="E1505" s="13" t="str">
        <f>IF(ISERROR(VLOOKUP(F1505,Magic!H:H,1,0)),IF(ISERROR(VLOOKUP(F1505,Magic!T:T,1,0)),"N","Y"),"Y")</f>
        <v>Y</v>
      </c>
      <c r="F1505" s="13">
        <v>1504</v>
      </c>
    </row>
    <row r="1506" spans="1:6" x14ac:dyDescent="0.25">
      <c r="A1506" s="16">
        <v>42891</v>
      </c>
      <c r="B1506" s="13" t="s">
        <v>611</v>
      </c>
      <c r="C1506" s="13">
        <v>201</v>
      </c>
      <c r="D1506" s="13">
        <v>474.4</v>
      </c>
      <c r="E1506" s="13" t="str">
        <f>IF(ISERROR(VLOOKUP(F1506,Magic!H:H,1,0)),IF(ISERROR(VLOOKUP(F1506,Magic!T:T,1,0)),"N","Y"),"Y")</f>
        <v>Y</v>
      </c>
      <c r="F1506" s="13">
        <v>1505</v>
      </c>
    </row>
    <row r="1507" spans="1:6" x14ac:dyDescent="0.25">
      <c r="A1507" s="16">
        <v>42892</v>
      </c>
      <c r="B1507" s="13" t="s">
        <v>31</v>
      </c>
      <c r="C1507" s="13">
        <v>37</v>
      </c>
      <c r="D1507" s="13">
        <v>554.20000000000005</v>
      </c>
      <c r="E1507" s="13" t="str">
        <f>IF(ISERROR(VLOOKUP(F1507,Magic!H:H,1,0)),IF(ISERROR(VLOOKUP(F1507,Magic!T:T,1,0)),"N","Y"),"Y")</f>
        <v>Y</v>
      </c>
      <c r="F1507" s="13">
        <v>1506</v>
      </c>
    </row>
    <row r="1508" spans="1:6" x14ac:dyDescent="0.25">
      <c r="A1508" s="16">
        <v>42892</v>
      </c>
      <c r="B1508" s="13" t="s">
        <v>81</v>
      </c>
      <c r="C1508" s="13">
        <v>41</v>
      </c>
      <c r="D1508" s="13">
        <v>607.20000000000005</v>
      </c>
      <c r="E1508" s="13" t="str">
        <f>IF(ISERROR(VLOOKUP(F1508,Magic!H:H,1,0)),IF(ISERROR(VLOOKUP(F1508,Magic!T:T,1,0)),"N","Y"),"Y")</f>
        <v>Y</v>
      </c>
      <c r="F1508" s="13">
        <v>1507</v>
      </c>
    </row>
    <row r="1509" spans="1:6" x14ac:dyDescent="0.25">
      <c r="A1509" s="16">
        <v>42892</v>
      </c>
      <c r="B1509" s="13" t="s">
        <v>24</v>
      </c>
      <c r="C1509" s="13">
        <v>43</v>
      </c>
      <c r="D1509" s="13">
        <v>909.7</v>
      </c>
      <c r="E1509" s="13" t="str">
        <f>IF(ISERROR(VLOOKUP(F1509,Magic!H:H,1,0)),IF(ISERROR(VLOOKUP(F1509,Magic!T:T,1,0)),"N","Y"),"Y")</f>
        <v>Y</v>
      </c>
      <c r="F1509" s="13">
        <v>1508</v>
      </c>
    </row>
    <row r="1510" spans="1:6" x14ac:dyDescent="0.25">
      <c r="A1510" s="16">
        <v>42892</v>
      </c>
      <c r="B1510" s="13" t="s">
        <v>28</v>
      </c>
      <c r="C1510" s="13">
        <v>103</v>
      </c>
      <c r="D1510" s="13">
        <v>1354.25</v>
      </c>
      <c r="E1510" s="13" t="str">
        <f>IF(ISERROR(VLOOKUP(F1510,Magic!H:H,1,0)),IF(ISERROR(VLOOKUP(F1510,Magic!T:T,1,0)),"N","Y"),"Y")</f>
        <v>Y</v>
      </c>
      <c r="F1510" s="13">
        <v>1509</v>
      </c>
    </row>
    <row r="1511" spans="1:6" x14ac:dyDescent="0.25">
      <c r="A1511" s="16">
        <v>42892</v>
      </c>
      <c r="B1511" s="13" t="s">
        <v>611</v>
      </c>
      <c r="C1511" s="13">
        <v>201</v>
      </c>
      <c r="D1511" s="13">
        <v>612.45000000000005</v>
      </c>
      <c r="E1511" s="13" t="str">
        <f>IF(ISERROR(VLOOKUP(F1511,Magic!H:H,1,0)),IF(ISERROR(VLOOKUP(F1511,Magic!T:T,1,0)),"N","Y"),"Y")</f>
        <v>Y</v>
      </c>
      <c r="F1511" s="13">
        <v>1510</v>
      </c>
    </row>
    <row r="1512" spans="1:6" x14ac:dyDescent="0.25">
      <c r="A1512" s="16">
        <v>42893</v>
      </c>
      <c r="B1512" s="13" t="s">
        <v>28</v>
      </c>
      <c r="C1512" s="13">
        <v>103</v>
      </c>
      <c r="D1512" s="13">
        <v>1063.5</v>
      </c>
      <c r="E1512" s="13" t="str">
        <f>IF(ISERROR(VLOOKUP(F1512,Magic!H:H,1,0)),IF(ISERROR(VLOOKUP(F1512,Magic!T:T,1,0)),"N","Y"),"Y")</f>
        <v>Y</v>
      </c>
      <c r="F1512" s="13">
        <v>1511</v>
      </c>
    </row>
    <row r="1513" spans="1:6" x14ac:dyDescent="0.25">
      <c r="A1513" s="16">
        <v>42893</v>
      </c>
      <c r="B1513" s="13" t="s">
        <v>82</v>
      </c>
      <c r="C1513" s="13">
        <v>35</v>
      </c>
      <c r="D1513" s="13">
        <v>947.7</v>
      </c>
      <c r="E1513" s="13" t="str">
        <f>IF(ISERROR(VLOOKUP(F1513,Magic!H:H,1,0)),IF(ISERROR(VLOOKUP(F1513,Magic!T:T,1,0)),"N","Y"),"Y")</f>
        <v>Y</v>
      </c>
      <c r="F1513" s="13">
        <v>1512</v>
      </c>
    </row>
    <row r="1514" spans="1:6" x14ac:dyDescent="0.25">
      <c r="A1514" s="16">
        <v>42893</v>
      </c>
      <c r="B1514" s="13" t="s">
        <v>31</v>
      </c>
      <c r="C1514" s="13">
        <v>37</v>
      </c>
      <c r="D1514" s="13">
        <v>669.15</v>
      </c>
      <c r="E1514" s="13" t="str">
        <f>IF(ISERROR(VLOOKUP(F1514,Magic!H:H,1,0)),IF(ISERROR(VLOOKUP(F1514,Magic!T:T,1,0)),"N","Y"),"Y")</f>
        <v>Y</v>
      </c>
      <c r="F1514" s="13">
        <v>1513</v>
      </c>
    </row>
    <row r="1515" spans="1:6" x14ac:dyDescent="0.25">
      <c r="A1515" s="16">
        <v>42893</v>
      </c>
      <c r="B1515" s="13" t="s">
        <v>81</v>
      </c>
      <c r="C1515" s="13">
        <v>41</v>
      </c>
      <c r="D1515" s="13">
        <v>532.25</v>
      </c>
      <c r="E1515" s="13" t="str">
        <f>IF(ISERROR(VLOOKUP(F1515,Magic!H:H,1,0)),IF(ISERROR(VLOOKUP(F1515,Magic!T:T,1,0)),"N","Y"),"Y")</f>
        <v>Y</v>
      </c>
      <c r="F1515" s="13">
        <v>1514</v>
      </c>
    </row>
    <row r="1516" spans="1:6" x14ac:dyDescent="0.25">
      <c r="A1516" s="16">
        <v>42893</v>
      </c>
      <c r="B1516" s="13" t="s">
        <v>24</v>
      </c>
      <c r="C1516" s="13">
        <v>43</v>
      </c>
      <c r="D1516" s="13">
        <v>899.5</v>
      </c>
      <c r="E1516" s="13" t="str">
        <f>IF(ISERROR(VLOOKUP(F1516,Magic!H:H,1,0)),IF(ISERROR(VLOOKUP(F1516,Magic!T:T,1,0)),"N","Y"),"Y")</f>
        <v>Y</v>
      </c>
      <c r="F1516" s="13">
        <v>1515</v>
      </c>
    </row>
    <row r="1517" spans="1:6" x14ac:dyDescent="0.25">
      <c r="A1517" s="16">
        <v>42893</v>
      </c>
      <c r="B1517" s="13" t="s">
        <v>611</v>
      </c>
      <c r="C1517" s="13">
        <v>201</v>
      </c>
      <c r="D1517" s="13">
        <v>359</v>
      </c>
      <c r="E1517" s="13" t="str">
        <f>IF(ISERROR(VLOOKUP(F1517,Magic!H:H,1,0)),IF(ISERROR(VLOOKUP(F1517,Magic!T:T,1,0)),"N","Y"),"Y")</f>
        <v>Y</v>
      </c>
      <c r="F1517" s="13">
        <v>1516</v>
      </c>
    </row>
    <row r="1518" spans="1:6" x14ac:dyDescent="0.25">
      <c r="A1518" s="16">
        <v>42894</v>
      </c>
      <c r="B1518" s="13" t="s">
        <v>29</v>
      </c>
      <c r="C1518" s="13">
        <v>35</v>
      </c>
      <c r="D1518" s="13">
        <v>1135</v>
      </c>
      <c r="E1518" s="13" t="str">
        <f>IF(ISERROR(VLOOKUP(F1518,Magic!H:H,1,0)),IF(ISERROR(VLOOKUP(F1518,Magic!T:T,1,0)),"N","Y"),"Y")</f>
        <v>Y</v>
      </c>
      <c r="F1518" s="13">
        <v>1517</v>
      </c>
    </row>
    <row r="1519" spans="1:6" x14ac:dyDescent="0.25">
      <c r="A1519" s="16">
        <v>42894</v>
      </c>
      <c r="B1519" s="13" t="s">
        <v>82</v>
      </c>
      <c r="C1519" s="13">
        <v>35</v>
      </c>
      <c r="D1519" s="13">
        <v>859.5</v>
      </c>
      <c r="E1519" s="13" t="str">
        <f>IF(ISERROR(VLOOKUP(F1519,Magic!H:H,1,0)),IF(ISERROR(VLOOKUP(F1519,Magic!T:T,1,0)),"N","Y"),"Y")</f>
        <v>Y</v>
      </c>
      <c r="F1519" s="13">
        <v>1518</v>
      </c>
    </row>
    <row r="1520" spans="1:6" x14ac:dyDescent="0.25">
      <c r="A1520" s="16">
        <v>42894</v>
      </c>
      <c r="B1520" s="13" t="s">
        <v>31</v>
      </c>
      <c r="C1520" s="13">
        <v>37</v>
      </c>
      <c r="D1520" s="13">
        <v>806.65</v>
      </c>
      <c r="E1520" s="13" t="str">
        <f>IF(ISERROR(VLOOKUP(F1520,Magic!H:H,1,0)),IF(ISERROR(VLOOKUP(F1520,Magic!T:T,1,0)),"N","Y"),"Y")</f>
        <v>Y</v>
      </c>
      <c r="F1520" s="13">
        <v>1519</v>
      </c>
    </row>
    <row r="1521" spans="1:6" x14ac:dyDescent="0.25">
      <c r="A1521" s="16">
        <v>42894</v>
      </c>
      <c r="B1521" s="13" t="s">
        <v>81</v>
      </c>
      <c r="C1521" s="13">
        <v>41</v>
      </c>
      <c r="D1521" s="13">
        <v>800</v>
      </c>
      <c r="E1521" s="13" t="str">
        <f>IF(ISERROR(VLOOKUP(F1521,Magic!H:H,1,0)),IF(ISERROR(VLOOKUP(F1521,Magic!T:T,1,0)),"N","Y"),"Y")</f>
        <v>Y</v>
      </c>
      <c r="F1521" s="13">
        <v>1520</v>
      </c>
    </row>
    <row r="1522" spans="1:6" x14ac:dyDescent="0.25">
      <c r="A1522" s="16">
        <v>42894</v>
      </c>
      <c r="B1522" s="13" t="s">
        <v>819</v>
      </c>
      <c r="C1522" s="13">
        <v>43</v>
      </c>
      <c r="D1522" s="13">
        <v>827.3</v>
      </c>
      <c r="E1522" s="13" t="str">
        <f>IF(ISERROR(VLOOKUP(F1522,Magic!H:H,1,0)),IF(ISERROR(VLOOKUP(F1522,Magic!T:T,1,0)),"N","Y"),"Y")</f>
        <v>Y</v>
      </c>
      <c r="F1522" s="13">
        <v>1521</v>
      </c>
    </row>
    <row r="1523" spans="1:6" x14ac:dyDescent="0.25">
      <c r="A1523" s="16">
        <v>42894</v>
      </c>
      <c r="B1523" s="13" t="s">
        <v>25</v>
      </c>
      <c r="C1523" s="13">
        <v>44</v>
      </c>
      <c r="D1523" s="13">
        <v>350.45</v>
      </c>
      <c r="E1523" s="13" t="str">
        <f>IF(ISERROR(VLOOKUP(F1523,Magic!H:H,1,0)),IF(ISERROR(VLOOKUP(F1523,Magic!T:T,1,0)),"N","Y"),"Y")</f>
        <v>Y</v>
      </c>
      <c r="F1523" s="13">
        <v>1522</v>
      </c>
    </row>
    <row r="1524" spans="1:6" x14ac:dyDescent="0.25">
      <c r="A1524" s="16">
        <v>42894</v>
      </c>
      <c r="B1524" s="13" t="s">
        <v>28</v>
      </c>
      <c r="C1524" s="13">
        <v>103</v>
      </c>
      <c r="D1524" s="13">
        <v>871.1</v>
      </c>
      <c r="E1524" s="13" t="str">
        <f>IF(ISERROR(VLOOKUP(F1524,Magic!H:H,1,0)),IF(ISERROR(VLOOKUP(F1524,Magic!T:T,1,0)),"N","Y"),"Y")</f>
        <v>Y</v>
      </c>
      <c r="F1524" s="13">
        <v>1523</v>
      </c>
    </row>
    <row r="1525" spans="1:6" x14ac:dyDescent="0.25">
      <c r="A1525" s="16">
        <v>42894</v>
      </c>
      <c r="B1525" s="13" t="s">
        <v>611</v>
      </c>
      <c r="C1525" s="13">
        <v>201</v>
      </c>
      <c r="D1525" s="13">
        <v>662.05</v>
      </c>
      <c r="E1525" s="13" t="str">
        <f>IF(ISERROR(VLOOKUP(F1525,Magic!H:H,1,0)),IF(ISERROR(VLOOKUP(F1525,Magic!T:T,1,0)),"N","Y"),"Y")</f>
        <v>Y</v>
      </c>
      <c r="F1525" s="13">
        <v>1524</v>
      </c>
    </row>
    <row r="1526" spans="1:6" x14ac:dyDescent="0.25">
      <c r="A1526" s="16">
        <v>42897</v>
      </c>
      <c r="B1526" s="13" t="s">
        <v>28</v>
      </c>
      <c r="C1526" s="13">
        <v>103</v>
      </c>
      <c r="D1526" s="13">
        <v>1245.3</v>
      </c>
      <c r="E1526" s="13" t="str">
        <f>IF(ISERROR(VLOOKUP(F1526,Magic!H:H,1,0)),IF(ISERROR(VLOOKUP(F1526,Magic!T:T,1,0)),"N","Y"),"Y")</f>
        <v>Y</v>
      </c>
      <c r="F1526" s="13">
        <v>1525</v>
      </c>
    </row>
    <row r="1527" spans="1:6" x14ac:dyDescent="0.25">
      <c r="A1527" s="16">
        <v>42895</v>
      </c>
      <c r="B1527" s="13" t="s">
        <v>31</v>
      </c>
      <c r="C1527" s="13">
        <v>37</v>
      </c>
      <c r="D1527" s="13">
        <v>1194.8</v>
      </c>
      <c r="E1527" s="13" t="str">
        <f>IF(ISERROR(VLOOKUP(F1527,Magic!H:H,1,0)),IF(ISERROR(VLOOKUP(F1527,Magic!T:T,1,0)),"N","Y"),"Y")</f>
        <v>Y</v>
      </c>
      <c r="F1527" s="13">
        <v>1526</v>
      </c>
    </row>
    <row r="1528" spans="1:6" x14ac:dyDescent="0.25">
      <c r="A1528" s="16">
        <v>42895</v>
      </c>
      <c r="B1528" s="13" t="s">
        <v>81</v>
      </c>
      <c r="C1528" s="13">
        <v>41</v>
      </c>
      <c r="D1528" s="13">
        <v>1011.65</v>
      </c>
      <c r="E1528" s="13" t="str">
        <f>IF(ISERROR(VLOOKUP(F1528,Magic!H:H,1,0)),IF(ISERROR(VLOOKUP(F1528,Magic!T:T,1,0)),"N","Y"),"Y")</f>
        <v>Y</v>
      </c>
      <c r="F1528" s="13">
        <v>1527</v>
      </c>
    </row>
    <row r="1529" spans="1:6" x14ac:dyDescent="0.25">
      <c r="A1529" s="16">
        <v>42895</v>
      </c>
      <c r="B1529" s="13" t="s">
        <v>24</v>
      </c>
      <c r="C1529" s="13">
        <v>43</v>
      </c>
      <c r="D1529" s="13">
        <v>1715</v>
      </c>
      <c r="E1529" s="13" t="str">
        <f>IF(ISERROR(VLOOKUP(F1529,Magic!H:H,1,0)),IF(ISERROR(VLOOKUP(F1529,Magic!T:T,1,0)),"N","Y"),"Y")</f>
        <v>Y</v>
      </c>
      <c r="F1529" s="13">
        <v>1528</v>
      </c>
    </row>
    <row r="1530" spans="1:6" x14ac:dyDescent="0.25">
      <c r="A1530" s="16">
        <v>42895</v>
      </c>
      <c r="B1530" s="13" t="s">
        <v>25</v>
      </c>
      <c r="C1530" s="13">
        <v>44</v>
      </c>
      <c r="D1530" s="13">
        <v>578.95000000000005</v>
      </c>
      <c r="E1530" s="13" t="str">
        <f>IF(ISERROR(VLOOKUP(F1530,Magic!H:H,1,0)),IF(ISERROR(VLOOKUP(F1530,Magic!T:T,1,0)),"N","Y"),"Y")</f>
        <v>Y</v>
      </c>
      <c r="F1530" s="13">
        <v>1529</v>
      </c>
    </row>
    <row r="1531" spans="1:6" x14ac:dyDescent="0.25">
      <c r="A1531" s="16">
        <v>42895</v>
      </c>
      <c r="B1531" s="13" t="s">
        <v>28</v>
      </c>
      <c r="C1531" s="13">
        <v>103</v>
      </c>
      <c r="D1531" s="13">
        <v>2243.4</v>
      </c>
      <c r="E1531" s="13" t="str">
        <f>IF(ISERROR(VLOOKUP(F1531,Magic!H:H,1,0)),IF(ISERROR(VLOOKUP(F1531,Magic!T:T,1,0)),"N","Y"),"Y")</f>
        <v>Y</v>
      </c>
      <c r="F1531" s="13">
        <v>1530</v>
      </c>
    </row>
    <row r="1532" spans="1:6" x14ac:dyDescent="0.25">
      <c r="A1532" s="16">
        <v>42895</v>
      </c>
      <c r="B1532" s="13" t="s">
        <v>611</v>
      </c>
      <c r="C1532" s="13">
        <v>201</v>
      </c>
      <c r="D1532" s="13">
        <v>1030.3</v>
      </c>
      <c r="E1532" s="13" t="str">
        <f>IF(ISERROR(VLOOKUP(F1532,Magic!H:H,1,0)),IF(ISERROR(VLOOKUP(F1532,Magic!T:T,1,0)),"N","Y"),"Y")</f>
        <v>Y</v>
      </c>
      <c r="F1532" s="13">
        <v>1531</v>
      </c>
    </row>
    <row r="1533" spans="1:6" x14ac:dyDescent="0.25">
      <c r="A1533" s="1">
        <v>42899</v>
      </c>
      <c r="B1533" t="s">
        <v>82</v>
      </c>
      <c r="C1533">
        <v>35</v>
      </c>
      <c r="D1533">
        <v>3.2</v>
      </c>
      <c r="E1533" t="str">
        <f>IF(ISERROR(VLOOKUP(F1533,Magic!H:H,1,0)),IF(ISERROR(VLOOKUP(F1533,Magic!T:T,1,0)),"N","Y"),"Y")</f>
        <v>N</v>
      </c>
      <c r="F1533">
        <v>1533</v>
      </c>
    </row>
    <row r="1534" spans="1:6" x14ac:dyDescent="0.25">
      <c r="A1534" s="16">
        <v>42899</v>
      </c>
      <c r="B1534" s="13" t="s">
        <v>82</v>
      </c>
      <c r="C1534" s="13">
        <v>35</v>
      </c>
      <c r="D1534" s="13">
        <v>1676.8</v>
      </c>
      <c r="E1534" s="13" t="str">
        <f>IF(ISERROR(VLOOKUP(F1534,Magic!H:H,1,0)),IF(ISERROR(VLOOKUP(F1534,Magic!T:T,1,0)),"N","Y"),"Y")</f>
        <v>Y</v>
      </c>
      <c r="F1534" s="13">
        <v>1534</v>
      </c>
    </row>
    <row r="1535" spans="1:6" x14ac:dyDescent="0.25">
      <c r="A1535" s="16">
        <v>42899</v>
      </c>
      <c r="B1535" s="13" t="s">
        <v>82</v>
      </c>
      <c r="C1535" s="13">
        <v>35</v>
      </c>
      <c r="D1535" s="13">
        <v>640.1</v>
      </c>
      <c r="E1535" s="13" t="str">
        <f>IF(ISERROR(VLOOKUP(F1535,Magic!H:H,1,0)),IF(ISERROR(VLOOKUP(F1535,Magic!T:T,1,0)),"N","Y"),"Y")</f>
        <v>Y</v>
      </c>
      <c r="F1535" s="13">
        <v>1535</v>
      </c>
    </row>
    <row r="1536" spans="1:6" x14ac:dyDescent="0.25">
      <c r="A1536" s="16">
        <v>42899</v>
      </c>
      <c r="B1536" s="13" t="s">
        <v>82</v>
      </c>
      <c r="C1536" s="13">
        <v>35</v>
      </c>
      <c r="D1536" s="13">
        <v>1820.2</v>
      </c>
      <c r="E1536" s="13" t="str">
        <f>IF(ISERROR(VLOOKUP(F1536,Magic!H:H,1,0)),IF(ISERROR(VLOOKUP(F1536,Magic!T:T,1,0)),"N","Y"),"Y")</f>
        <v>Y</v>
      </c>
      <c r="F1536" s="13">
        <v>1536</v>
      </c>
    </row>
    <row r="1537" spans="1:6" x14ac:dyDescent="0.25">
      <c r="A1537" s="16">
        <v>42899</v>
      </c>
      <c r="B1537" s="13" t="s">
        <v>31</v>
      </c>
      <c r="C1537" s="13">
        <v>37</v>
      </c>
      <c r="D1537" s="13">
        <v>721.55</v>
      </c>
      <c r="E1537" s="13" t="str">
        <f>IF(ISERROR(VLOOKUP(F1537,Magic!H:H,1,0)),IF(ISERROR(VLOOKUP(F1537,Magic!T:T,1,0)),"N","Y"),"Y")</f>
        <v>Y</v>
      </c>
      <c r="F1537" s="13">
        <v>1537</v>
      </c>
    </row>
    <row r="1538" spans="1:6" x14ac:dyDescent="0.25">
      <c r="A1538" s="16">
        <v>42899</v>
      </c>
      <c r="B1538" s="13" t="s">
        <v>31</v>
      </c>
      <c r="C1538" s="13">
        <v>37</v>
      </c>
      <c r="D1538" s="13">
        <v>659.6</v>
      </c>
      <c r="E1538" s="13" t="str">
        <f>IF(ISERROR(VLOOKUP(F1538,Magic!H:H,1,0)),IF(ISERROR(VLOOKUP(F1538,Magic!T:T,1,0)),"N","Y"),"Y")</f>
        <v>Y</v>
      </c>
      <c r="F1538" s="13">
        <v>1538</v>
      </c>
    </row>
    <row r="1539" spans="1:6" x14ac:dyDescent="0.25">
      <c r="A1539" s="16">
        <v>42899</v>
      </c>
      <c r="B1539" s="13" t="s">
        <v>31</v>
      </c>
      <c r="C1539" s="13">
        <v>37</v>
      </c>
      <c r="D1539" s="13">
        <v>939.45</v>
      </c>
      <c r="E1539" s="13" t="str">
        <f>IF(ISERROR(VLOOKUP(F1539,Magic!H:H,1,0)),IF(ISERROR(VLOOKUP(F1539,Magic!T:T,1,0)),"N","Y"),"Y")</f>
        <v>Y</v>
      </c>
      <c r="F1539" s="13">
        <v>1539</v>
      </c>
    </row>
    <row r="1540" spans="1:6" x14ac:dyDescent="0.25">
      <c r="A1540" s="16">
        <v>42899</v>
      </c>
      <c r="B1540" s="13" t="s">
        <v>81</v>
      </c>
      <c r="C1540" s="13">
        <v>41</v>
      </c>
      <c r="D1540" s="13">
        <v>779.15</v>
      </c>
      <c r="E1540" s="13" t="str">
        <f>IF(ISERROR(VLOOKUP(F1540,Magic!H:H,1,0)),IF(ISERROR(VLOOKUP(F1540,Magic!T:T,1,0)),"N","Y"),"Y")</f>
        <v>Y</v>
      </c>
      <c r="F1540" s="13">
        <v>1540</v>
      </c>
    </row>
    <row r="1541" spans="1:6" x14ac:dyDescent="0.25">
      <c r="A1541" s="16">
        <v>42899</v>
      </c>
      <c r="B1541" s="13" t="s">
        <v>81</v>
      </c>
      <c r="C1541" s="13">
        <v>41</v>
      </c>
      <c r="D1541" s="13">
        <v>851</v>
      </c>
      <c r="E1541" s="13" t="str">
        <f>IF(ISERROR(VLOOKUP(F1541,Magic!H:H,1,0)),IF(ISERROR(VLOOKUP(F1541,Magic!T:T,1,0)),"N","Y"),"Y")</f>
        <v>Y</v>
      </c>
      <c r="F1541" s="13">
        <v>1541</v>
      </c>
    </row>
    <row r="1542" spans="1:6" x14ac:dyDescent="0.25">
      <c r="A1542" s="16">
        <v>42899</v>
      </c>
      <c r="B1542" s="13" t="s">
        <v>81</v>
      </c>
      <c r="C1542" s="13">
        <v>41</v>
      </c>
      <c r="D1542" s="13">
        <v>304.64999999999998</v>
      </c>
      <c r="E1542" s="13" t="str">
        <f>IF(ISERROR(VLOOKUP(F1542,Magic!H:H,1,0)),IF(ISERROR(VLOOKUP(F1542,Magic!T:T,1,0)),"N","Y"),"Y")</f>
        <v>Y</v>
      </c>
      <c r="F1542" s="13">
        <v>1542</v>
      </c>
    </row>
    <row r="1543" spans="1:6" x14ac:dyDescent="0.25">
      <c r="A1543" s="16">
        <v>42899</v>
      </c>
      <c r="B1543" s="13" t="s">
        <v>24</v>
      </c>
      <c r="C1543" s="13">
        <v>43</v>
      </c>
      <c r="D1543" s="13">
        <v>667.5</v>
      </c>
      <c r="E1543" s="13" t="str">
        <f>IF(ISERROR(VLOOKUP(F1543,Magic!H:H,1,0)),IF(ISERROR(VLOOKUP(F1543,Magic!T:T,1,0)),"N","Y"),"Y")</f>
        <v>Y</v>
      </c>
      <c r="F1543" s="13">
        <v>1543</v>
      </c>
    </row>
    <row r="1544" spans="1:6" x14ac:dyDescent="0.25">
      <c r="A1544" s="16">
        <v>42899</v>
      </c>
      <c r="B1544" s="13" t="s">
        <v>24</v>
      </c>
      <c r="C1544" s="13">
        <v>43</v>
      </c>
      <c r="D1544" s="13">
        <v>1619.85</v>
      </c>
      <c r="E1544" s="13" t="str">
        <f>IF(ISERROR(VLOOKUP(F1544,Magic!H:H,1,0)),IF(ISERROR(VLOOKUP(F1544,Magic!T:T,1,0)),"N","Y"),"Y")</f>
        <v>Y</v>
      </c>
      <c r="F1544" s="13">
        <v>1544</v>
      </c>
    </row>
    <row r="1545" spans="1:6" x14ac:dyDescent="0.25">
      <c r="A1545" s="16">
        <v>42899</v>
      </c>
      <c r="B1545" s="13" t="s">
        <v>24</v>
      </c>
      <c r="C1545" s="13">
        <v>43</v>
      </c>
      <c r="D1545" s="13">
        <v>1636.95</v>
      </c>
      <c r="E1545" s="13" t="str">
        <f>IF(ISERROR(VLOOKUP(F1545,Magic!H:H,1,0)),IF(ISERROR(VLOOKUP(F1545,Magic!T:T,1,0)),"N","Y"),"Y")</f>
        <v>Y</v>
      </c>
      <c r="F1545" s="13">
        <v>1545</v>
      </c>
    </row>
    <row r="1546" spans="1:6" x14ac:dyDescent="0.25">
      <c r="A1546" s="16">
        <v>42899</v>
      </c>
      <c r="B1546" s="13" t="s">
        <v>25</v>
      </c>
      <c r="C1546" s="13">
        <v>44</v>
      </c>
      <c r="D1546" s="13">
        <v>741.95</v>
      </c>
      <c r="E1546" s="13" t="s">
        <v>71</v>
      </c>
      <c r="F1546" s="13">
        <v>1546</v>
      </c>
    </row>
    <row r="1547" spans="1:6" x14ac:dyDescent="0.25">
      <c r="A1547" s="16">
        <v>42899</v>
      </c>
      <c r="B1547" s="13" t="s">
        <v>25</v>
      </c>
      <c r="C1547" s="13">
        <v>44</v>
      </c>
      <c r="D1547" s="13">
        <v>368.5</v>
      </c>
      <c r="E1547" s="13" t="str">
        <f>IF(ISERROR(VLOOKUP(F1547,Magic!H:H,1,0)),IF(ISERROR(VLOOKUP(F1547,Magic!T:T,1,0)),"N","Y"),"Y")</f>
        <v>Y</v>
      </c>
      <c r="F1547" s="13">
        <v>1553</v>
      </c>
    </row>
    <row r="1548" spans="1:6" x14ac:dyDescent="0.25">
      <c r="A1548" s="16">
        <v>42899</v>
      </c>
      <c r="B1548" s="13" t="s">
        <v>25</v>
      </c>
      <c r="C1548" s="13">
        <v>44</v>
      </c>
      <c r="D1548" s="13">
        <v>370.65</v>
      </c>
      <c r="E1548" s="13" t="str">
        <f>IF(ISERROR(VLOOKUP(F1548,Magic!H:H,1,0)),IF(ISERROR(VLOOKUP(F1548,Magic!T:T,1,0)),"N","Y"),"Y")</f>
        <v>Y</v>
      </c>
      <c r="F1548" s="13">
        <v>1554</v>
      </c>
    </row>
    <row r="1549" spans="1:6" x14ac:dyDescent="0.25">
      <c r="A1549" s="16">
        <v>42899</v>
      </c>
      <c r="B1549" s="13" t="s">
        <v>28</v>
      </c>
      <c r="C1549" s="13">
        <v>103</v>
      </c>
      <c r="D1549" s="13">
        <v>7</v>
      </c>
      <c r="E1549" s="13" t="s">
        <v>71</v>
      </c>
      <c r="F1549" s="13">
        <v>1547</v>
      </c>
    </row>
    <row r="1550" spans="1:6" x14ac:dyDescent="0.25">
      <c r="A1550" s="16">
        <v>42899</v>
      </c>
      <c r="B1550" s="13" t="s">
        <v>28</v>
      </c>
      <c r="C1550" s="13">
        <v>103</v>
      </c>
      <c r="D1550" s="13">
        <v>175</v>
      </c>
      <c r="E1550" s="13" t="s">
        <v>71</v>
      </c>
      <c r="F1550" s="13">
        <v>1548</v>
      </c>
    </row>
    <row r="1551" spans="1:6" x14ac:dyDescent="0.25">
      <c r="A1551" s="16">
        <v>42899</v>
      </c>
      <c r="B1551" s="13" t="s">
        <v>28</v>
      </c>
      <c r="C1551" s="13">
        <v>103</v>
      </c>
      <c r="D1551" s="13">
        <v>400.6</v>
      </c>
      <c r="E1551" s="13" t="s">
        <v>71</v>
      </c>
      <c r="F1551" s="13">
        <v>1549</v>
      </c>
    </row>
    <row r="1552" spans="1:6" x14ac:dyDescent="0.25">
      <c r="A1552" s="16">
        <v>42899</v>
      </c>
      <c r="B1552" s="13" t="s">
        <v>28</v>
      </c>
      <c r="C1552" s="13">
        <v>103</v>
      </c>
      <c r="D1552" s="13">
        <v>0.5</v>
      </c>
      <c r="E1552" s="13" t="s">
        <v>71</v>
      </c>
      <c r="F1552" s="13">
        <v>1532</v>
      </c>
    </row>
    <row r="1553" spans="1:6" x14ac:dyDescent="0.25">
      <c r="A1553" s="16">
        <v>42899</v>
      </c>
      <c r="B1553" s="13" t="s">
        <v>28</v>
      </c>
      <c r="C1553" s="13">
        <v>103</v>
      </c>
      <c r="D1553" s="13">
        <v>583.1</v>
      </c>
      <c r="E1553" s="13" t="str">
        <f>IF(ISERROR(VLOOKUP(F1553,Magic!H:H,1,0)),IF(ISERROR(VLOOKUP(F1553,Magic!T:T,1,0)),"N","Y"),"Y")</f>
        <v>Y</v>
      </c>
      <c r="F1553" s="13">
        <v>1580</v>
      </c>
    </row>
    <row r="1554" spans="1:6" x14ac:dyDescent="0.25">
      <c r="A1554" s="16">
        <v>42899</v>
      </c>
      <c r="B1554" s="13" t="s">
        <v>611</v>
      </c>
      <c r="C1554" s="13">
        <v>201</v>
      </c>
      <c r="D1554" s="13">
        <v>977.7</v>
      </c>
      <c r="E1554" s="13" t="str">
        <f>IF(ISERROR(VLOOKUP(F1554,Magic!H:H,1,0)),IF(ISERROR(VLOOKUP(F1554,Magic!T:T,1,0)),"N","Y"),"Y")</f>
        <v>Y</v>
      </c>
      <c r="F1554" s="13">
        <v>1550</v>
      </c>
    </row>
    <row r="1555" spans="1:6" x14ac:dyDescent="0.25">
      <c r="A1555" s="16">
        <v>42899</v>
      </c>
      <c r="B1555" s="13" t="s">
        <v>611</v>
      </c>
      <c r="C1555" s="13">
        <v>201</v>
      </c>
      <c r="D1555" s="13">
        <v>902.45</v>
      </c>
      <c r="E1555" s="13" t="str">
        <f>IF(ISERROR(VLOOKUP(F1555,Magic!H:H,1,0)),IF(ISERROR(VLOOKUP(F1555,Magic!T:T,1,0)),"N","Y"),"Y")</f>
        <v>Y</v>
      </c>
      <c r="F1555" s="13">
        <v>1551</v>
      </c>
    </row>
    <row r="1556" spans="1:6" x14ac:dyDescent="0.25">
      <c r="A1556" s="16">
        <v>42899</v>
      </c>
      <c r="B1556" s="13" t="s">
        <v>611</v>
      </c>
      <c r="C1556" s="13">
        <v>201</v>
      </c>
      <c r="D1556" s="13">
        <v>574.79999999999995</v>
      </c>
      <c r="E1556" s="13" t="str">
        <f>IF(ISERROR(VLOOKUP(F1556,Magic!H:H,1,0)),IF(ISERROR(VLOOKUP(F1556,Magic!T:T,1,0)),"N","Y"),"Y")</f>
        <v>Y</v>
      </c>
      <c r="F1556" s="13">
        <v>1552</v>
      </c>
    </row>
    <row r="1557" spans="1:6" x14ac:dyDescent="0.25">
      <c r="A1557" s="16">
        <v>42900</v>
      </c>
      <c r="B1557" s="13" t="s">
        <v>29</v>
      </c>
      <c r="C1557" s="13">
        <v>35</v>
      </c>
      <c r="D1557" s="13">
        <v>895</v>
      </c>
      <c r="E1557" s="13" t="str">
        <f>IF(ISERROR(VLOOKUP(F1557,Magic!H:H,1,0)),IF(ISERROR(VLOOKUP(F1557,Magic!T:T,1,0)),"N","Y"),"Y")</f>
        <v>Y</v>
      </c>
      <c r="F1557" s="13">
        <v>1555</v>
      </c>
    </row>
    <row r="1558" spans="1:6" x14ac:dyDescent="0.25">
      <c r="A1558" s="16">
        <v>42900</v>
      </c>
      <c r="B1558" s="13" t="s">
        <v>82</v>
      </c>
      <c r="C1558" s="13">
        <v>35</v>
      </c>
      <c r="D1558" s="13">
        <v>1136</v>
      </c>
      <c r="E1558" s="13" t="str">
        <f>IF(ISERROR(VLOOKUP(F1558,Magic!H:H,1,0)),IF(ISERROR(VLOOKUP(F1558,Magic!T:T,1,0)),"N","Y"),"Y")</f>
        <v>Y</v>
      </c>
      <c r="F1558" s="13">
        <v>1556</v>
      </c>
    </row>
    <row r="1559" spans="1:6" x14ac:dyDescent="0.25">
      <c r="A1559" s="16">
        <v>42900</v>
      </c>
      <c r="B1559" s="13" t="s">
        <v>146</v>
      </c>
      <c r="C1559" s="13">
        <v>37</v>
      </c>
      <c r="D1559" s="13">
        <v>520</v>
      </c>
      <c r="E1559" s="13" t="str">
        <f>IF(ISERROR(VLOOKUP(F1559,Magic!H:H,1,0)),IF(ISERROR(VLOOKUP(F1559,Magic!T:T,1,0)),"N","Y"),"Y")</f>
        <v>Y</v>
      </c>
      <c r="F1559" s="13">
        <v>1557</v>
      </c>
    </row>
    <row r="1560" spans="1:6" x14ac:dyDescent="0.25">
      <c r="A1560" s="16">
        <v>42900</v>
      </c>
      <c r="B1560" s="13" t="s">
        <v>81</v>
      </c>
      <c r="C1560" s="13">
        <v>41</v>
      </c>
      <c r="D1560" s="13">
        <v>449.55</v>
      </c>
      <c r="E1560" s="13" t="str">
        <f>IF(ISERROR(VLOOKUP(F1560,Magic!H:H,1,0)),IF(ISERROR(VLOOKUP(F1560,Magic!T:T,1,0)),"N","Y"),"Y")</f>
        <v>Y</v>
      </c>
      <c r="F1560" s="13">
        <v>1558</v>
      </c>
    </row>
    <row r="1561" spans="1:6" x14ac:dyDescent="0.25">
      <c r="A1561" s="16">
        <v>42900</v>
      </c>
      <c r="B1561" s="13" t="s">
        <v>24</v>
      </c>
      <c r="C1561" s="13">
        <v>43</v>
      </c>
      <c r="D1561" s="13">
        <v>847.5</v>
      </c>
      <c r="E1561" s="13" t="str">
        <f>IF(ISERROR(VLOOKUP(F1561,Magic!H:H,1,0)),IF(ISERROR(VLOOKUP(F1561,Magic!T:T,1,0)),"N","Y"),"Y")</f>
        <v>Y</v>
      </c>
      <c r="F1561" s="13">
        <v>1559</v>
      </c>
    </row>
    <row r="1562" spans="1:6" x14ac:dyDescent="0.25">
      <c r="A1562" s="16">
        <v>42900</v>
      </c>
      <c r="B1562" s="13" t="s">
        <v>25</v>
      </c>
      <c r="C1562" s="13">
        <v>44</v>
      </c>
      <c r="D1562" s="13">
        <v>300.60000000000002</v>
      </c>
      <c r="E1562" s="13" t="str">
        <f>IF(ISERROR(VLOOKUP(F1562,Magic!H:H,1,0)),IF(ISERROR(VLOOKUP(F1562,Magic!T:T,1,0)),"N","Y"),"Y")</f>
        <v>Y</v>
      </c>
      <c r="F1562" s="13">
        <v>1560</v>
      </c>
    </row>
    <row r="1563" spans="1:6" x14ac:dyDescent="0.25">
      <c r="A1563" s="16">
        <v>42900</v>
      </c>
      <c r="B1563" s="13" t="s">
        <v>28</v>
      </c>
      <c r="C1563" s="13">
        <v>103</v>
      </c>
      <c r="D1563" s="13">
        <v>918.3</v>
      </c>
      <c r="E1563" s="13" t="str">
        <f>IF(ISERROR(VLOOKUP(F1563,Magic!H:H,1,0)),IF(ISERROR(VLOOKUP(F1563,Magic!T:T,1,0)),"N","Y"),"Y")</f>
        <v>Y</v>
      </c>
      <c r="F1563" s="13">
        <v>1561</v>
      </c>
    </row>
    <row r="1564" spans="1:6" x14ac:dyDescent="0.25">
      <c r="A1564" s="16">
        <v>42900</v>
      </c>
      <c r="B1564" s="13" t="s">
        <v>611</v>
      </c>
      <c r="C1564" s="13">
        <v>201</v>
      </c>
      <c r="D1564" s="13">
        <v>674.55</v>
      </c>
      <c r="E1564" s="13" t="str">
        <f>IF(ISERROR(VLOOKUP(F1564,Magic!H:H,1,0)),IF(ISERROR(VLOOKUP(F1564,Magic!T:T,1,0)),"N","Y"),"Y")</f>
        <v>Y</v>
      </c>
      <c r="F1564" s="13">
        <v>1562</v>
      </c>
    </row>
    <row r="1565" spans="1:6" x14ac:dyDescent="0.25">
      <c r="A1565" s="16">
        <v>42904</v>
      </c>
      <c r="B1565" s="13" t="s">
        <v>28</v>
      </c>
      <c r="C1565" s="13">
        <v>103</v>
      </c>
      <c r="D1565" s="13">
        <v>927.55</v>
      </c>
      <c r="E1565" s="13" t="str">
        <f>IF(ISERROR(VLOOKUP(F1565,Magic!H:H,1,0)),IF(ISERROR(VLOOKUP(F1565,Magic!T:T,1,0)),"N","Y"),"Y")</f>
        <v>Y</v>
      </c>
      <c r="F1565" s="13">
        <v>1563</v>
      </c>
    </row>
    <row r="1566" spans="1:6" x14ac:dyDescent="0.25">
      <c r="A1566" s="16">
        <v>42901</v>
      </c>
      <c r="B1566" s="13" t="s">
        <v>29</v>
      </c>
      <c r="C1566" s="13">
        <v>35</v>
      </c>
      <c r="D1566" s="13">
        <v>1710</v>
      </c>
      <c r="E1566" s="13" t="str">
        <f>IF(ISERROR(VLOOKUP(F1566,Magic!H:H,1,0)),IF(ISERROR(VLOOKUP(F1566,Magic!T:T,1,0)),"N","Y"),"Y")</f>
        <v>Y</v>
      </c>
      <c r="F1566" s="13">
        <v>1564</v>
      </c>
    </row>
    <row r="1567" spans="1:6" x14ac:dyDescent="0.25">
      <c r="A1567" s="16">
        <v>42901</v>
      </c>
      <c r="B1567" s="13" t="s">
        <v>57</v>
      </c>
      <c r="C1567" s="13">
        <v>35</v>
      </c>
      <c r="D1567" s="13">
        <v>34.049999999999997</v>
      </c>
      <c r="E1567" s="13" t="str">
        <f>IF(ISERROR(VLOOKUP(F1567,Magic!H:H,1,0)),IF(ISERROR(VLOOKUP(F1567,Magic!T:T,1,0)),"N","Y"),"Y")</f>
        <v>Y</v>
      </c>
      <c r="F1567" s="13">
        <v>1565</v>
      </c>
    </row>
    <row r="1568" spans="1:6" x14ac:dyDescent="0.25">
      <c r="A1568" s="16">
        <v>42901</v>
      </c>
      <c r="B1568" s="13" t="s">
        <v>146</v>
      </c>
      <c r="C1568" s="13">
        <v>37</v>
      </c>
      <c r="D1568" s="13">
        <v>786.3</v>
      </c>
      <c r="E1568" s="13" t="str">
        <f>IF(ISERROR(VLOOKUP(F1568,Magic!H:H,1,0)),IF(ISERROR(VLOOKUP(F1568,Magic!T:T,1,0)),"N","Y"),"Y")</f>
        <v>Y</v>
      </c>
      <c r="F1568" s="13">
        <v>1566</v>
      </c>
    </row>
    <row r="1569" spans="1:6" x14ac:dyDescent="0.25">
      <c r="A1569" s="16">
        <v>42901</v>
      </c>
      <c r="B1569" s="13" t="s">
        <v>81</v>
      </c>
      <c r="C1569" s="13">
        <v>41</v>
      </c>
      <c r="D1569" s="13">
        <v>473.1</v>
      </c>
      <c r="E1569" s="13" t="str">
        <f>IF(ISERROR(VLOOKUP(F1569,Magic!H:H,1,0)),IF(ISERROR(VLOOKUP(F1569,Magic!T:T,1,0)),"N","Y"),"Y")</f>
        <v>Y</v>
      </c>
      <c r="F1569" s="13">
        <v>1567</v>
      </c>
    </row>
    <row r="1570" spans="1:6" x14ac:dyDescent="0.25">
      <c r="A1570" s="16">
        <v>42901</v>
      </c>
      <c r="B1570" s="13" t="s">
        <v>819</v>
      </c>
      <c r="C1570" s="13">
        <v>43</v>
      </c>
      <c r="D1570" s="13">
        <v>1164.3</v>
      </c>
      <c r="E1570" s="13" t="str">
        <f>IF(ISERROR(VLOOKUP(F1570,Magic!H:H,1,0)),IF(ISERROR(VLOOKUP(F1570,Magic!T:T,1,0)),"N","Y"),"Y")</f>
        <v>Y</v>
      </c>
      <c r="F1570" s="13">
        <v>1568</v>
      </c>
    </row>
    <row r="1571" spans="1:6" x14ac:dyDescent="0.25">
      <c r="A1571" s="16">
        <v>42901</v>
      </c>
      <c r="B1571" s="13" t="s">
        <v>25</v>
      </c>
      <c r="C1571" s="13">
        <v>44</v>
      </c>
      <c r="D1571" s="13">
        <v>371.55</v>
      </c>
      <c r="E1571" s="13" t="str">
        <f>IF(ISERROR(VLOOKUP(F1571,Magic!H:H,1,0)),IF(ISERROR(VLOOKUP(F1571,Magic!T:T,1,0)),"N","Y"),"Y")</f>
        <v>Y</v>
      </c>
      <c r="F1571" s="13">
        <v>1569</v>
      </c>
    </row>
    <row r="1572" spans="1:6" x14ac:dyDescent="0.25">
      <c r="A1572" s="16">
        <v>42901</v>
      </c>
      <c r="B1572" s="13" t="s">
        <v>28</v>
      </c>
      <c r="C1572" s="13">
        <v>103</v>
      </c>
      <c r="D1572" s="13">
        <v>666.5</v>
      </c>
      <c r="E1572" s="13" t="str">
        <f>IF(ISERROR(VLOOKUP(F1572,Magic!H:H,1,0)),IF(ISERROR(VLOOKUP(F1572,Magic!T:T,1,0)),"N","Y"),"Y")</f>
        <v>Y</v>
      </c>
      <c r="F1572" s="13">
        <v>1570</v>
      </c>
    </row>
    <row r="1573" spans="1:6" x14ac:dyDescent="0.25">
      <c r="A1573" s="16">
        <v>42901</v>
      </c>
      <c r="B1573" s="13" t="s">
        <v>611</v>
      </c>
      <c r="C1573" s="13">
        <v>201</v>
      </c>
      <c r="D1573" s="13">
        <v>752.4</v>
      </c>
      <c r="E1573" s="13" t="str">
        <f>IF(ISERROR(VLOOKUP(F1573,Magic!H:H,1,0)),IF(ISERROR(VLOOKUP(F1573,Magic!T:T,1,0)),"N","Y"),"Y")</f>
        <v>Y</v>
      </c>
      <c r="F1573" s="13">
        <v>1571</v>
      </c>
    </row>
    <row r="1574" spans="1:6" x14ac:dyDescent="0.25">
      <c r="A1574" s="16">
        <v>42902</v>
      </c>
      <c r="B1574" s="13" t="s">
        <v>29</v>
      </c>
      <c r="C1574" s="13">
        <v>35</v>
      </c>
      <c r="D1574" s="13">
        <v>1385</v>
      </c>
      <c r="E1574" s="13" t="str">
        <f>IF(ISERROR(VLOOKUP(F1574,Magic!H:H,1,0)),IF(ISERROR(VLOOKUP(F1574,Magic!T:T,1,0)),"N","Y"),"Y")</f>
        <v>Y</v>
      </c>
      <c r="F1574" s="13">
        <v>1572</v>
      </c>
    </row>
    <row r="1575" spans="1:6" x14ac:dyDescent="0.25">
      <c r="A1575" s="16">
        <v>42902</v>
      </c>
      <c r="B1575" s="13" t="s">
        <v>57</v>
      </c>
      <c r="C1575" s="13">
        <v>35</v>
      </c>
      <c r="D1575" s="13">
        <v>3.35</v>
      </c>
      <c r="E1575" s="13" t="str">
        <f>IF(ISERROR(VLOOKUP(F1575,Magic!H:H,1,0)),IF(ISERROR(VLOOKUP(F1575,Magic!T:T,1,0)),"N","Y"),"Y")</f>
        <v>Y</v>
      </c>
      <c r="F1575" s="13">
        <v>1573</v>
      </c>
    </row>
    <row r="1576" spans="1:6" x14ac:dyDescent="0.25">
      <c r="A1576" s="16">
        <v>42902</v>
      </c>
      <c r="B1576" s="13" t="s">
        <v>146</v>
      </c>
      <c r="C1576" s="13">
        <v>37</v>
      </c>
      <c r="D1576" s="13">
        <v>925.45</v>
      </c>
      <c r="E1576" s="13" t="str">
        <f>IF(ISERROR(VLOOKUP(F1576,Magic!H:H,1,0)),IF(ISERROR(VLOOKUP(F1576,Magic!T:T,1,0)),"N","Y"),"Y")</f>
        <v>Y</v>
      </c>
      <c r="F1576" s="13">
        <v>1574</v>
      </c>
    </row>
    <row r="1577" spans="1:6" x14ac:dyDescent="0.25">
      <c r="A1577" s="16">
        <v>42902</v>
      </c>
      <c r="B1577" s="13" t="s">
        <v>31</v>
      </c>
      <c r="C1577" s="13">
        <v>37</v>
      </c>
      <c r="D1577" s="13">
        <v>0.5</v>
      </c>
      <c r="E1577" s="13" t="str">
        <f>IF(ISERROR(VLOOKUP(F1577,Magic!H:H,1,0)),IF(ISERROR(VLOOKUP(F1577,Magic!T:T,1,0)),"N","Y"),"Y")</f>
        <v>Y</v>
      </c>
      <c r="F1577" s="13">
        <v>1575</v>
      </c>
    </row>
    <row r="1578" spans="1:6" x14ac:dyDescent="0.25">
      <c r="A1578" s="16">
        <v>42902</v>
      </c>
      <c r="B1578" s="13" t="s">
        <v>81</v>
      </c>
      <c r="C1578" s="13">
        <v>41</v>
      </c>
      <c r="D1578" s="13">
        <v>630.25</v>
      </c>
      <c r="E1578" s="13" t="str">
        <f>IF(ISERROR(VLOOKUP(F1578,Magic!H:H,1,0)),IF(ISERROR(VLOOKUP(F1578,Magic!T:T,1,0)),"N","Y"),"Y")</f>
        <v>Y</v>
      </c>
      <c r="F1578" s="13">
        <v>1576</v>
      </c>
    </row>
    <row r="1579" spans="1:6" x14ac:dyDescent="0.25">
      <c r="A1579" s="16">
        <v>42902</v>
      </c>
      <c r="B1579" s="13" t="s">
        <v>24</v>
      </c>
      <c r="C1579" s="13">
        <v>43</v>
      </c>
      <c r="D1579" s="13">
        <v>1257.0999999999999</v>
      </c>
      <c r="E1579" s="13" t="str">
        <f>IF(ISERROR(VLOOKUP(F1579,Magic!H:H,1,0)),IF(ISERROR(VLOOKUP(F1579,Magic!T:T,1,0)),"N","Y"),"Y")</f>
        <v>Y</v>
      </c>
      <c r="F1579" s="13">
        <v>1577</v>
      </c>
    </row>
    <row r="1580" spans="1:6" x14ac:dyDescent="0.25">
      <c r="A1580" s="16">
        <v>42902</v>
      </c>
      <c r="B1580" s="13" t="s">
        <v>28</v>
      </c>
      <c r="C1580" s="13">
        <v>103</v>
      </c>
      <c r="D1580" s="13">
        <v>1586.25</v>
      </c>
      <c r="E1580" s="13" t="str">
        <f>IF(ISERROR(VLOOKUP(F1580,Magic!H:H,1,0)),IF(ISERROR(VLOOKUP(F1580,Magic!T:T,1,0)),"N","Y"),"Y")</f>
        <v>Y</v>
      </c>
      <c r="F1580" s="13">
        <v>1578</v>
      </c>
    </row>
    <row r="1581" spans="1:6" x14ac:dyDescent="0.25">
      <c r="A1581" s="16">
        <v>42902</v>
      </c>
      <c r="B1581" s="13" t="s">
        <v>611</v>
      </c>
      <c r="C1581" s="13">
        <v>201</v>
      </c>
      <c r="D1581" s="13">
        <v>1035.3499999999999</v>
      </c>
      <c r="E1581" s="13" t="str">
        <f>IF(ISERROR(VLOOKUP(F1581,Magic!H:H,1,0)),IF(ISERROR(VLOOKUP(F1581,Magic!T:T,1,0)),"N","Y"),"Y")</f>
        <v>Y</v>
      </c>
      <c r="F1581" s="13">
        <v>1579</v>
      </c>
    </row>
    <row r="1582" spans="1:6" x14ac:dyDescent="0.25">
      <c r="A1582" s="16">
        <v>42905</v>
      </c>
      <c r="B1582" s="13" t="s">
        <v>29</v>
      </c>
      <c r="C1582" s="13">
        <v>35</v>
      </c>
      <c r="D1582" s="13">
        <v>705</v>
      </c>
      <c r="E1582" s="13" t="str">
        <f>IF(ISERROR(VLOOKUP(F1582,Magic!H:H,1,0)),IF(ISERROR(VLOOKUP(F1582,Magic!T:T,1,0)),"N","Y"),"Y")</f>
        <v>Y</v>
      </c>
      <c r="F1582" s="13">
        <v>1581</v>
      </c>
    </row>
    <row r="1583" spans="1:6" x14ac:dyDescent="0.25">
      <c r="A1583" s="16">
        <v>42905</v>
      </c>
      <c r="B1583" s="13" t="s">
        <v>82</v>
      </c>
      <c r="C1583" s="13">
        <v>35</v>
      </c>
      <c r="D1583" s="13">
        <v>582.4</v>
      </c>
      <c r="E1583" s="13" t="str">
        <f>IF(ISERROR(VLOOKUP(F1583,Magic!H:H,1,0)),IF(ISERROR(VLOOKUP(F1583,Magic!T:T,1,0)),"N","Y"),"Y")</f>
        <v>Y</v>
      </c>
      <c r="F1583" s="13">
        <v>1582</v>
      </c>
    </row>
    <row r="1584" spans="1:6" x14ac:dyDescent="0.25">
      <c r="A1584" s="16">
        <v>42905</v>
      </c>
      <c r="B1584" s="13" t="s">
        <v>82</v>
      </c>
      <c r="C1584" s="13">
        <v>35</v>
      </c>
      <c r="D1584" s="13">
        <v>899.05</v>
      </c>
      <c r="E1584" s="13" t="str">
        <f>IF(ISERROR(VLOOKUP(F1584,Magic!H:H,1,0)),IF(ISERROR(VLOOKUP(F1584,Magic!T:T,1,0)),"N","Y"),"Y")</f>
        <v>Y</v>
      </c>
      <c r="F1584" s="13">
        <v>1583</v>
      </c>
    </row>
    <row r="1585" spans="1:6" x14ac:dyDescent="0.25">
      <c r="A1585" s="16">
        <v>42905</v>
      </c>
      <c r="B1585" s="13" t="s">
        <v>82</v>
      </c>
      <c r="C1585" s="13">
        <v>35</v>
      </c>
      <c r="D1585" s="13">
        <v>7.65</v>
      </c>
      <c r="E1585" s="13" t="str">
        <f>IF(ISERROR(VLOOKUP(F1585,Magic!H:H,1,0)),IF(ISERROR(VLOOKUP(F1585,Magic!T:T,1,0)),"N","Y"),"Y")</f>
        <v>Y</v>
      </c>
      <c r="F1585" s="13">
        <v>1584</v>
      </c>
    </row>
    <row r="1586" spans="1:6" x14ac:dyDescent="0.25">
      <c r="A1586" s="16">
        <v>42905</v>
      </c>
      <c r="B1586" s="13" t="s">
        <v>31</v>
      </c>
      <c r="C1586" s="13">
        <v>37</v>
      </c>
      <c r="D1586" s="13">
        <v>409.5</v>
      </c>
      <c r="E1586" s="13" t="str">
        <f>IF(ISERROR(VLOOKUP(F1586,Magic!H:H,1,0)),IF(ISERROR(VLOOKUP(F1586,Magic!T:T,1,0)),"N","Y"),"Y")</f>
        <v>Y</v>
      </c>
      <c r="F1586" s="13">
        <v>1585</v>
      </c>
    </row>
    <row r="1587" spans="1:6" x14ac:dyDescent="0.25">
      <c r="A1587" s="16">
        <v>42905</v>
      </c>
      <c r="B1587" s="13" t="s">
        <v>31</v>
      </c>
      <c r="C1587" s="13">
        <v>37</v>
      </c>
      <c r="D1587" s="13">
        <v>874.2</v>
      </c>
      <c r="E1587" s="13" t="str">
        <f>IF(ISERROR(VLOOKUP(F1587,Magic!H:H,1,0)),IF(ISERROR(VLOOKUP(F1587,Magic!T:T,1,0)),"N","Y"),"Y")</f>
        <v>Y</v>
      </c>
      <c r="F1587" s="13">
        <v>1586</v>
      </c>
    </row>
    <row r="1588" spans="1:6" x14ac:dyDescent="0.25">
      <c r="A1588" s="16">
        <v>42905</v>
      </c>
      <c r="B1588" s="13" t="s">
        <v>31</v>
      </c>
      <c r="C1588" s="13">
        <v>37</v>
      </c>
      <c r="D1588" s="13">
        <v>752.45</v>
      </c>
      <c r="E1588" s="13" t="str">
        <f>IF(ISERROR(VLOOKUP(F1588,Magic!H:H,1,0)),IF(ISERROR(VLOOKUP(F1588,Magic!T:T,1,0)),"N","Y"),"Y")</f>
        <v>Y</v>
      </c>
      <c r="F1588" s="13">
        <v>1587</v>
      </c>
    </row>
    <row r="1589" spans="1:6" x14ac:dyDescent="0.25">
      <c r="A1589" s="16">
        <v>42905</v>
      </c>
      <c r="B1589" s="13" t="s">
        <v>81</v>
      </c>
      <c r="C1589" s="13">
        <v>41</v>
      </c>
      <c r="D1589" s="13">
        <v>321.39999999999998</v>
      </c>
      <c r="E1589" s="13" t="str">
        <f>IF(ISERROR(VLOOKUP(F1589,Magic!H:H,1,0)),IF(ISERROR(VLOOKUP(F1589,Magic!T:T,1,0)),"N","Y"),"Y")</f>
        <v>Y</v>
      </c>
      <c r="F1589" s="13">
        <v>1588</v>
      </c>
    </row>
    <row r="1590" spans="1:6" x14ac:dyDescent="0.25">
      <c r="A1590" s="16">
        <v>42905</v>
      </c>
      <c r="B1590" s="13" t="s">
        <v>81</v>
      </c>
      <c r="C1590" s="13">
        <v>41</v>
      </c>
      <c r="D1590" s="13">
        <v>440.55</v>
      </c>
      <c r="E1590" s="13" t="str">
        <f>IF(ISERROR(VLOOKUP(F1590,Magic!H:H,1,0)),IF(ISERROR(VLOOKUP(F1590,Magic!T:T,1,0)),"N","Y"),"Y")</f>
        <v>Y</v>
      </c>
      <c r="F1590" s="13">
        <v>1589</v>
      </c>
    </row>
    <row r="1591" spans="1:6" x14ac:dyDescent="0.25">
      <c r="A1591" s="16">
        <v>42905</v>
      </c>
      <c r="B1591" s="13" t="s">
        <v>81</v>
      </c>
      <c r="C1591" s="13">
        <v>41</v>
      </c>
      <c r="D1591" s="13">
        <v>876.3</v>
      </c>
      <c r="E1591" s="13" t="str">
        <f>IF(ISERROR(VLOOKUP(F1591,Magic!H:H,1,0)),IF(ISERROR(VLOOKUP(F1591,Magic!T:T,1,0)),"N","Y"),"Y")</f>
        <v>Y</v>
      </c>
      <c r="F1591" s="13">
        <v>1590</v>
      </c>
    </row>
    <row r="1592" spans="1:6" x14ac:dyDescent="0.25">
      <c r="A1592" s="16">
        <v>42905</v>
      </c>
      <c r="B1592" s="13" t="s">
        <v>819</v>
      </c>
      <c r="C1592" s="13">
        <v>43</v>
      </c>
      <c r="D1592" s="13">
        <v>519.5</v>
      </c>
      <c r="E1592" s="13" t="str">
        <f>IF(ISERROR(VLOOKUP(F1592,Magic!H:H,1,0)),IF(ISERROR(VLOOKUP(F1592,Magic!T:T,1,0)),"N","Y"),"Y")</f>
        <v>Y</v>
      </c>
      <c r="F1592" s="13">
        <v>1591</v>
      </c>
    </row>
    <row r="1593" spans="1:6" x14ac:dyDescent="0.25">
      <c r="A1593" s="16">
        <v>42905</v>
      </c>
      <c r="B1593" s="13" t="s">
        <v>819</v>
      </c>
      <c r="C1593" s="13">
        <v>43</v>
      </c>
      <c r="D1593" s="13">
        <v>835.2</v>
      </c>
      <c r="E1593" s="13" t="str">
        <f>IF(ISERROR(VLOOKUP(F1593,Magic!H:H,1,0)),IF(ISERROR(VLOOKUP(F1593,Magic!T:T,1,0)),"N","Y"),"Y")</f>
        <v>Y</v>
      </c>
      <c r="F1593" s="13">
        <v>1592</v>
      </c>
    </row>
    <row r="1594" spans="1:6" x14ac:dyDescent="0.25">
      <c r="A1594" s="16">
        <v>42905</v>
      </c>
      <c r="B1594" s="13" t="s">
        <v>611</v>
      </c>
      <c r="C1594" s="13">
        <v>201</v>
      </c>
      <c r="D1594" s="13">
        <v>1069.0999999999999</v>
      </c>
      <c r="E1594" s="13" t="str">
        <f>IF(ISERROR(VLOOKUP(F1594,Magic!H:H,1,0)),IF(ISERROR(VLOOKUP(F1594,Magic!T:T,1,0)),"N","Y"),"Y")</f>
        <v>Y</v>
      </c>
      <c r="F1594" s="13">
        <v>1593</v>
      </c>
    </row>
    <row r="1595" spans="1:6" x14ac:dyDescent="0.25">
      <c r="A1595" s="16">
        <v>42905</v>
      </c>
      <c r="B1595" s="13" t="s">
        <v>611</v>
      </c>
      <c r="C1595" s="13">
        <v>201</v>
      </c>
      <c r="D1595" s="13">
        <v>670.5</v>
      </c>
      <c r="E1595" s="13" t="str">
        <f>IF(ISERROR(VLOOKUP(F1595,Magic!H:H,1,0)),IF(ISERROR(VLOOKUP(F1595,Magic!T:T,1,0)),"N","Y"),"Y")</f>
        <v>Y</v>
      </c>
      <c r="F1595" s="13">
        <v>1594</v>
      </c>
    </row>
    <row r="1596" spans="1:6" x14ac:dyDescent="0.25">
      <c r="A1596" s="16">
        <v>42905</v>
      </c>
      <c r="B1596" s="13" t="s">
        <v>611</v>
      </c>
      <c r="C1596" s="13">
        <v>201</v>
      </c>
      <c r="D1596" s="13">
        <v>266.14999999999998</v>
      </c>
      <c r="E1596" s="13" t="str">
        <f>IF(ISERROR(VLOOKUP(F1596,Magic!H:H,1,0)),IF(ISERROR(VLOOKUP(F1596,Magic!T:T,1,0)),"N","Y"),"Y")</f>
        <v>Y</v>
      </c>
      <c r="F1596" s="13">
        <v>1595</v>
      </c>
    </row>
    <row r="1597" spans="1:6" x14ac:dyDescent="0.25">
      <c r="A1597" s="16">
        <v>42906</v>
      </c>
      <c r="B1597" s="13" t="s">
        <v>29</v>
      </c>
      <c r="C1597" s="13">
        <v>35</v>
      </c>
      <c r="D1597" s="13">
        <v>730</v>
      </c>
      <c r="E1597" s="13" t="str">
        <f>IF(ISERROR(VLOOKUP(F1597,Magic!H:H,1,0)),IF(ISERROR(VLOOKUP(F1597,Magic!T:T,1,0)),"N","Y"),"Y")</f>
        <v>Y</v>
      </c>
      <c r="F1597" s="13">
        <v>1596</v>
      </c>
    </row>
    <row r="1598" spans="1:6" x14ac:dyDescent="0.25">
      <c r="A1598" s="16">
        <v>42906</v>
      </c>
      <c r="B1598" s="13" t="s">
        <v>31</v>
      </c>
      <c r="C1598" s="13">
        <v>37</v>
      </c>
      <c r="D1598" s="13">
        <v>462.25</v>
      </c>
      <c r="E1598" s="13" t="str">
        <f>IF(ISERROR(VLOOKUP(F1598,Magic!H:H,1,0)),IF(ISERROR(VLOOKUP(F1598,Magic!T:T,1,0)),"N","Y"),"Y")</f>
        <v>Y</v>
      </c>
      <c r="F1598" s="13">
        <v>1597</v>
      </c>
    </row>
    <row r="1599" spans="1:6" x14ac:dyDescent="0.25">
      <c r="A1599" s="16">
        <v>42906</v>
      </c>
      <c r="B1599" s="13" t="s">
        <v>81</v>
      </c>
      <c r="C1599" s="13">
        <v>41</v>
      </c>
      <c r="D1599" s="13">
        <v>469.75</v>
      </c>
      <c r="E1599" s="13" t="str">
        <f>IF(ISERROR(VLOOKUP(F1599,Magic!H:H,1,0)),IF(ISERROR(VLOOKUP(F1599,Magic!T:T,1,0)),"N","Y"),"Y")</f>
        <v>Y</v>
      </c>
      <c r="F1599" s="13">
        <v>1598</v>
      </c>
    </row>
    <row r="1600" spans="1:6" x14ac:dyDescent="0.25">
      <c r="A1600" s="16">
        <v>42906</v>
      </c>
      <c r="B1600" s="13" t="s">
        <v>24</v>
      </c>
      <c r="C1600" s="13">
        <v>43</v>
      </c>
      <c r="D1600" s="13">
        <v>1070.1500000000001</v>
      </c>
      <c r="E1600" s="13" t="str">
        <f>IF(ISERROR(VLOOKUP(F1600,Magic!H:H,1,0)),IF(ISERROR(VLOOKUP(F1600,Magic!T:T,1,0)),"N","Y"),"Y")</f>
        <v>Y</v>
      </c>
      <c r="F1600" s="13">
        <v>1599</v>
      </c>
    </row>
    <row r="1601" spans="1:6" x14ac:dyDescent="0.25">
      <c r="A1601" s="16">
        <v>42906</v>
      </c>
      <c r="B1601" s="13" t="s">
        <v>28</v>
      </c>
      <c r="C1601" s="13">
        <v>103</v>
      </c>
      <c r="D1601" s="13">
        <v>33.5</v>
      </c>
      <c r="E1601" s="13" t="s">
        <v>71</v>
      </c>
      <c r="F1601" s="13">
        <v>1600</v>
      </c>
    </row>
    <row r="1602" spans="1:6" x14ac:dyDescent="0.25">
      <c r="A1602" s="16">
        <v>42906</v>
      </c>
      <c r="B1602" s="13" t="s">
        <v>28</v>
      </c>
      <c r="C1602" s="13">
        <v>103</v>
      </c>
      <c r="D1602" s="13">
        <v>915.5</v>
      </c>
      <c r="E1602" s="13" t="s">
        <v>71</v>
      </c>
      <c r="F1602" s="13">
        <v>1601</v>
      </c>
    </row>
    <row r="1603" spans="1:6" x14ac:dyDescent="0.25">
      <c r="A1603" s="16">
        <v>42906</v>
      </c>
      <c r="B1603" s="13" t="s">
        <v>28</v>
      </c>
      <c r="C1603" s="13">
        <v>103</v>
      </c>
      <c r="D1603" s="13">
        <v>948.9</v>
      </c>
      <c r="E1603" s="13" t="str">
        <f>IF(ISERROR(VLOOKUP(F1603,Magic!H:H,1,0)),IF(ISERROR(VLOOKUP(F1603,Magic!T:T,1,0)),"N","Y"),"Y")</f>
        <v>Y</v>
      </c>
      <c r="F1603" s="13">
        <v>1604</v>
      </c>
    </row>
    <row r="1604" spans="1:6" x14ac:dyDescent="0.25">
      <c r="A1604" s="16">
        <v>42906</v>
      </c>
      <c r="B1604" s="13" t="s">
        <v>28</v>
      </c>
      <c r="C1604" s="13">
        <v>103</v>
      </c>
      <c r="D1604" s="13">
        <v>400.55</v>
      </c>
      <c r="E1604" s="13" t="str">
        <f>IF(ISERROR(VLOOKUP(F1604,Magic!H:H,1,0)),IF(ISERROR(VLOOKUP(F1604,Magic!T:T,1,0)),"N","Y"),"Y")</f>
        <v>Y</v>
      </c>
      <c r="F1604" s="13">
        <v>1602</v>
      </c>
    </row>
    <row r="1605" spans="1:6" x14ac:dyDescent="0.25">
      <c r="A1605" s="16">
        <v>42906</v>
      </c>
      <c r="B1605" s="13" t="s">
        <v>611</v>
      </c>
      <c r="C1605" s="13">
        <v>201</v>
      </c>
      <c r="D1605" s="13">
        <v>632.75</v>
      </c>
      <c r="E1605" s="13" t="str">
        <f>IF(ISERROR(VLOOKUP(F1605,Magic!H:H,1,0)),IF(ISERROR(VLOOKUP(F1605,Magic!T:T,1,0)),"N","Y"),"Y")</f>
        <v>Y</v>
      </c>
      <c r="F1605" s="13">
        <v>1603</v>
      </c>
    </row>
    <row r="1606" spans="1:6" x14ac:dyDescent="0.25">
      <c r="A1606" s="16">
        <v>42907</v>
      </c>
      <c r="B1606" s="13" t="s">
        <v>29</v>
      </c>
      <c r="C1606" s="13">
        <v>35</v>
      </c>
      <c r="D1606" s="13">
        <v>1360</v>
      </c>
      <c r="E1606" s="13" t="str">
        <f>IF(ISERROR(VLOOKUP(F1606,Magic!H:H,1,0)),IF(ISERROR(VLOOKUP(F1606,Magic!T:T,1,0)),"N","Y"),"Y")</f>
        <v>Y</v>
      </c>
      <c r="F1606" s="13">
        <v>1605</v>
      </c>
    </row>
    <row r="1607" spans="1:6" x14ac:dyDescent="0.25">
      <c r="A1607" s="16">
        <v>42907</v>
      </c>
      <c r="B1607" s="13" t="s">
        <v>57</v>
      </c>
      <c r="C1607" s="13">
        <v>35</v>
      </c>
      <c r="D1607" s="13">
        <v>22.8</v>
      </c>
      <c r="E1607" s="13" t="str">
        <f>IF(ISERROR(VLOOKUP(F1607,Magic!H:H,1,0)),IF(ISERROR(VLOOKUP(F1607,Magic!T:T,1,0)),"N","Y"),"Y")</f>
        <v>Y</v>
      </c>
      <c r="F1607" s="13">
        <v>1606</v>
      </c>
    </row>
    <row r="1608" spans="1:6" x14ac:dyDescent="0.25">
      <c r="A1608" s="16">
        <v>42907</v>
      </c>
      <c r="B1608" s="13" t="s">
        <v>57</v>
      </c>
      <c r="C1608" s="13">
        <v>35</v>
      </c>
      <c r="D1608" s="13">
        <v>7.25</v>
      </c>
      <c r="E1608" s="13" t="str">
        <f>IF(ISERROR(VLOOKUP(F1608,Magic!H:H,1,0)),IF(ISERROR(VLOOKUP(F1608,Magic!T:T,1,0)),"N","Y"),"Y")</f>
        <v>Y</v>
      </c>
      <c r="F1608" s="13">
        <v>1607</v>
      </c>
    </row>
    <row r="1609" spans="1:6" x14ac:dyDescent="0.25">
      <c r="A1609" s="16">
        <v>42907</v>
      </c>
      <c r="B1609" s="13" t="s">
        <v>31</v>
      </c>
      <c r="C1609" s="13">
        <v>37</v>
      </c>
      <c r="D1609" s="13">
        <v>704.45</v>
      </c>
      <c r="E1609" s="13" t="str">
        <f>IF(ISERROR(VLOOKUP(F1609,Magic!H:H,1,0)),IF(ISERROR(VLOOKUP(F1609,Magic!T:T,1,0)),"N","Y"),"Y")</f>
        <v>Y</v>
      </c>
      <c r="F1609" s="13">
        <v>1608</v>
      </c>
    </row>
    <row r="1610" spans="1:6" x14ac:dyDescent="0.25">
      <c r="A1610" s="16">
        <v>42907</v>
      </c>
      <c r="B1610" s="13" t="s">
        <v>81</v>
      </c>
      <c r="C1610" s="13">
        <v>41</v>
      </c>
      <c r="D1610" s="13">
        <v>449.2</v>
      </c>
      <c r="E1610" s="13" t="str">
        <f>IF(ISERROR(VLOOKUP(F1610,Magic!H:H,1,0)),IF(ISERROR(VLOOKUP(F1610,Magic!T:T,1,0)),"N","Y"),"Y")</f>
        <v>Y</v>
      </c>
      <c r="F1610" s="13">
        <v>1609</v>
      </c>
    </row>
    <row r="1611" spans="1:6" x14ac:dyDescent="0.25">
      <c r="A1611" s="16">
        <v>42907</v>
      </c>
      <c r="B1611" s="13" t="s">
        <v>25</v>
      </c>
      <c r="C1611" s="13">
        <v>44</v>
      </c>
      <c r="D1611" s="13">
        <v>449.6</v>
      </c>
      <c r="E1611" s="13" t="str">
        <f>IF(ISERROR(VLOOKUP(F1611,Magic!H:H,1,0)),IF(ISERROR(VLOOKUP(F1611,Magic!T:T,1,0)),"N","Y"),"Y")</f>
        <v>Y</v>
      </c>
      <c r="F1611" s="13">
        <v>1610</v>
      </c>
    </row>
    <row r="1612" spans="1:6" x14ac:dyDescent="0.25">
      <c r="A1612" s="16">
        <v>42907</v>
      </c>
      <c r="B1612" s="13" t="s">
        <v>611</v>
      </c>
      <c r="C1612" s="13">
        <v>201</v>
      </c>
      <c r="D1612" s="13">
        <v>529.6</v>
      </c>
      <c r="E1612" s="13" t="str">
        <f>IF(ISERROR(VLOOKUP(F1612,Magic!H:H,1,0)),IF(ISERROR(VLOOKUP(F1612,Magic!T:T,1,0)),"N","Y"),"Y")</f>
        <v>Y</v>
      </c>
      <c r="F1612" s="13">
        <v>1611</v>
      </c>
    </row>
    <row r="1613" spans="1:6" x14ac:dyDescent="0.25">
      <c r="A1613" s="16">
        <v>42908</v>
      </c>
      <c r="B1613" s="13" t="s">
        <v>29</v>
      </c>
      <c r="C1613" s="13">
        <v>35</v>
      </c>
      <c r="D1613" s="13">
        <v>1575</v>
      </c>
      <c r="E1613" s="13" t="str">
        <f>IF(ISERROR(VLOOKUP(F1613,Magic!H:H,1,0)),IF(ISERROR(VLOOKUP(F1613,Magic!T:T,1,0)),"N","Y"),"Y")</f>
        <v>Y</v>
      </c>
      <c r="F1613" s="13">
        <v>1612</v>
      </c>
    </row>
    <row r="1614" spans="1:6" x14ac:dyDescent="0.25">
      <c r="A1614" s="16">
        <v>42908</v>
      </c>
      <c r="B1614" s="13" t="s">
        <v>57</v>
      </c>
      <c r="C1614" s="13">
        <v>35</v>
      </c>
      <c r="D1614" s="13">
        <v>8.3000000000000007</v>
      </c>
      <c r="E1614" s="13" t="str">
        <f>IF(ISERROR(VLOOKUP(F1614,Magic!H:H,1,0)),IF(ISERROR(VLOOKUP(F1614,Magic!T:T,1,0)),"N","Y"),"Y")</f>
        <v>Y</v>
      </c>
      <c r="F1614" s="13">
        <v>1613</v>
      </c>
    </row>
    <row r="1615" spans="1:6" x14ac:dyDescent="0.25">
      <c r="A1615" s="16">
        <v>42908</v>
      </c>
      <c r="B1615" s="13" t="s">
        <v>31</v>
      </c>
      <c r="C1615" s="13">
        <v>37</v>
      </c>
      <c r="D1615" s="13">
        <v>598.45000000000005</v>
      </c>
      <c r="E1615" s="13" t="str">
        <f>IF(ISERROR(VLOOKUP(F1615,Magic!H:H,1,0)),IF(ISERROR(VLOOKUP(F1615,Magic!T:T,1,0)),"N","Y"),"Y")</f>
        <v>Y</v>
      </c>
      <c r="F1615" s="13">
        <v>1614</v>
      </c>
    </row>
    <row r="1616" spans="1:6" x14ac:dyDescent="0.25">
      <c r="A1616" s="16">
        <v>42908</v>
      </c>
      <c r="B1616" s="13" t="s">
        <v>81</v>
      </c>
      <c r="C1616" s="13">
        <v>41</v>
      </c>
      <c r="D1616" s="13">
        <v>646.1</v>
      </c>
      <c r="E1616" s="13" t="str">
        <f>IF(ISERROR(VLOOKUP(F1616,Magic!H:H,1,0)),IF(ISERROR(VLOOKUP(F1616,Magic!T:T,1,0)),"N","Y"),"Y")</f>
        <v>Y</v>
      </c>
      <c r="F1616" s="13">
        <v>1615</v>
      </c>
    </row>
    <row r="1617" spans="1:6" x14ac:dyDescent="0.25">
      <c r="A1617" s="16">
        <v>42908</v>
      </c>
      <c r="B1617" s="13" t="s">
        <v>819</v>
      </c>
      <c r="C1617" s="13">
        <v>43</v>
      </c>
      <c r="D1617" s="13">
        <v>891.9</v>
      </c>
      <c r="E1617" s="13" t="str">
        <f>IF(ISERROR(VLOOKUP(F1617,Magic!H:H,1,0)),IF(ISERROR(VLOOKUP(F1617,Magic!T:T,1,0)),"N","Y"),"Y")</f>
        <v>Y</v>
      </c>
      <c r="F1617" s="13">
        <v>1616</v>
      </c>
    </row>
    <row r="1618" spans="1:6" x14ac:dyDescent="0.25">
      <c r="A1618" s="16">
        <v>42908</v>
      </c>
      <c r="B1618" s="13" t="s">
        <v>25</v>
      </c>
      <c r="C1618" s="13">
        <v>44</v>
      </c>
      <c r="D1618" s="13">
        <v>453.55</v>
      </c>
      <c r="E1618" s="13" t="str">
        <f>IF(ISERROR(VLOOKUP(F1618,Magic!H:H,1,0)),IF(ISERROR(VLOOKUP(F1618,Magic!T:T,1,0)),"N","Y"),"Y")</f>
        <v>Y</v>
      </c>
      <c r="F1618" s="13">
        <v>1617</v>
      </c>
    </row>
    <row r="1619" spans="1:6" x14ac:dyDescent="0.25">
      <c r="A1619" s="16">
        <v>42908</v>
      </c>
      <c r="B1619" s="13" t="s">
        <v>28</v>
      </c>
      <c r="C1619" s="13">
        <v>103</v>
      </c>
      <c r="D1619" s="13">
        <v>1098.6500000000001</v>
      </c>
      <c r="E1619" s="13" t="str">
        <f>IF(ISERROR(VLOOKUP(F1619,Magic!H:H,1,0)),IF(ISERROR(VLOOKUP(F1619,Magic!T:T,1,0)),"N","Y"),"Y")</f>
        <v>Y</v>
      </c>
      <c r="F1619" s="13">
        <v>1619</v>
      </c>
    </row>
    <row r="1620" spans="1:6" x14ac:dyDescent="0.25">
      <c r="A1620" s="16">
        <v>42908</v>
      </c>
      <c r="B1620" s="13" t="s">
        <v>28</v>
      </c>
      <c r="C1620" s="13">
        <v>103</v>
      </c>
      <c r="D1620" s="13">
        <v>1076</v>
      </c>
      <c r="E1620" s="13" t="str">
        <f>IF(ISERROR(VLOOKUP(F1620,Magic!H:H,1,0)),IF(ISERROR(VLOOKUP(F1620,Magic!T:T,1,0)),"N","Y"),"Y")</f>
        <v>Y</v>
      </c>
      <c r="F1620" s="13">
        <v>1620</v>
      </c>
    </row>
    <row r="1621" spans="1:6" x14ac:dyDescent="0.25">
      <c r="A1621" s="16">
        <v>42908</v>
      </c>
      <c r="B1621" s="13" t="s">
        <v>611</v>
      </c>
      <c r="C1621" s="13">
        <v>201</v>
      </c>
      <c r="D1621" s="13">
        <v>479.15</v>
      </c>
      <c r="E1621" s="13" t="str">
        <f>IF(ISERROR(VLOOKUP(F1621,Magic!H:H,1,0)),IF(ISERROR(VLOOKUP(F1621,Magic!T:T,1,0)),"N","Y"),"Y")</f>
        <v>Y</v>
      </c>
      <c r="F1621" s="13">
        <v>1621</v>
      </c>
    </row>
    <row r="1622" spans="1:6" x14ac:dyDescent="0.25">
      <c r="A1622" s="16">
        <v>42908</v>
      </c>
      <c r="B1622" s="13" t="s">
        <v>28</v>
      </c>
      <c r="C1622" s="13">
        <v>103</v>
      </c>
      <c r="D1622" s="13">
        <v>0.05</v>
      </c>
      <c r="E1622" s="13" t="s">
        <v>71</v>
      </c>
      <c r="F1622" s="13">
        <v>1618</v>
      </c>
    </row>
    <row r="1623" spans="1:6" x14ac:dyDescent="0.25">
      <c r="A1623" s="16">
        <v>42911</v>
      </c>
      <c r="B1623" s="13" t="s">
        <v>28</v>
      </c>
      <c r="C1623" s="13">
        <v>103</v>
      </c>
      <c r="D1623" s="13">
        <v>5</v>
      </c>
      <c r="E1623" s="13" t="s">
        <v>71</v>
      </c>
      <c r="F1623" s="13">
        <v>1622</v>
      </c>
    </row>
    <row r="1624" spans="1:6" x14ac:dyDescent="0.25">
      <c r="A1624" s="16">
        <v>42911</v>
      </c>
      <c r="B1624" s="13" t="s">
        <v>28</v>
      </c>
      <c r="C1624" s="13">
        <v>103</v>
      </c>
      <c r="D1624" s="13">
        <v>5.05</v>
      </c>
      <c r="E1624" s="13" t="str">
        <f>IF(ISERROR(VLOOKUP(F1624,Magic!H:H,1,0)),IF(ISERROR(VLOOKUP(F1624,Magic!T:T,1,0)),"N","Y"),"Y")</f>
        <v>Y</v>
      </c>
      <c r="F1624" s="13">
        <v>1630</v>
      </c>
    </row>
    <row r="1625" spans="1:6" x14ac:dyDescent="0.25">
      <c r="A1625" s="16">
        <v>42909</v>
      </c>
      <c r="B1625" s="13" t="s">
        <v>29</v>
      </c>
      <c r="C1625" s="13">
        <v>35</v>
      </c>
      <c r="D1625" s="13">
        <v>1305</v>
      </c>
      <c r="E1625" s="13" t="str">
        <f>IF(ISERROR(VLOOKUP(F1625,Magic!H:H,1,0)),IF(ISERROR(VLOOKUP(F1625,Magic!T:T,1,0)),"N","Y"),"Y")</f>
        <v>Y</v>
      </c>
      <c r="F1625" s="13">
        <v>1623</v>
      </c>
    </row>
    <row r="1626" spans="1:6" x14ac:dyDescent="0.25">
      <c r="A1626" s="16">
        <v>42909</v>
      </c>
      <c r="B1626" s="13" t="s">
        <v>57</v>
      </c>
      <c r="C1626" s="13">
        <v>35</v>
      </c>
      <c r="D1626" s="13">
        <v>26.5</v>
      </c>
      <c r="E1626" s="13" t="str">
        <f>IF(ISERROR(VLOOKUP(F1626,Magic!H:H,1,0)),IF(ISERROR(VLOOKUP(F1626,Magic!T:T,1,0)),"N","Y"),"Y")</f>
        <v>Y</v>
      </c>
      <c r="F1626" s="13">
        <v>1624</v>
      </c>
    </row>
    <row r="1627" spans="1:6" x14ac:dyDescent="0.25">
      <c r="A1627" s="16">
        <v>42909</v>
      </c>
      <c r="B1627" s="13" t="s">
        <v>146</v>
      </c>
      <c r="C1627" s="13">
        <v>37</v>
      </c>
      <c r="D1627" s="13">
        <v>788.75</v>
      </c>
      <c r="E1627" s="13" t="str">
        <f>IF(ISERROR(VLOOKUP(F1627,Magic!H:H,1,0)),IF(ISERROR(VLOOKUP(F1627,Magic!T:T,1,0)),"N","Y"),"Y")</f>
        <v>Y</v>
      </c>
      <c r="F1627" s="13">
        <v>1625</v>
      </c>
    </row>
    <row r="1628" spans="1:6" x14ac:dyDescent="0.25">
      <c r="A1628" s="16">
        <v>42909</v>
      </c>
      <c r="B1628" s="13" t="s">
        <v>81</v>
      </c>
      <c r="C1628" s="13">
        <v>41</v>
      </c>
      <c r="D1628" s="13">
        <v>1634.95</v>
      </c>
      <c r="E1628" s="13" t="str">
        <f>IF(ISERROR(VLOOKUP(F1628,Magic!H:H,1,0)),IF(ISERROR(VLOOKUP(F1628,Magic!T:T,1,0)),"N","Y"),"Y")</f>
        <v>Y</v>
      </c>
      <c r="F1628" s="13">
        <v>1626</v>
      </c>
    </row>
    <row r="1629" spans="1:6" x14ac:dyDescent="0.25">
      <c r="A1629" s="16">
        <v>42909</v>
      </c>
      <c r="B1629" s="13" t="s">
        <v>819</v>
      </c>
      <c r="C1629" s="13">
        <v>43</v>
      </c>
      <c r="D1629" s="13">
        <v>1384.45</v>
      </c>
      <c r="E1629" s="13" t="str">
        <f>IF(ISERROR(VLOOKUP(F1629,Magic!H:H,1,0)),IF(ISERROR(VLOOKUP(F1629,Magic!T:T,1,0)),"N","Y"),"Y")</f>
        <v>Y</v>
      </c>
      <c r="F1629" s="13">
        <v>1627</v>
      </c>
    </row>
    <row r="1630" spans="1:6" x14ac:dyDescent="0.25">
      <c r="A1630" s="16">
        <v>42909</v>
      </c>
      <c r="B1630" s="13" t="s">
        <v>611</v>
      </c>
      <c r="C1630" s="13">
        <v>201</v>
      </c>
      <c r="D1630" s="13">
        <v>629.35</v>
      </c>
      <c r="E1630" s="13" t="str">
        <f>IF(ISERROR(VLOOKUP(F1630,Magic!H:H,1,0)),IF(ISERROR(VLOOKUP(F1630,Magic!T:T,1,0)),"N","Y"),"Y")</f>
        <v>Y</v>
      </c>
      <c r="F1630" s="13">
        <v>1628</v>
      </c>
    </row>
    <row r="1631" spans="1:6" x14ac:dyDescent="0.25">
      <c r="A1631" s="16">
        <v>42911</v>
      </c>
      <c r="B1631" s="13" t="s">
        <v>28</v>
      </c>
      <c r="C1631" s="13">
        <v>103</v>
      </c>
      <c r="D1631" s="13">
        <v>1085.8</v>
      </c>
      <c r="E1631" s="13" t="str">
        <f>IF(ISERROR(VLOOKUP(F1631,Magic!H:H,1,0)),IF(ISERROR(VLOOKUP(F1631,Magic!T:T,1,0)),"N","Y"),"Y")</f>
        <v>Y</v>
      </c>
      <c r="F1631" s="13">
        <v>1629</v>
      </c>
    </row>
    <row r="1632" spans="1:6" x14ac:dyDescent="0.25">
      <c r="A1632" s="16">
        <v>42912</v>
      </c>
      <c r="B1632" s="13" t="s">
        <v>57</v>
      </c>
      <c r="C1632" s="13">
        <v>35</v>
      </c>
      <c r="D1632" s="13">
        <v>14.6</v>
      </c>
      <c r="E1632" s="13" t="str">
        <f>IF(ISERROR(VLOOKUP(F1632,Magic!H:H,1,0)),IF(ISERROR(VLOOKUP(F1632,Magic!T:T,1,0)),"N","Y"),"Y")</f>
        <v>Y</v>
      </c>
      <c r="F1632" s="13">
        <v>1631</v>
      </c>
    </row>
    <row r="1633" spans="1:6" x14ac:dyDescent="0.25">
      <c r="A1633" s="16">
        <v>42912</v>
      </c>
      <c r="B1633" s="13" t="s">
        <v>82</v>
      </c>
      <c r="C1633" s="13">
        <v>35</v>
      </c>
      <c r="D1633" s="13">
        <v>1096.95</v>
      </c>
      <c r="E1633" s="13" t="str">
        <f>IF(ISERROR(VLOOKUP(F1633,Magic!H:H,1,0)),IF(ISERROR(VLOOKUP(F1633,Magic!T:T,1,0)),"N","Y"),"Y")</f>
        <v>Y</v>
      </c>
      <c r="F1633" s="13">
        <v>1632</v>
      </c>
    </row>
    <row r="1634" spans="1:6" x14ac:dyDescent="0.25">
      <c r="A1634" s="16">
        <v>42912</v>
      </c>
      <c r="B1634" s="13" t="s">
        <v>82</v>
      </c>
      <c r="C1634" s="13">
        <v>35</v>
      </c>
      <c r="D1634" s="13">
        <v>675.35</v>
      </c>
      <c r="E1634" s="13" t="str">
        <f>IF(ISERROR(VLOOKUP(F1634,Magic!H:H,1,0)),IF(ISERROR(VLOOKUP(F1634,Magic!T:T,1,0)),"N","Y"),"Y")</f>
        <v>Y</v>
      </c>
      <c r="F1634" s="13">
        <v>1633</v>
      </c>
    </row>
    <row r="1635" spans="1:6" x14ac:dyDescent="0.25">
      <c r="A1635" s="16">
        <v>42912</v>
      </c>
      <c r="B1635" s="13" t="s">
        <v>146</v>
      </c>
      <c r="C1635" s="13">
        <v>37</v>
      </c>
      <c r="D1635" s="13">
        <v>20</v>
      </c>
      <c r="E1635" s="13" t="str">
        <f>IF(ISERROR(VLOOKUP(F1635,Magic!H:H,1,0)),IF(ISERROR(VLOOKUP(F1635,Magic!T:T,1,0)),"N","Y"),"Y")</f>
        <v>Y</v>
      </c>
      <c r="F1635" s="13">
        <v>1634</v>
      </c>
    </row>
    <row r="1636" spans="1:6" x14ac:dyDescent="0.25">
      <c r="A1636" s="16">
        <v>42912</v>
      </c>
      <c r="B1636" s="13" t="s">
        <v>146</v>
      </c>
      <c r="C1636" s="13">
        <v>37</v>
      </c>
      <c r="D1636" s="13">
        <v>365.7</v>
      </c>
      <c r="E1636" s="13" t="str">
        <f>IF(ISERROR(VLOOKUP(F1636,Magic!H:H,1,0)),IF(ISERROR(VLOOKUP(F1636,Magic!T:T,1,0)),"N","Y"),"Y")</f>
        <v>Y</v>
      </c>
      <c r="F1636" s="13">
        <v>1635</v>
      </c>
    </row>
    <row r="1637" spans="1:6" x14ac:dyDescent="0.25">
      <c r="A1637" s="16">
        <v>42912</v>
      </c>
      <c r="B1637" s="13" t="s">
        <v>146</v>
      </c>
      <c r="C1637" s="13">
        <v>37</v>
      </c>
      <c r="D1637" s="13">
        <v>653.5</v>
      </c>
      <c r="E1637" s="13" t="str">
        <f>IF(ISERROR(VLOOKUP(F1637,Magic!H:H,1,0)),IF(ISERROR(VLOOKUP(F1637,Magic!T:T,1,0)),"N","Y"),"Y")</f>
        <v>Y</v>
      </c>
      <c r="F1637" s="13">
        <v>1636</v>
      </c>
    </row>
    <row r="1638" spans="1:6" x14ac:dyDescent="0.25">
      <c r="A1638" s="16">
        <v>42912</v>
      </c>
      <c r="B1638" s="13" t="s">
        <v>146</v>
      </c>
      <c r="C1638" s="13">
        <v>37</v>
      </c>
      <c r="D1638" s="13">
        <v>626</v>
      </c>
      <c r="E1638" s="13" t="str">
        <f>IF(ISERROR(VLOOKUP(F1638,Magic!H:H,1,0)),IF(ISERROR(VLOOKUP(F1638,Magic!T:T,1,0)),"N","Y"),"Y")</f>
        <v>Y</v>
      </c>
      <c r="F1638" s="13">
        <v>1637</v>
      </c>
    </row>
    <row r="1639" spans="1:6" x14ac:dyDescent="0.25">
      <c r="A1639" s="16">
        <v>42912</v>
      </c>
      <c r="B1639" s="13" t="s">
        <v>81</v>
      </c>
      <c r="C1639" s="13">
        <v>41</v>
      </c>
      <c r="D1639" s="13">
        <v>486.25</v>
      </c>
      <c r="E1639" s="13" t="str">
        <f>IF(ISERROR(VLOOKUP(F1639,Magic!H:H,1,0)),IF(ISERROR(VLOOKUP(F1639,Magic!T:T,1,0)),"N","Y"),"Y")</f>
        <v>Y</v>
      </c>
      <c r="F1639" s="13">
        <v>1638</v>
      </c>
    </row>
    <row r="1640" spans="1:6" x14ac:dyDescent="0.25">
      <c r="A1640" s="16">
        <v>42912</v>
      </c>
      <c r="B1640" s="13" t="s">
        <v>81</v>
      </c>
      <c r="C1640" s="13">
        <v>41</v>
      </c>
      <c r="D1640" s="13">
        <v>464.6</v>
      </c>
      <c r="E1640" s="13" t="str">
        <f>IF(ISERROR(VLOOKUP(F1640,Magic!H:H,1,0)),IF(ISERROR(VLOOKUP(F1640,Magic!T:T,1,0)),"N","Y"),"Y")</f>
        <v>Y</v>
      </c>
      <c r="F1640" s="13">
        <v>1639</v>
      </c>
    </row>
    <row r="1641" spans="1:6" x14ac:dyDescent="0.25">
      <c r="A1641" s="16">
        <v>42912</v>
      </c>
      <c r="B1641" s="13" t="s">
        <v>81</v>
      </c>
      <c r="C1641" s="13">
        <v>41</v>
      </c>
      <c r="D1641" s="13">
        <v>780.25</v>
      </c>
      <c r="E1641" s="13" t="str">
        <f>IF(ISERROR(VLOOKUP(F1641,Magic!H:H,1,0)),IF(ISERROR(VLOOKUP(F1641,Magic!T:T,1,0)),"N","Y"),"Y")</f>
        <v>Y</v>
      </c>
      <c r="F1641" s="13">
        <v>1640</v>
      </c>
    </row>
    <row r="1642" spans="1:6" x14ac:dyDescent="0.25">
      <c r="A1642" s="16">
        <v>42912</v>
      </c>
      <c r="B1642" s="13" t="s">
        <v>24</v>
      </c>
      <c r="C1642" s="13">
        <v>43</v>
      </c>
      <c r="D1642" s="13">
        <v>467.3</v>
      </c>
      <c r="E1642" s="13" t="str">
        <f>IF(ISERROR(VLOOKUP(F1642,Magic!H:H,1,0)),IF(ISERROR(VLOOKUP(F1642,Magic!T:T,1,0)),"N","Y"),"Y")</f>
        <v>Y</v>
      </c>
      <c r="F1642" s="13">
        <v>1641</v>
      </c>
    </row>
    <row r="1643" spans="1:6" x14ac:dyDescent="0.25">
      <c r="A1643" s="16">
        <v>42912</v>
      </c>
      <c r="B1643" s="13" t="s">
        <v>24</v>
      </c>
      <c r="C1643" s="13">
        <v>43</v>
      </c>
      <c r="D1643" s="13">
        <v>1167.75</v>
      </c>
      <c r="E1643" s="13" t="str">
        <f>IF(ISERROR(VLOOKUP(F1643,Magic!H:H,1,0)),IF(ISERROR(VLOOKUP(F1643,Magic!T:T,1,0)),"N","Y"),"Y")</f>
        <v>Y</v>
      </c>
      <c r="F1643" s="13">
        <v>1642</v>
      </c>
    </row>
    <row r="1644" spans="1:6" x14ac:dyDescent="0.25">
      <c r="A1644" s="16">
        <v>42912</v>
      </c>
      <c r="B1644" s="13" t="s">
        <v>24</v>
      </c>
      <c r="C1644" s="13">
        <v>43</v>
      </c>
      <c r="D1644" s="13">
        <v>1015.8</v>
      </c>
      <c r="E1644" s="13" t="str">
        <f>IF(ISERROR(VLOOKUP(F1644,Magic!H:H,1,0)),IF(ISERROR(VLOOKUP(F1644,Magic!T:T,1,0)),"N","Y"),"Y")</f>
        <v>Y</v>
      </c>
      <c r="F1644" s="13">
        <v>1643</v>
      </c>
    </row>
    <row r="1645" spans="1:6" x14ac:dyDescent="0.25">
      <c r="A1645" s="16">
        <v>42912</v>
      </c>
      <c r="B1645" s="13" t="s">
        <v>28</v>
      </c>
      <c r="C1645" s="13">
        <v>103</v>
      </c>
      <c r="D1645" s="13">
        <v>15.15</v>
      </c>
      <c r="E1645" s="13" t="str">
        <f>IF(ISERROR(VLOOKUP(F1645,Magic!H:H,1,0)),IF(ISERROR(VLOOKUP(F1645,Magic!T:T,1,0)),"N","Y"),"Y")</f>
        <v>Y</v>
      </c>
      <c r="F1645" s="13">
        <v>1644</v>
      </c>
    </row>
    <row r="1646" spans="1:6" x14ac:dyDescent="0.25">
      <c r="A1646" s="16">
        <v>42912</v>
      </c>
      <c r="B1646" s="13" t="s">
        <v>28</v>
      </c>
      <c r="C1646" s="13">
        <v>103</v>
      </c>
      <c r="D1646" s="13">
        <v>410.85</v>
      </c>
      <c r="E1646" s="13" t="str">
        <f>IF(ISERROR(VLOOKUP(F1646,Magic!H:H,1,0)),IF(ISERROR(VLOOKUP(F1646,Magic!T:T,1,0)),"N","Y"),"Y")</f>
        <v>Y</v>
      </c>
      <c r="F1646" s="13">
        <v>1645</v>
      </c>
    </row>
    <row r="1647" spans="1:6" x14ac:dyDescent="0.25">
      <c r="A1647" s="16">
        <v>42912</v>
      </c>
      <c r="B1647" s="13" t="s">
        <v>611</v>
      </c>
      <c r="C1647" s="13">
        <v>201</v>
      </c>
      <c r="D1647" s="13">
        <v>749</v>
      </c>
      <c r="E1647" s="13" t="str">
        <f>IF(ISERROR(VLOOKUP(F1647,Magic!H:H,1,0)),IF(ISERROR(VLOOKUP(F1647,Magic!T:T,1,0)),"N","Y"),"Y")</f>
        <v>Y</v>
      </c>
      <c r="F1647" s="13">
        <v>1646</v>
      </c>
    </row>
    <row r="1648" spans="1:6" x14ac:dyDescent="0.25">
      <c r="A1648" s="16">
        <v>42912</v>
      </c>
      <c r="B1648" s="13" t="s">
        <v>611</v>
      </c>
      <c r="C1648" s="13">
        <v>201</v>
      </c>
      <c r="D1648" s="13">
        <v>609.35</v>
      </c>
      <c r="E1648" s="13" t="str">
        <f>IF(ISERROR(VLOOKUP(F1648,Magic!H:H,1,0)),IF(ISERROR(VLOOKUP(F1648,Magic!T:T,1,0)),"N","Y"),"Y")</f>
        <v>Y</v>
      </c>
      <c r="F1648" s="13">
        <v>1647</v>
      </c>
    </row>
    <row r="1649" spans="1:6" x14ac:dyDescent="0.25">
      <c r="A1649" s="16">
        <v>42912</v>
      </c>
      <c r="B1649" s="13" t="s">
        <v>611</v>
      </c>
      <c r="C1649" s="13">
        <v>201</v>
      </c>
      <c r="D1649" s="13">
        <v>239.65</v>
      </c>
      <c r="E1649" s="13" t="str">
        <f>IF(ISERROR(VLOOKUP(F1649,Magic!H:H,1,0)),IF(ISERROR(VLOOKUP(F1649,Magic!T:T,1,0)),"N","Y"),"Y")</f>
        <v>Y</v>
      </c>
      <c r="F1649" s="13">
        <v>1648</v>
      </c>
    </row>
    <row r="1650" spans="1:6" x14ac:dyDescent="0.25">
      <c r="A1650" s="16">
        <v>42913</v>
      </c>
      <c r="B1650" s="13" t="s">
        <v>29</v>
      </c>
      <c r="C1650" s="13">
        <v>35</v>
      </c>
      <c r="D1650" s="13">
        <v>870</v>
      </c>
      <c r="E1650" s="13" t="str">
        <f>IF(ISERROR(VLOOKUP(F1650,Magic!H:H,1,0)),IF(ISERROR(VLOOKUP(F1650,Magic!T:T,1,0)),"N","Y"),"Y")</f>
        <v>Y</v>
      </c>
      <c r="F1650" s="13">
        <v>1649</v>
      </c>
    </row>
    <row r="1651" spans="1:6" x14ac:dyDescent="0.25">
      <c r="A1651" s="16">
        <v>42913</v>
      </c>
      <c r="B1651" s="13" t="s">
        <v>82</v>
      </c>
      <c r="C1651" s="13">
        <v>35</v>
      </c>
      <c r="D1651" s="13">
        <v>709.05</v>
      </c>
      <c r="E1651" s="13" t="str">
        <f>IF(ISERROR(VLOOKUP(F1651,Magic!H:H,1,0)),IF(ISERROR(VLOOKUP(F1651,Magic!T:T,1,0)),"N","Y"),"Y")</f>
        <v>Y</v>
      </c>
      <c r="F1651" s="13">
        <v>1650</v>
      </c>
    </row>
    <row r="1652" spans="1:6" x14ac:dyDescent="0.25">
      <c r="A1652" s="16">
        <v>42913</v>
      </c>
      <c r="B1652" s="13" t="s">
        <v>31</v>
      </c>
      <c r="C1652" s="13">
        <v>37</v>
      </c>
      <c r="D1652" s="13">
        <v>324.75</v>
      </c>
      <c r="E1652" s="13" t="str">
        <f>IF(ISERROR(VLOOKUP(F1652,Magic!H:H,1,0)),IF(ISERROR(VLOOKUP(F1652,Magic!T:T,1,0)),"N","Y"),"Y")</f>
        <v>Y</v>
      </c>
      <c r="F1652" s="13">
        <v>1651</v>
      </c>
    </row>
    <row r="1653" spans="1:6" x14ac:dyDescent="0.25">
      <c r="A1653" s="16">
        <v>42913</v>
      </c>
      <c r="B1653" s="13" t="s">
        <v>81</v>
      </c>
      <c r="C1653" s="13">
        <v>41</v>
      </c>
      <c r="D1653" s="13">
        <v>707.2</v>
      </c>
      <c r="E1653" s="13" t="str">
        <f>IF(ISERROR(VLOOKUP(F1653,Magic!H:H,1,0)),IF(ISERROR(VLOOKUP(F1653,Magic!T:T,1,0)),"N","Y"),"Y")</f>
        <v>Y</v>
      </c>
      <c r="F1653" s="13">
        <v>1652</v>
      </c>
    </row>
    <row r="1654" spans="1:6" x14ac:dyDescent="0.25">
      <c r="A1654" s="16">
        <v>42913</v>
      </c>
      <c r="B1654" s="13" t="s">
        <v>24</v>
      </c>
      <c r="C1654" s="13">
        <v>43</v>
      </c>
      <c r="D1654" s="13">
        <v>924.05</v>
      </c>
      <c r="E1654" s="13" t="str">
        <f>IF(ISERROR(VLOOKUP(F1654,Magic!H:H,1,0)),IF(ISERROR(VLOOKUP(F1654,Magic!T:T,1,0)),"N","Y"),"Y")</f>
        <v>Y</v>
      </c>
      <c r="F1654" s="13">
        <v>1653</v>
      </c>
    </row>
    <row r="1655" spans="1:6" x14ac:dyDescent="0.25">
      <c r="A1655" s="16">
        <v>42913</v>
      </c>
      <c r="B1655" s="13" t="s">
        <v>25</v>
      </c>
      <c r="C1655" s="13">
        <v>44</v>
      </c>
      <c r="D1655" s="13">
        <v>413.4</v>
      </c>
      <c r="E1655" s="13" t="str">
        <f>IF(ISERROR(VLOOKUP(F1655,Magic!H:H,1,0)),IF(ISERROR(VLOOKUP(F1655,Magic!T:T,1,0)),"N","Y"),"Y")</f>
        <v>Y</v>
      </c>
      <c r="F1655" s="13">
        <v>1654</v>
      </c>
    </row>
    <row r="1656" spans="1:6" x14ac:dyDescent="0.25">
      <c r="A1656" s="16">
        <v>42913</v>
      </c>
      <c r="B1656" s="13" t="s">
        <v>28</v>
      </c>
      <c r="C1656" s="13">
        <v>103</v>
      </c>
      <c r="D1656" s="13">
        <v>791.65</v>
      </c>
      <c r="E1656" s="13" t="str">
        <f>IF(ISERROR(VLOOKUP(F1656,Magic!H:H,1,0)),IF(ISERROR(VLOOKUP(F1656,Magic!T:T,1,0)),"N","Y"),"Y")</f>
        <v>Y</v>
      </c>
      <c r="F1656" s="13">
        <v>1655</v>
      </c>
    </row>
    <row r="1657" spans="1:6" x14ac:dyDescent="0.25">
      <c r="A1657" s="16">
        <v>42913</v>
      </c>
      <c r="B1657" s="13" t="s">
        <v>611</v>
      </c>
      <c r="C1657" s="13">
        <v>201</v>
      </c>
      <c r="D1657" s="13">
        <v>427.9</v>
      </c>
      <c r="E1657" s="13" t="str">
        <f>IF(ISERROR(VLOOKUP(F1657,Magic!H:H,1,0)),IF(ISERROR(VLOOKUP(F1657,Magic!T:T,1,0)),"N","Y"),"Y")</f>
        <v>Y</v>
      </c>
      <c r="F1657" s="13">
        <v>1656</v>
      </c>
    </row>
    <row r="1658" spans="1:6" x14ac:dyDescent="0.25">
      <c r="A1658" s="16">
        <v>42914</v>
      </c>
      <c r="B1658" s="13" t="s">
        <v>29</v>
      </c>
      <c r="C1658" s="13">
        <v>35</v>
      </c>
      <c r="D1658" s="13">
        <v>540</v>
      </c>
      <c r="E1658" s="13" t="str">
        <f>IF(ISERROR(VLOOKUP(F1658,Magic!H:H,1,0)),IF(ISERROR(VLOOKUP(F1658,Magic!T:T,1,0)),"N","Y"),"Y")</f>
        <v>Y</v>
      </c>
      <c r="F1658" s="13">
        <v>1657</v>
      </c>
    </row>
    <row r="1659" spans="1:6" x14ac:dyDescent="0.25">
      <c r="A1659" s="16">
        <v>42914</v>
      </c>
      <c r="B1659" s="13" t="s">
        <v>82</v>
      </c>
      <c r="C1659" s="13">
        <v>35</v>
      </c>
      <c r="D1659" s="13">
        <v>7.7</v>
      </c>
      <c r="E1659" s="13" t="str">
        <f>IF(ISERROR(VLOOKUP(F1659,Magic!H:H,1,0)),IF(ISERROR(VLOOKUP(F1659,Magic!T:T,1,0)),"N","Y"),"Y")</f>
        <v>Y</v>
      </c>
      <c r="F1659" s="13">
        <v>1658</v>
      </c>
    </row>
    <row r="1660" spans="1:6" x14ac:dyDescent="0.25">
      <c r="A1660" s="16">
        <v>42914</v>
      </c>
      <c r="B1660" s="13" t="s">
        <v>31</v>
      </c>
      <c r="C1660" s="13">
        <v>37</v>
      </c>
      <c r="D1660" s="13">
        <v>390.45</v>
      </c>
      <c r="E1660" s="13" t="str">
        <f>IF(ISERROR(VLOOKUP(F1660,Magic!H:H,1,0)),IF(ISERROR(VLOOKUP(F1660,Magic!T:T,1,0)),"N","Y"),"Y")</f>
        <v>Y</v>
      </c>
      <c r="F1660" s="13">
        <v>1659</v>
      </c>
    </row>
    <row r="1661" spans="1:6" x14ac:dyDescent="0.25">
      <c r="A1661" s="16">
        <v>42914</v>
      </c>
      <c r="B1661" s="13" t="s">
        <v>81</v>
      </c>
      <c r="C1661" s="13">
        <v>41</v>
      </c>
      <c r="D1661" s="13">
        <v>956.8</v>
      </c>
      <c r="E1661" s="13" t="str">
        <f>IF(ISERROR(VLOOKUP(F1661,Magic!H:H,1,0)),IF(ISERROR(VLOOKUP(F1661,Magic!T:T,1,0)),"N","Y"),"Y")</f>
        <v>Y</v>
      </c>
      <c r="F1661" s="13">
        <v>1660</v>
      </c>
    </row>
    <row r="1662" spans="1:6" x14ac:dyDescent="0.25">
      <c r="A1662" s="16">
        <v>42914</v>
      </c>
      <c r="B1662" s="13" t="s">
        <v>24</v>
      </c>
      <c r="C1662" s="13">
        <v>43</v>
      </c>
      <c r="D1662" s="13">
        <v>999.65</v>
      </c>
      <c r="E1662" s="13" t="str">
        <f>IF(ISERROR(VLOOKUP(F1662,Magic!H:H,1,0)),IF(ISERROR(VLOOKUP(F1662,Magic!T:T,1,0)),"N","Y"),"Y")</f>
        <v>Y</v>
      </c>
      <c r="F1662" s="13">
        <v>1661</v>
      </c>
    </row>
    <row r="1663" spans="1:6" x14ac:dyDescent="0.25">
      <c r="A1663" s="16">
        <v>42914</v>
      </c>
      <c r="B1663" s="13" t="s">
        <v>25</v>
      </c>
      <c r="C1663" s="13">
        <v>44</v>
      </c>
      <c r="D1663" s="13">
        <v>285.45</v>
      </c>
      <c r="E1663" s="13" t="str">
        <f>IF(ISERROR(VLOOKUP(F1663,Magic!H:H,1,0)),IF(ISERROR(VLOOKUP(F1663,Magic!T:T,1,0)),"N","Y"),"Y")</f>
        <v>Y</v>
      </c>
      <c r="F1663" s="13">
        <v>1662</v>
      </c>
    </row>
    <row r="1664" spans="1:6" x14ac:dyDescent="0.25">
      <c r="A1664" s="16">
        <v>42914</v>
      </c>
      <c r="B1664" s="13" t="s">
        <v>28</v>
      </c>
      <c r="C1664" s="13">
        <v>103</v>
      </c>
      <c r="D1664" s="13">
        <v>860.75</v>
      </c>
      <c r="E1664" s="13" t="str">
        <f>IF(ISERROR(VLOOKUP(F1664,Magic!H:H,1,0)),IF(ISERROR(VLOOKUP(F1664,Magic!T:T,1,0)),"N","Y"),"Y")</f>
        <v>Y</v>
      </c>
      <c r="F1664" s="13">
        <v>1663</v>
      </c>
    </row>
    <row r="1665" spans="1:6" x14ac:dyDescent="0.25">
      <c r="A1665" s="16">
        <v>42914</v>
      </c>
      <c r="B1665" s="13" t="s">
        <v>611</v>
      </c>
      <c r="C1665" s="13">
        <v>201</v>
      </c>
      <c r="D1665" s="13">
        <v>517.6</v>
      </c>
      <c r="E1665" s="13" t="str">
        <f>IF(ISERROR(VLOOKUP(F1665,Magic!H:H,1,0)),IF(ISERROR(VLOOKUP(F1665,Magic!T:T,1,0)),"N","Y"),"Y")</f>
        <v>Y</v>
      </c>
      <c r="F1665" s="13">
        <v>1664</v>
      </c>
    </row>
    <row r="1666" spans="1:6" x14ac:dyDescent="0.25">
      <c r="A1666" s="16">
        <v>42915</v>
      </c>
      <c r="B1666" s="13" t="s">
        <v>28</v>
      </c>
      <c r="C1666" s="13">
        <v>103</v>
      </c>
      <c r="D1666" s="13">
        <v>1207.6500000000001</v>
      </c>
      <c r="E1666" s="13" t="str">
        <f>IF(ISERROR(VLOOKUP(F1666,Magic!H:H,1,0)),IF(ISERROR(VLOOKUP(F1666,Magic!T:T,1,0)),"N","Y"),"Y")</f>
        <v>Y</v>
      </c>
      <c r="F1666" s="13">
        <v>1665</v>
      </c>
    </row>
    <row r="1667" spans="1:6" x14ac:dyDescent="0.25">
      <c r="A1667" s="16">
        <v>42915</v>
      </c>
      <c r="B1667" s="13" t="s">
        <v>82</v>
      </c>
      <c r="C1667" s="13">
        <v>35</v>
      </c>
      <c r="D1667" s="13">
        <v>0.1</v>
      </c>
      <c r="E1667" s="13" t="str">
        <f>IF(ISERROR(VLOOKUP(F1667,Magic!H:H,1,0)),IF(ISERROR(VLOOKUP(F1667,Magic!T:T,1,0)),"N","Y"),"Y")</f>
        <v>Y</v>
      </c>
      <c r="F1667" s="13">
        <v>1666</v>
      </c>
    </row>
    <row r="1668" spans="1:6" x14ac:dyDescent="0.25">
      <c r="A1668" s="16">
        <v>42915</v>
      </c>
      <c r="B1668" s="13" t="s">
        <v>146</v>
      </c>
      <c r="C1668" s="13">
        <v>37</v>
      </c>
      <c r="D1668" s="13">
        <v>396.8</v>
      </c>
      <c r="E1668" s="13" t="str">
        <f>IF(ISERROR(VLOOKUP(F1668,Magic!H:H,1,0)),IF(ISERROR(VLOOKUP(F1668,Magic!T:T,1,0)),"N","Y"),"Y")</f>
        <v>Y</v>
      </c>
      <c r="F1668" s="13">
        <v>1667</v>
      </c>
    </row>
    <row r="1669" spans="1:6" x14ac:dyDescent="0.25">
      <c r="A1669" s="16">
        <v>42915</v>
      </c>
      <c r="B1669" s="13" t="s">
        <v>31</v>
      </c>
      <c r="C1669" s="13">
        <v>37</v>
      </c>
      <c r="D1669" s="13">
        <v>10</v>
      </c>
      <c r="E1669" s="13" t="str">
        <f>IF(ISERROR(VLOOKUP(F1669,Magic!H:H,1,0)),IF(ISERROR(VLOOKUP(F1669,Magic!T:T,1,0)),"N","Y"),"Y")</f>
        <v>Y</v>
      </c>
      <c r="F1669" s="13">
        <v>1668</v>
      </c>
    </row>
    <row r="1670" spans="1:6" x14ac:dyDescent="0.25">
      <c r="A1670" s="16">
        <v>42915</v>
      </c>
      <c r="B1670" s="13" t="s">
        <v>81</v>
      </c>
      <c r="C1670" s="13">
        <v>41</v>
      </c>
      <c r="D1670" s="13">
        <v>722.75</v>
      </c>
      <c r="E1670" s="13" t="str">
        <f>IF(ISERROR(VLOOKUP(F1670,Magic!H:H,1,0)),IF(ISERROR(VLOOKUP(F1670,Magic!T:T,1,0)),"N","Y"),"Y")</f>
        <v>Y</v>
      </c>
      <c r="F1670" s="13">
        <v>1669</v>
      </c>
    </row>
    <row r="1671" spans="1:6" x14ac:dyDescent="0.25">
      <c r="A1671" s="16">
        <v>42915</v>
      </c>
      <c r="B1671" s="13" t="s">
        <v>24</v>
      </c>
      <c r="C1671" s="13">
        <v>43</v>
      </c>
      <c r="D1671" s="13">
        <v>793.85</v>
      </c>
      <c r="E1671" s="13" t="str">
        <f>IF(ISERROR(VLOOKUP(F1671,Magic!H:H,1,0)),IF(ISERROR(VLOOKUP(F1671,Magic!T:T,1,0)),"N","Y"),"Y")</f>
        <v>Y</v>
      </c>
      <c r="F1671" s="13">
        <v>1670</v>
      </c>
    </row>
    <row r="1672" spans="1:6" x14ac:dyDescent="0.25">
      <c r="A1672" s="16">
        <v>42915</v>
      </c>
      <c r="B1672" s="13" t="s">
        <v>25</v>
      </c>
      <c r="C1672" s="13">
        <v>44</v>
      </c>
      <c r="D1672" s="13">
        <v>524</v>
      </c>
      <c r="E1672" s="13" t="str">
        <f>IF(ISERROR(VLOOKUP(F1672,Magic!H:H,1,0)),IF(ISERROR(VLOOKUP(F1672,Magic!T:T,1,0)),"N","Y"),"Y")</f>
        <v>Y</v>
      </c>
      <c r="F1672" s="13">
        <v>1671</v>
      </c>
    </row>
    <row r="1673" spans="1:6" x14ac:dyDescent="0.25">
      <c r="A1673" s="16">
        <v>42915</v>
      </c>
      <c r="B1673" s="13" t="s">
        <v>611</v>
      </c>
      <c r="C1673" s="13">
        <v>201</v>
      </c>
      <c r="D1673" s="13">
        <v>783.6</v>
      </c>
      <c r="E1673" s="13" t="str">
        <f>IF(ISERROR(VLOOKUP(F1673,Magic!H:H,1,0)),IF(ISERROR(VLOOKUP(F1673,Magic!T:T,1,0)),"N","Y"),"Y")</f>
        <v>Y</v>
      </c>
      <c r="F1673" s="13">
        <v>1672</v>
      </c>
    </row>
    <row r="1674" spans="1:6" x14ac:dyDescent="0.25">
      <c r="A1674" s="16">
        <v>42918</v>
      </c>
      <c r="B1674" s="13" t="s">
        <v>28</v>
      </c>
      <c r="C1674" s="13">
        <v>103</v>
      </c>
      <c r="D1674" s="13">
        <v>1333.7</v>
      </c>
      <c r="E1674" s="13" t="str">
        <f>IF(ISERROR(VLOOKUP(F1674,Magic!H:H,1,0)),IF(ISERROR(VLOOKUP(F1674,Magic!T:T,1,0)),"N","Y"),"Y")</f>
        <v>Y</v>
      </c>
      <c r="F1674" s="13">
        <v>1673</v>
      </c>
    </row>
    <row r="1675" spans="1:6" x14ac:dyDescent="0.25">
      <c r="A1675" s="16">
        <v>42916</v>
      </c>
      <c r="B1675" s="13" t="s">
        <v>29</v>
      </c>
      <c r="C1675" s="13">
        <v>35</v>
      </c>
      <c r="D1675" s="13">
        <v>1445</v>
      </c>
      <c r="E1675" s="13" t="str">
        <f>IF(ISERROR(VLOOKUP(F1675,Magic!H:H,1,0)),IF(ISERROR(VLOOKUP(F1675,Magic!T:T,1,0)),"N","Y"),"Y")</f>
        <v>Y</v>
      </c>
      <c r="F1675" s="13">
        <v>1674</v>
      </c>
    </row>
    <row r="1676" spans="1:6" x14ac:dyDescent="0.25">
      <c r="A1676" s="16">
        <v>42916</v>
      </c>
      <c r="B1676" s="13" t="s">
        <v>82</v>
      </c>
      <c r="C1676" s="13">
        <v>35</v>
      </c>
      <c r="D1676" s="13">
        <v>1478.65</v>
      </c>
      <c r="E1676" s="13" t="str">
        <f>IF(ISERROR(VLOOKUP(F1676,Magic!H:H,1,0)),IF(ISERROR(VLOOKUP(F1676,Magic!T:T,1,0)),"N","Y"),"Y")</f>
        <v>Y</v>
      </c>
      <c r="F1676" s="13">
        <v>1675</v>
      </c>
    </row>
    <row r="1677" spans="1:6" x14ac:dyDescent="0.25">
      <c r="A1677" s="16">
        <v>42916</v>
      </c>
      <c r="B1677" s="13" t="s">
        <v>31</v>
      </c>
      <c r="C1677" s="13">
        <v>37</v>
      </c>
      <c r="D1677" s="13">
        <v>929.15</v>
      </c>
      <c r="E1677" s="13" t="str">
        <f>IF(ISERROR(VLOOKUP(F1677,Magic!H:H,1,0)),IF(ISERROR(VLOOKUP(F1677,Magic!T:T,1,0)),"N","Y"),"Y")</f>
        <v>Y</v>
      </c>
      <c r="F1677" s="13">
        <v>1676</v>
      </c>
    </row>
    <row r="1678" spans="1:6" x14ac:dyDescent="0.25">
      <c r="A1678" s="16">
        <v>42916</v>
      </c>
      <c r="B1678" s="13" t="s">
        <v>81</v>
      </c>
      <c r="C1678" s="13">
        <v>41</v>
      </c>
      <c r="D1678" s="13">
        <v>1247.3</v>
      </c>
      <c r="E1678" s="13" t="str">
        <f>IF(ISERROR(VLOOKUP(F1678,Magic!H:H,1,0)),IF(ISERROR(VLOOKUP(F1678,Magic!T:T,1,0)),"N","Y"),"Y")</f>
        <v>Y</v>
      </c>
      <c r="F1678" s="13">
        <v>1677</v>
      </c>
    </row>
    <row r="1679" spans="1:6" x14ac:dyDescent="0.25">
      <c r="A1679" s="16">
        <v>42916</v>
      </c>
      <c r="B1679" s="13" t="s">
        <v>24</v>
      </c>
      <c r="C1679" s="13">
        <v>43</v>
      </c>
      <c r="D1679" s="13">
        <v>1476.45</v>
      </c>
      <c r="E1679" s="13" t="str">
        <f>IF(ISERROR(VLOOKUP(F1679,Magic!H:H,1,0)),IF(ISERROR(VLOOKUP(F1679,Magic!T:T,1,0)),"N","Y"),"Y")</f>
        <v>Y</v>
      </c>
      <c r="F1679" s="13">
        <v>1678</v>
      </c>
    </row>
    <row r="1680" spans="1:6" x14ac:dyDescent="0.25">
      <c r="A1680" s="16">
        <v>42916</v>
      </c>
      <c r="B1680" s="13" t="s">
        <v>25</v>
      </c>
      <c r="C1680" s="13">
        <v>44</v>
      </c>
      <c r="D1680" s="13">
        <v>380.25</v>
      </c>
      <c r="E1680" s="13" t="str">
        <f>IF(ISERROR(VLOOKUP(F1680,Magic!H:H,1,0)),IF(ISERROR(VLOOKUP(F1680,Magic!T:T,1,0)),"N","Y"),"Y")</f>
        <v>Y</v>
      </c>
      <c r="F1680" s="13">
        <v>1679</v>
      </c>
    </row>
    <row r="1681" spans="1:6" x14ac:dyDescent="0.25">
      <c r="A1681" s="16">
        <v>42916</v>
      </c>
      <c r="B1681" s="13" t="s">
        <v>28</v>
      </c>
      <c r="C1681" s="13">
        <v>103</v>
      </c>
      <c r="D1681" s="13">
        <v>1465.85</v>
      </c>
      <c r="E1681" s="13" t="str">
        <f>IF(ISERROR(VLOOKUP(F1681,Magic!H:H,1,0)),IF(ISERROR(VLOOKUP(F1681,Magic!T:T,1,0)),"N","Y"),"Y")</f>
        <v>Y</v>
      </c>
      <c r="F1681" s="13">
        <v>1680</v>
      </c>
    </row>
    <row r="1682" spans="1:6" x14ac:dyDescent="0.25">
      <c r="A1682" s="16">
        <v>42916</v>
      </c>
      <c r="B1682" s="13" t="s">
        <v>611</v>
      </c>
      <c r="C1682" s="13">
        <v>201</v>
      </c>
      <c r="D1682" s="13">
        <v>678.8</v>
      </c>
      <c r="E1682" s="13" t="str">
        <f>IF(ISERROR(VLOOKUP(F1682,Magic!H:H,1,0)),IF(ISERROR(VLOOKUP(F1682,Magic!T:T,1,0)),"N","Y"),"Y")</f>
        <v>Y</v>
      </c>
      <c r="F1682" s="13">
        <v>1681</v>
      </c>
    </row>
    <row r="1683" spans="1:6" x14ac:dyDescent="0.25">
      <c r="A1683" s="16">
        <v>42917</v>
      </c>
      <c r="B1683" s="13" t="s">
        <v>29</v>
      </c>
      <c r="C1683" s="13">
        <v>35</v>
      </c>
      <c r="D1683" s="13">
        <v>1000</v>
      </c>
      <c r="E1683" s="13" t="str">
        <f>IF(ISERROR(VLOOKUP(F1683,Magic!H:H,1,0)),IF(ISERROR(VLOOKUP(F1683,Magic!T:T,1,0)),"N","Y"),"Y")</f>
        <v>Y</v>
      </c>
      <c r="F1683" s="13">
        <v>1682</v>
      </c>
    </row>
    <row r="1684" spans="1:6" x14ac:dyDescent="0.25">
      <c r="A1684" s="16">
        <v>42917</v>
      </c>
      <c r="B1684" s="13" t="s">
        <v>28</v>
      </c>
      <c r="C1684" s="13">
        <v>103</v>
      </c>
      <c r="D1684" s="13">
        <v>1626.2</v>
      </c>
      <c r="E1684" s="13" t="str">
        <f>IF(ISERROR(VLOOKUP(F1684,Magic!H:H,1,0)),IF(ISERROR(VLOOKUP(F1684,Magic!T:T,1,0)),"N","Y"),"Y")</f>
        <v>Y</v>
      </c>
      <c r="F1684" s="13">
        <v>1683</v>
      </c>
    </row>
    <row r="1685" spans="1:6" x14ac:dyDescent="0.25">
      <c r="A1685" s="16">
        <v>42919</v>
      </c>
      <c r="B1685" s="13" t="s">
        <v>29</v>
      </c>
      <c r="C1685" s="13">
        <v>35</v>
      </c>
      <c r="D1685" s="13">
        <v>1035</v>
      </c>
      <c r="E1685" s="13" t="str">
        <f>IF(ISERROR(VLOOKUP(F1685,Magic!H:H,1,0)),IF(ISERROR(VLOOKUP(F1685,Magic!T:T,1,0)),"N","Y"),"Y")</f>
        <v>Y</v>
      </c>
      <c r="F1685" s="13">
        <v>1684</v>
      </c>
    </row>
    <row r="1686" spans="1:6" x14ac:dyDescent="0.25">
      <c r="A1686" s="16">
        <v>42919</v>
      </c>
      <c r="B1686" s="13" t="s">
        <v>57</v>
      </c>
      <c r="C1686" s="13">
        <v>35</v>
      </c>
      <c r="D1686" s="13">
        <v>2.6</v>
      </c>
      <c r="E1686" s="13" t="str">
        <f>IF(ISERROR(VLOOKUP(F1686,Magic!H:H,1,0)),IF(ISERROR(VLOOKUP(F1686,Magic!T:T,1,0)),"N","Y"),"Y")</f>
        <v>Y</v>
      </c>
      <c r="F1686" s="13">
        <v>1685</v>
      </c>
    </row>
    <row r="1687" spans="1:6" x14ac:dyDescent="0.25">
      <c r="A1687" s="16">
        <v>42919</v>
      </c>
      <c r="B1687" s="13" t="s">
        <v>57</v>
      </c>
      <c r="C1687" s="13">
        <v>35</v>
      </c>
      <c r="D1687" s="13">
        <v>25.1</v>
      </c>
      <c r="E1687" s="13" t="str">
        <f>IF(ISERROR(VLOOKUP(F1687,Magic!H:H,1,0)),IF(ISERROR(VLOOKUP(F1687,Magic!T:T,1,0)),"N","Y"),"Y")</f>
        <v>Y</v>
      </c>
      <c r="F1687" s="13">
        <v>1686</v>
      </c>
    </row>
    <row r="1688" spans="1:6" x14ac:dyDescent="0.25">
      <c r="A1688" s="16">
        <v>42919</v>
      </c>
      <c r="B1688" s="13" t="s">
        <v>57</v>
      </c>
      <c r="C1688" s="13">
        <v>35</v>
      </c>
      <c r="D1688" s="13">
        <v>3.95</v>
      </c>
      <c r="E1688" s="13" t="str">
        <f>IF(ISERROR(VLOOKUP(F1688,Magic!H:H,1,0)),IF(ISERROR(VLOOKUP(F1688,Magic!T:T,1,0)),"N","Y"),"Y")</f>
        <v>Y</v>
      </c>
      <c r="F1688" s="13">
        <v>1687</v>
      </c>
    </row>
    <row r="1689" spans="1:6" x14ac:dyDescent="0.25">
      <c r="A1689" s="16">
        <v>42919</v>
      </c>
      <c r="B1689" s="13" t="s">
        <v>29</v>
      </c>
      <c r="C1689" s="13">
        <v>35</v>
      </c>
      <c r="D1689" s="13">
        <v>630</v>
      </c>
      <c r="E1689" s="13" t="str">
        <f>IF(ISERROR(VLOOKUP(F1689,Magic!H:H,1,0)),IF(ISERROR(VLOOKUP(F1689,Magic!T:T,1,0)),"N","Y"),"Y")</f>
        <v>Y</v>
      </c>
      <c r="F1689" s="13">
        <v>1688</v>
      </c>
    </row>
    <row r="1690" spans="1:6" x14ac:dyDescent="0.25">
      <c r="A1690" s="16">
        <v>42919</v>
      </c>
      <c r="B1690" s="13" t="s">
        <v>81</v>
      </c>
      <c r="C1690" s="13">
        <v>41</v>
      </c>
      <c r="D1690" s="13">
        <v>527.15</v>
      </c>
      <c r="E1690" s="13" t="str">
        <f>IF(ISERROR(VLOOKUP(F1690,Magic!H:H,1,0)),IF(ISERROR(VLOOKUP(F1690,Magic!T:T,1,0)),"N","Y"),"Y")</f>
        <v>Y</v>
      </c>
      <c r="F1690" s="13">
        <v>1689</v>
      </c>
    </row>
    <row r="1691" spans="1:6" x14ac:dyDescent="0.25">
      <c r="A1691" s="16">
        <v>42919</v>
      </c>
      <c r="B1691" s="13" t="s">
        <v>81</v>
      </c>
      <c r="C1691" s="13">
        <v>41</v>
      </c>
      <c r="D1691" s="13">
        <v>550.35</v>
      </c>
      <c r="E1691" s="13" t="str">
        <f>IF(ISERROR(VLOOKUP(F1691,Magic!H:H,1,0)),IF(ISERROR(VLOOKUP(F1691,Magic!T:T,1,0)),"N","Y"),"Y")</f>
        <v>Y</v>
      </c>
      <c r="F1691" s="13">
        <v>1690</v>
      </c>
    </row>
    <row r="1692" spans="1:6" x14ac:dyDescent="0.25">
      <c r="A1692" s="16">
        <v>42919</v>
      </c>
      <c r="B1692" s="13" t="s">
        <v>81</v>
      </c>
      <c r="C1692" s="13">
        <v>41</v>
      </c>
      <c r="D1692" s="13">
        <v>629.70000000000005</v>
      </c>
      <c r="E1692" s="13" t="str">
        <f>IF(ISERROR(VLOOKUP(F1692,Magic!H:H,1,0)),IF(ISERROR(VLOOKUP(F1692,Magic!T:T,1,0)),"N","Y"),"Y")</f>
        <v>Y</v>
      </c>
      <c r="F1692" s="13">
        <v>1691</v>
      </c>
    </row>
    <row r="1693" spans="1:6" x14ac:dyDescent="0.25">
      <c r="A1693" s="16">
        <v>42919</v>
      </c>
      <c r="B1693" s="13" t="s">
        <v>24</v>
      </c>
      <c r="C1693" s="13">
        <v>43</v>
      </c>
      <c r="D1693" s="13">
        <v>738.1</v>
      </c>
      <c r="E1693" s="13" t="str">
        <f>IF(ISERROR(VLOOKUP(F1693,Magic!H:H,1,0)),IF(ISERROR(VLOOKUP(F1693,Magic!T:T,1,0)),"N","Y"),"Y")</f>
        <v>Y</v>
      </c>
      <c r="F1693" s="13">
        <v>1692</v>
      </c>
    </row>
    <row r="1694" spans="1:6" x14ac:dyDescent="0.25">
      <c r="A1694" s="16">
        <v>42919</v>
      </c>
      <c r="B1694" s="13" t="s">
        <v>24</v>
      </c>
      <c r="C1694" s="13">
        <v>43</v>
      </c>
      <c r="D1694" s="13">
        <v>960.45</v>
      </c>
      <c r="E1694" s="13" t="str">
        <f>IF(ISERROR(VLOOKUP(F1694,Magic!H:H,1,0)),IF(ISERROR(VLOOKUP(F1694,Magic!T:T,1,0)),"N","Y"),"Y")</f>
        <v>Y</v>
      </c>
      <c r="F1694" s="13">
        <v>1693</v>
      </c>
    </row>
    <row r="1695" spans="1:6" x14ac:dyDescent="0.25">
      <c r="A1695" s="16">
        <v>42919</v>
      </c>
      <c r="B1695" s="13" t="s">
        <v>24</v>
      </c>
      <c r="C1695" s="13">
        <v>43</v>
      </c>
      <c r="D1695" s="13">
        <v>1079.4000000000001</v>
      </c>
      <c r="E1695" s="13" t="str">
        <f>IF(ISERROR(VLOOKUP(F1695,Magic!H:H,1,0)),IF(ISERROR(VLOOKUP(F1695,Magic!T:T,1,0)),"N","Y"),"Y")</f>
        <v>Y</v>
      </c>
      <c r="F1695" s="13">
        <v>1694</v>
      </c>
    </row>
    <row r="1696" spans="1:6" x14ac:dyDescent="0.25">
      <c r="A1696" s="16">
        <v>42919</v>
      </c>
      <c r="B1696" s="13" t="s">
        <v>28</v>
      </c>
      <c r="C1696" s="13">
        <v>103</v>
      </c>
      <c r="D1696" s="13">
        <v>637.20000000000005</v>
      </c>
      <c r="E1696" s="13" t="str">
        <f>IF(ISERROR(VLOOKUP(F1696,Magic!H:H,1,0)),IF(ISERROR(VLOOKUP(F1696,Magic!T:T,1,0)),"N","Y"),"Y")</f>
        <v>Y</v>
      </c>
      <c r="F1696" s="13">
        <v>1695</v>
      </c>
    </row>
    <row r="1697" spans="1:6" x14ac:dyDescent="0.25">
      <c r="A1697" s="16">
        <v>42919</v>
      </c>
      <c r="B1697" s="13" t="s">
        <v>611</v>
      </c>
      <c r="C1697" s="13">
        <v>201</v>
      </c>
      <c r="D1697" s="13">
        <v>614.04999999999995</v>
      </c>
      <c r="E1697" s="13" t="str">
        <f>IF(ISERROR(VLOOKUP(F1697,Magic!H:H,1,0)),IF(ISERROR(VLOOKUP(F1697,Magic!T:T,1,0)),"N","Y"),"Y")</f>
        <v>Y</v>
      </c>
      <c r="F1697" s="13">
        <v>1696</v>
      </c>
    </row>
    <row r="1698" spans="1:6" x14ac:dyDescent="0.25">
      <c r="A1698" s="16">
        <v>42919</v>
      </c>
      <c r="B1698" s="13" t="s">
        <v>611</v>
      </c>
      <c r="C1698" s="13">
        <v>201</v>
      </c>
      <c r="D1698" s="13">
        <v>604</v>
      </c>
      <c r="E1698" s="13" t="str">
        <f>IF(ISERROR(VLOOKUP(F1698,Magic!H:H,1,0)),IF(ISERROR(VLOOKUP(F1698,Magic!T:T,1,0)),"N","Y"),"Y")</f>
        <v>Y</v>
      </c>
      <c r="F1698" s="13">
        <v>1697</v>
      </c>
    </row>
    <row r="1699" spans="1:6" x14ac:dyDescent="0.25">
      <c r="A1699" s="16">
        <v>42919</v>
      </c>
      <c r="B1699" s="13" t="s">
        <v>611</v>
      </c>
      <c r="C1699" s="13">
        <v>201</v>
      </c>
      <c r="D1699" s="13">
        <v>534.04999999999995</v>
      </c>
      <c r="E1699" s="13" t="str">
        <f>IF(ISERROR(VLOOKUP(F1699,Magic!H:H,1,0)),IF(ISERROR(VLOOKUP(F1699,Magic!T:T,1,0)),"N","Y"),"Y")</f>
        <v>Y</v>
      </c>
      <c r="F1699" s="13">
        <v>1698</v>
      </c>
    </row>
    <row r="1700" spans="1:6" x14ac:dyDescent="0.25">
      <c r="A1700" s="16">
        <v>42921</v>
      </c>
      <c r="B1700" s="13" t="s">
        <v>29</v>
      </c>
      <c r="C1700" s="13">
        <v>35</v>
      </c>
      <c r="D1700" s="13">
        <v>825</v>
      </c>
      <c r="E1700" s="13" t="str">
        <f>IF(ISERROR(VLOOKUP(F1700,Magic!H:H,1,0)),IF(ISERROR(VLOOKUP(F1700,Magic!T:T,1,0)),"N","Y"),"Y")</f>
        <v>Y</v>
      </c>
      <c r="F1700" s="13">
        <v>1699</v>
      </c>
    </row>
    <row r="1701" spans="1:6" x14ac:dyDescent="0.25">
      <c r="A1701" s="16">
        <v>42920</v>
      </c>
      <c r="B1701" s="13" t="s">
        <v>29</v>
      </c>
      <c r="C1701" s="13">
        <v>35</v>
      </c>
      <c r="D1701" s="13">
        <v>575</v>
      </c>
      <c r="E1701" s="13" t="str">
        <f>IF(ISERROR(VLOOKUP(F1701,Magic!H:H,1,0)),IF(ISERROR(VLOOKUP(F1701,Magic!T:T,1,0)),"N","Y"),"Y")</f>
        <v>Y</v>
      </c>
      <c r="F1701" s="13">
        <v>1700</v>
      </c>
    </row>
    <row r="1702" spans="1:6" x14ac:dyDescent="0.25">
      <c r="A1702" s="16">
        <v>42920</v>
      </c>
      <c r="B1702" s="13" t="s">
        <v>82</v>
      </c>
      <c r="C1702" s="13">
        <v>35</v>
      </c>
      <c r="D1702" s="13">
        <v>2.0499999999999998</v>
      </c>
      <c r="E1702" s="13" t="str">
        <f>IF(ISERROR(VLOOKUP(F1702,Magic!H:H,1,0)),IF(ISERROR(VLOOKUP(F1702,Magic!T:T,1,0)),"N","Y"),"Y")</f>
        <v>Y</v>
      </c>
      <c r="F1702" s="13">
        <v>1701</v>
      </c>
    </row>
    <row r="1703" spans="1:6" x14ac:dyDescent="0.25">
      <c r="A1703" s="1">
        <v>42920</v>
      </c>
      <c r="B1703" t="s">
        <v>31</v>
      </c>
      <c r="C1703">
        <v>37</v>
      </c>
      <c r="D1703">
        <v>6</v>
      </c>
      <c r="E1703" t="str">
        <f>IF(ISERROR(VLOOKUP(F1703,Magic!H:H,1,0)),IF(ISERROR(VLOOKUP(F1703,Magic!T:T,1,0)),"N","Y"),"Y")</f>
        <v>N</v>
      </c>
      <c r="F1703">
        <v>1702</v>
      </c>
    </row>
    <row r="1704" spans="1:6" x14ac:dyDescent="0.25">
      <c r="A1704" s="16">
        <v>42920</v>
      </c>
      <c r="B1704" s="13" t="s">
        <v>31</v>
      </c>
      <c r="C1704" s="13">
        <v>37</v>
      </c>
      <c r="D1704" s="13">
        <v>404.65</v>
      </c>
      <c r="E1704" s="13" t="str">
        <f>IF(ISERROR(VLOOKUP(F1704,Magic!H:H,1,0)),IF(ISERROR(VLOOKUP(F1704,Magic!T:T,1,0)),"N","Y"),"Y")</f>
        <v>Y</v>
      </c>
      <c r="F1704" s="13">
        <v>1703</v>
      </c>
    </row>
    <row r="1705" spans="1:6" x14ac:dyDescent="0.25">
      <c r="A1705" s="16">
        <v>42920</v>
      </c>
      <c r="B1705" s="13" t="s">
        <v>31</v>
      </c>
      <c r="C1705" s="13">
        <v>37</v>
      </c>
      <c r="D1705" s="13">
        <v>672.55</v>
      </c>
      <c r="E1705" s="13" t="str">
        <f>IF(ISERROR(VLOOKUP(F1705,Magic!H:H,1,0)),IF(ISERROR(VLOOKUP(F1705,Magic!T:T,1,0)),"N","Y"),"Y")</f>
        <v>Y</v>
      </c>
      <c r="F1705" s="13">
        <v>1704</v>
      </c>
    </row>
    <row r="1706" spans="1:6" x14ac:dyDescent="0.25">
      <c r="A1706" s="16">
        <v>42920</v>
      </c>
      <c r="B1706" s="13" t="s">
        <v>31</v>
      </c>
      <c r="C1706" s="13">
        <v>37</v>
      </c>
      <c r="D1706" s="13">
        <v>394.15</v>
      </c>
      <c r="E1706" s="13" t="str">
        <f>IF(ISERROR(VLOOKUP(F1706,Magic!H:H,1,0)),IF(ISERROR(VLOOKUP(F1706,Magic!T:T,1,0)),"N","Y"),"Y")</f>
        <v>Y</v>
      </c>
      <c r="F1706" s="13">
        <v>1705</v>
      </c>
    </row>
    <row r="1707" spans="1:6" x14ac:dyDescent="0.25">
      <c r="A1707" s="16">
        <v>42920</v>
      </c>
      <c r="B1707" s="13" t="s">
        <v>31</v>
      </c>
      <c r="C1707" s="13">
        <v>37</v>
      </c>
      <c r="D1707" s="13">
        <v>940</v>
      </c>
      <c r="E1707" s="13" t="str">
        <f>IF(ISERROR(VLOOKUP(F1707,Magic!H:H,1,0)),IF(ISERROR(VLOOKUP(F1707,Magic!T:T,1,0)),"N","Y"),"Y")</f>
        <v>Y</v>
      </c>
      <c r="F1707" s="13">
        <v>1706</v>
      </c>
    </row>
    <row r="1708" spans="1:6" x14ac:dyDescent="0.25">
      <c r="A1708" s="16">
        <v>42920</v>
      </c>
      <c r="B1708" s="13" t="s">
        <v>81</v>
      </c>
      <c r="C1708" s="13">
        <v>41</v>
      </c>
      <c r="D1708" s="13">
        <v>628.15</v>
      </c>
      <c r="E1708" s="13" t="str">
        <f>IF(ISERROR(VLOOKUP(F1708,Magic!H:H,1,0)),IF(ISERROR(VLOOKUP(F1708,Magic!T:T,1,0)),"N","Y"),"Y")</f>
        <v>Y</v>
      </c>
      <c r="F1708" s="13">
        <v>1707</v>
      </c>
    </row>
    <row r="1709" spans="1:6" x14ac:dyDescent="0.25">
      <c r="A1709" s="16">
        <v>42920</v>
      </c>
      <c r="B1709" s="13" t="s">
        <v>24</v>
      </c>
      <c r="C1709" s="13">
        <v>43</v>
      </c>
      <c r="D1709" s="13">
        <v>712.85</v>
      </c>
      <c r="E1709" s="13" t="str">
        <f>IF(ISERROR(VLOOKUP(F1709,Magic!H:H,1,0)),IF(ISERROR(VLOOKUP(F1709,Magic!T:T,1,0)),"N","Y"),"Y")</f>
        <v>Y</v>
      </c>
      <c r="F1709" s="13">
        <v>1708</v>
      </c>
    </row>
    <row r="1710" spans="1:6" x14ac:dyDescent="0.25">
      <c r="A1710" s="16">
        <v>42920</v>
      </c>
      <c r="B1710" s="13" t="s">
        <v>25</v>
      </c>
      <c r="C1710" s="13">
        <v>44</v>
      </c>
      <c r="D1710" s="13">
        <v>396.25</v>
      </c>
      <c r="E1710" s="13" t="str">
        <f>IF(ISERROR(VLOOKUP(F1710,Magic!H:H,1,0)),IF(ISERROR(VLOOKUP(F1710,Magic!T:T,1,0)),"N","Y"),"Y")</f>
        <v>Y</v>
      </c>
      <c r="F1710" s="13">
        <v>1709</v>
      </c>
    </row>
    <row r="1711" spans="1:6" x14ac:dyDescent="0.25">
      <c r="A1711" s="16">
        <v>42920</v>
      </c>
      <c r="B1711" s="13" t="s">
        <v>25</v>
      </c>
      <c r="C1711" s="13">
        <v>44</v>
      </c>
      <c r="D1711" s="13">
        <v>388.15</v>
      </c>
      <c r="E1711" s="13" t="str">
        <f>IF(ISERROR(VLOOKUP(F1711,Magic!H:H,1,0)),IF(ISERROR(VLOOKUP(F1711,Magic!T:T,1,0)),"N","Y"),"Y")</f>
        <v>Y</v>
      </c>
      <c r="F1711" s="13">
        <v>1710</v>
      </c>
    </row>
    <row r="1712" spans="1:6" x14ac:dyDescent="0.25">
      <c r="A1712" s="16">
        <v>42920</v>
      </c>
      <c r="B1712" s="13" t="s">
        <v>28</v>
      </c>
      <c r="C1712" s="13">
        <v>103</v>
      </c>
      <c r="D1712" s="13">
        <v>1180.5</v>
      </c>
      <c r="E1712" s="13" t="str">
        <f>IF(ISERROR(VLOOKUP(F1712,Magic!H:H,1,0)),IF(ISERROR(VLOOKUP(F1712,Magic!T:T,1,0)),"N","Y"),"Y")</f>
        <v>Y</v>
      </c>
      <c r="F1712" s="13">
        <v>1711</v>
      </c>
    </row>
    <row r="1713" spans="1:6" x14ac:dyDescent="0.25">
      <c r="A1713" s="16">
        <v>42920</v>
      </c>
      <c r="B1713" s="13" t="s">
        <v>611</v>
      </c>
      <c r="C1713" s="13">
        <v>201</v>
      </c>
      <c r="D1713" s="13">
        <v>519.9</v>
      </c>
      <c r="E1713" s="13" t="str">
        <f>IF(ISERROR(VLOOKUP(F1713,Magic!H:H,1,0)),IF(ISERROR(VLOOKUP(F1713,Magic!T:T,1,0)),"N","Y"),"Y")</f>
        <v>Y</v>
      </c>
      <c r="F1713" s="13">
        <v>1712</v>
      </c>
    </row>
    <row r="1714" spans="1:6" x14ac:dyDescent="0.25">
      <c r="A1714" s="16">
        <v>42921</v>
      </c>
      <c r="B1714" s="13" t="s">
        <v>82</v>
      </c>
      <c r="C1714" s="13">
        <v>35</v>
      </c>
      <c r="D1714" s="13">
        <v>3.15</v>
      </c>
      <c r="E1714" s="13" t="str">
        <f>IF(ISERROR(VLOOKUP(F1714,Magic!H:H,1,0)),IF(ISERROR(VLOOKUP(F1714,Magic!T:T,1,0)),"N","Y"),"Y")</f>
        <v>Y</v>
      </c>
      <c r="F1714" s="13">
        <v>1713</v>
      </c>
    </row>
    <row r="1715" spans="1:6" x14ac:dyDescent="0.25">
      <c r="A1715" s="16">
        <v>42921</v>
      </c>
      <c r="B1715" s="13" t="s">
        <v>146</v>
      </c>
      <c r="C1715" s="13">
        <v>37</v>
      </c>
      <c r="D1715" s="13">
        <v>397.8</v>
      </c>
      <c r="E1715" s="13" t="str">
        <f>IF(ISERROR(VLOOKUP(F1715,Magic!H:H,1,0)),IF(ISERROR(VLOOKUP(F1715,Magic!T:T,1,0)),"N","Y"),"Y")</f>
        <v>Y</v>
      </c>
      <c r="F1715" s="13">
        <v>1714</v>
      </c>
    </row>
    <row r="1716" spans="1:6" x14ac:dyDescent="0.25">
      <c r="A1716" s="16">
        <v>42921</v>
      </c>
      <c r="B1716" s="13" t="s">
        <v>24</v>
      </c>
      <c r="C1716" s="13">
        <v>43</v>
      </c>
      <c r="D1716" s="13">
        <v>843</v>
      </c>
      <c r="E1716" s="13" t="str">
        <f>IF(ISERROR(VLOOKUP(F1716,Magic!H:H,1,0)),IF(ISERROR(VLOOKUP(F1716,Magic!T:T,1,0)),"N","Y"),"Y")</f>
        <v>Y</v>
      </c>
      <c r="F1716" s="13">
        <v>1715</v>
      </c>
    </row>
    <row r="1717" spans="1:6" x14ac:dyDescent="0.25">
      <c r="A1717" s="16">
        <v>42921</v>
      </c>
      <c r="B1717" s="13" t="s">
        <v>611</v>
      </c>
      <c r="C1717" s="13">
        <v>201</v>
      </c>
      <c r="D1717" s="13">
        <v>414.55</v>
      </c>
      <c r="E1717" s="13" t="str">
        <f>IF(ISERROR(VLOOKUP(F1717,Magic!H:H,1,0)),IF(ISERROR(VLOOKUP(F1717,Magic!T:T,1,0)),"N","Y"),"Y")</f>
        <v>Y</v>
      </c>
      <c r="F1717" s="13">
        <v>1716</v>
      </c>
    </row>
    <row r="1718" spans="1:6" x14ac:dyDescent="0.25">
      <c r="A1718" s="16">
        <v>42921</v>
      </c>
      <c r="B1718" s="13" t="s">
        <v>1644</v>
      </c>
      <c r="C1718" s="13">
        <v>41</v>
      </c>
      <c r="D1718" s="13">
        <v>621.79999999999995</v>
      </c>
      <c r="E1718" s="13" t="str">
        <f>IF(ISERROR(VLOOKUP(F1718,Magic!H:H,1,0)),IF(ISERROR(VLOOKUP(F1718,Magic!T:T,1,0)),"N","Y"),"Y")</f>
        <v>Y</v>
      </c>
      <c r="F1718" s="13">
        <v>1717</v>
      </c>
    </row>
    <row r="1719" spans="1:6" x14ac:dyDescent="0.25">
      <c r="A1719" s="16">
        <v>42922</v>
      </c>
      <c r="B1719" s="13" t="s">
        <v>29</v>
      </c>
      <c r="C1719" s="13">
        <v>35</v>
      </c>
      <c r="D1719" s="13">
        <v>810</v>
      </c>
      <c r="E1719" s="13" t="str">
        <f>IF(ISERROR(VLOOKUP(F1719,Magic!H:H,1,0)),IF(ISERROR(VLOOKUP(F1719,Magic!T:T,1,0)),"N","Y"),"Y")</f>
        <v>Y</v>
      </c>
      <c r="F1719" s="13">
        <v>1718</v>
      </c>
    </row>
    <row r="1720" spans="1:6" x14ac:dyDescent="0.25">
      <c r="A1720" s="16">
        <v>42922</v>
      </c>
      <c r="B1720" s="13" t="s">
        <v>57</v>
      </c>
      <c r="C1720" s="13">
        <v>35</v>
      </c>
      <c r="D1720" s="13">
        <v>13.75</v>
      </c>
      <c r="E1720" s="13" t="str">
        <f>IF(ISERROR(VLOOKUP(F1720,Magic!H:H,1,0)),IF(ISERROR(VLOOKUP(F1720,Magic!T:T,1,0)),"N","Y"),"Y")</f>
        <v>Y</v>
      </c>
      <c r="F1720" s="13">
        <v>1719</v>
      </c>
    </row>
    <row r="1721" spans="1:6" x14ac:dyDescent="0.25">
      <c r="A1721" s="16">
        <v>42922</v>
      </c>
      <c r="B1721" s="13" t="s">
        <v>31</v>
      </c>
      <c r="C1721" s="13">
        <v>37</v>
      </c>
      <c r="D1721" s="13">
        <v>470.8</v>
      </c>
      <c r="E1721" s="13" t="str">
        <f>IF(ISERROR(VLOOKUP(F1721,Magic!H:H,1,0)),IF(ISERROR(VLOOKUP(F1721,Magic!T:T,1,0)),"N","Y"),"Y")</f>
        <v>Y</v>
      </c>
      <c r="F1721" s="13">
        <v>1720</v>
      </c>
    </row>
    <row r="1722" spans="1:6" x14ac:dyDescent="0.25">
      <c r="A1722" s="16">
        <v>42922</v>
      </c>
      <c r="B1722" s="13" t="s">
        <v>81</v>
      </c>
      <c r="C1722" s="13">
        <v>41</v>
      </c>
      <c r="D1722" s="13">
        <v>857.6</v>
      </c>
      <c r="E1722" s="13" t="str">
        <f>IF(ISERROR(VLOOKUP(F1722,Magic!H:H,1,0)),IF(ISERROR(VLOOKUP(F1722,Magic!T:T,1,0)),"N","Y"),"Y")</f>
        <v>Y</v>
      </c>
      <c r="F1722" s="13">
        <v>1721</v>
      </c>
    </row>
    <row r="1723" spans="1:6" x14ac:dyDescent="0.25">
      <c r="A1723" s="16">
        <v>42922</v>
      </c>
      <c r="B1723" s="13" t="s">
        <v>28</v>
      </c>
      <c r="C1723" s="13">
        <v>103</v>
      </c>
      <c r="D1723" s="13">
        <v>1210.2</v>
      </c>
      <c r="E1723" s="13" t="str">
        <f>IF(ISERROR(VLOOKUP(F1723,Magic!H:H,1,0)),IF(ISERROR(VLOOKUP(F1723,Magic!T:T,1,0)),"N","Y"),"Y")</f>
        <v>Y</v>
      </c>
      <c r="F1723" s="13">
        <v>1722</v>
      </c>
    </row>
    <row r="1724" spans="1:6" x14ac:dyDescent="0.25">
      <c r="A1724" s="16">
        <v>42922</v>
      </c>
      <c r="B1724" s="13" t="s">
        <v>611</v>
      </c>
      <c r="C1724" s="13">
        <v>201</v>
      </c>
      <c r="D1724" s="13">
        <v>629.29999999999995</v>
      </c>
      <c r="E1724" s="13" t="str">
        <f>IF(ISERROR(VLOOKUP(F1724,Magic!H:H,1,0)),IF(ISERROR(VLOOKUP(F1724,Magic!T:T,1,0)),"N","Y"),"Y")</f>
        <v>Y</v>
      </c>
      <c r="F1724" s="13">
        <v>1723</v>
      </c>
    </row>
    <row r="1725" spans="1:6" x14ac:dyDescent="0.25">
      <c r="A1725" s="16">
        <v>42925</v>
      </c>
      <c r="B1725" s="13" t="s">
        <v>29</v>
      </c>
      <c r="C1725" s="13">
        <v>35</v>
      </c>
      <c r="D1725" s="13">
        <v>580</v>
      </c>
      <c r="E1725" s="13" t="str">
        <f>IF(ISERROR(VLOOKUP(F1725,Magic!H:H,1,0)),IF(ISERROR(VLOOKUP(F1725,Magic!T:T,1,0)),"N","Y"),"Y")</f>
        <v>Y</v>
      </c>
      <c r="F1725" s="13">
        <v>1724</v>
      </c>
    </row>
    <row r="1726" spans="1:6" x14ac:dyDescent="0.25">
      <c r="A1726" s="16">
        <v>42923</v>
      </c>
      <c r="B1726" s="13" t="s">
        <v>29</v>
      </c>
      <c r="C1726" s="13">
        <v>35</v>
      </c>
      <c r="D1726" s="13">
        <v>610</v>
      </c>
      <c r="E1726" s="13" t="str">
        <f>IF(ISERROR(VLOOKUP(F1726,Magic!H:H,1,0)),IF(ISERROR(VLOOKUP(F1726,Magic!T:T,1,0)),"N","Y"),"Y")</f>
        <v>Y</v>
      </c>
      <c r="F1726" s="13">
        <v>1725</v>
      </c>
    </row>
    <row r="1727" spans="1:6" x14ac:dyDescent="0.25">
      <c r="A1727" s="16">
        <v>42923</v>
      </c>
      <c r="B1727" s="13" t="s">
        <v>82</v>
      </c>
      <c r="C1727" s="13">
        <v>35</v>
      </c>
      <c r="D1727" s="13">
        <v>1.35</v>
      </c>
      <c r="E1727" s="13" t="str">
        <f>IF(ISERROR(VLOOKUP(F1727,Magic!H:H,1,0)),IF(ISERROR(VLOOKUP(F1727,Magic!T:T,1,0)),"N","Y"),"Y")</f>
        <v>Y</v>
      </c>
      <c r="F1727" s="13">
        <v>1726</v>
      </c>
    </row>
    <row r="1728" spans="1:6" x14ac:dyDescent="0.25">
      <c r="A1728" s="16">
        <v>42923</v>
      </c>
      <c r="B1728" s="13" t="s">
        <v>146</v>
      </c>
      <c r="C1728" s="13">
        <v>37</v>
      </c>
      <c r="D1728" s="13">
        <v>619.65</v>
      </c>
      <c r="E1728" s="13" t="str">
        <f>IF(ISERROR(VLOOKUP(F1728,Magic!H:H,1,0)),IF(ISERROR(VLOOKUP(F1728,Magic!T:T,1,0)),"N","Y"),"Y")</f>
        <v>Y</v>
      </c>
      <c r="F1728" s="13">
        <v>1727</v>
      </c>
    </row>
    <row r="1729" spans="1:6" x14ac:dyDescent="0.25">
      <c r="A1729" s="16">
        <v>42923</v>
      </c>
      <c r="B1729" s="13" t="s">
        <v>31</v>
      </c>
      <c r="C1729" s="13">
        <v>37</v>
      </c>
      <c r="D1729" s="13">
        <v>50</v>
      </c>
      <c r="E1729" s="13" t="str">
        <f>IF(ISERROR(VLOOKUP(F1729,Magic!H:H,1,0)),IF(ISERROR(VLOOKUP(F1729,Magic!T:T,1,0)),"N","Y"),"Y")</f>
        <v>Y</v>
      </c>
      <c r="F1729" s="13">
        <v>1728</v>
      </c>
    </row>
    <row r="1730" spans="1:6" x14ac:dyDescent="0.25">
      <c r="A1730" s="16">
        <v>42923</v>
      </c>
      <c r="B1730" s="13" t="s">
        <v>81</v>
      </c>
      <c r="C1730" s="13">
        <v>41</v>
      </c>
      <c r="D1730" s="13">
        <v>748.05</v>
      </c>
      <c r="E1730" s="13" t="str">
        <f>IF(ISERROR(VLOOKUP(F1730,Magic!H:H,1,0)),IF(ISERROR(VLOOKUP(F1730,Magic!T:T,1,0)),"N","Y"),"Y")</f>
        <v>Y</v>
      </c>
      <c r="F1730" s="13">
        <v>1729</v>
      </c>
    </row>
    <row r="1731" spans="1:6" x14ac:dyDescent="0.25">
      <c r="A1731" s="16">
        <v>42923</v>
      </c>
      <c r="B1731" s="13" t="s">
        <v>24</v>
      </c>
      <c r="C1731" s="13">
        <v>43</v>
      </c>
      <c r="D1731" s="13">
        <v>1049.5999999999999</v>
      </c>
      <c r="E1731" s="13" t="str">
        <f>IF(ISERROR(VLOOKUP(F1731,Magic!H:H,1,0)),IF(ISERROR(VLOOKUP(F1731,Magic!T:T,1,0)),"N","Y"),"Y")</f>
        <v>Y</v>
      </c>
      <c r="F1731" s="13">
        <v>1730</v>
      </c>
    </row>
    <row r="1732" spans="1:6" x14ac:dyDescent="0.25">
      <c r="A1732" s="16">
        <v>42923</v>
      </c>
      <c r="B1732" s="13" t="s">
        <v>28</v>
      </c>
      <c r="C1732" s="13">
        <v>103</v>
      </c>
      <c r="D1732" s="13">
        <v>1454.45</v>
      </c>
      <c r="E1732" s="13" t="str">
        <f>IF(ISERROR(VLOOKUP(F1732,Magic!H:H,1,0)),IF(ISERROR(VLOOKUP(F1732,Magic!T:T,1,0)),"N","Y"),"Y")</f>
        <v>Y</v>
      </c>
      <c r="F1732" s="13">
        <v>1731</v>
      </c>
    </row>
    <row r="1733" spans="1:6" x14ac:dyDescent="0.25">
      <c r="A1733" s="16">
        <v>42923</v>
      </c>
      <c r="B1733" s="13" t="s">
        <v>611</v>
      </c>
      <c r="C1733" s="13">
        <v>201</v>
      </c>
      <c r="D1733" s="13">
        <v>794.4</v>
      </c>
      <c r="E1733" s="13" t="str">
        <f>IF(ISERROR(VLOOKUP(F1733,Magic!H:H,1,0)),IF(ISERROR(VLOOKUP(F1733,Magic!T:T,1,0)),"N","Y"),"Y")</f>
        <v>Y</v>
      </c>
      <c r="F1733" s="13">
        <v>1732</v>
      </c>
    </row>
    <row r="1734" spans="1:6" x14ac:dyDescent="0.25">
      <c r="A1734" s="16">
        <v>42924</v>
      </c>
      <c r="B1734" s="13" t="s">
        <v>29</v>
      </c>
      <c r="C1734" s="13">
        <v>35</v>
      </c>
      <c r="D1734" s="13">
        <v>550</v>
      </c>
      <c r="E1734" s="13" t="str">
        <f>IF(ISERROR(VLOOKUP(F1734,Magic!H:H,1,0)),IF(ISERROR(VLOOKUP(F1734,Magic!T:T,1,0)),"N","Y"),"Y")</f>
        <v>Y</v>
      </c>
      <c r="F1734" s="13">
        <v>1733</v>
      </c>
    </row>
    <row r="1735" spans="1:6" x14ac:dyDescent="0.25">
      <c r="A1735" s="16">
        <v>42924</v>
      </c>
      <c r="B1735" s="13" t="s">
        <v>146</v>
      </c>
      <c r="C1735" s="13">
        <v>37</v>
      </c>
      <c r="D1735" s="13">
        <v>464.7</v>
      </c>
      <c r="E1735" s="13" t="str">
        <f>IF(ISERROR(VLOOKUP(F1735,Magic!H:H,1,0)),IF(ISERROR(VLOOKUP(F1735,Magic!T:T,1,0)),"N","Y"),"Y")</f>
        <v>Y</v>
      </c>
      <c r="F1735" s="13">
        <v>1734</v>
      </c>
    </row>
    <row r="1736" spans="1:6" x14ac:dyDescent="0.25">
      <c r="A1736" s="16">
        <v>42924</v>
      </c>
      <c r="B1736" s="13" t="s">
        <v>28</v>
      </c>
      <c r="C1736" s="13">
        <v>103</v>
      </c>
      <c r="D1736" s="13">
        <v>1490.45</v>
      </c>
      <c r="E1736" s="13" t="str">
        <f>IF(ISERROR(VLOOKUP(F1736,Magic!H:H,1,0)),IF(ISERROR(VLOOKUP(F1736,Magic!T:T,1,0)),"N","Y"),"Y")</f>
        <v>Y</v>
      </c>
      <c r="F1736" s="13">
        <v>1735</v>
      </c>
    </row>
    <row r="1737" spans="1:6" x14ac:dyDescent="0.25">
      <c r="A1737" s="16">
        <v>42925</v>
      </c>
      <c r="B1737" s="13" t="s">
        <v>28</v>
      </c>
      <c r="C1737" s="13">
        <v>103</v>
      </c>
      <c r="D1737" s="13">
        <v>50</v>
      </c>
      <c r="E1737" s="13" t="str">
        <f>IF(ISERROR(VLOOKUP(F1737,Magic!H:H,1,0)),IF(ISERROR(VLOOKUP(F1737,Magic!T:T,1,0)),"N","Y"),"Y")</f>
        <v>Y</v>
      </c>
      <c r="F1737" s="13">
        <v>1736</v>
      </c>
    </row>
    <row r="1738" spans="1:6" x14ac:dyDescent="0.25">
      <c r="A1738" s="16">
        <v>42925</v>
      </c>
      <c r="B1738" s="13" t="s">
        <v>28</v>
      </c>
      <c r="C1738" s="13">
        <v>103</v>
      </c>
      <c r="D1738" s="13">
        <v>851.6</v>
      </c>
      <c r="E1738" s="13" t="str">
        <f>IF(ISERROR(VLOOKUP(F1738,Magic!H:H,1,0)),IF(ISERROR(VLOOKUP(F1738,Magic!T:T,1,0)),"N","Y"),"Y")</f>
        <v>Y</v>
      </c>
      <c r="F1738" s="13">
        <v>1737</v>
      </c>
    </row>
    <row r="1739" spans="1:6" x14ac:dyDescent="0.25">
      <c r="A1739" s="16">
        <v>42926</v>
      </c>
      <c r="B1739" s="13" t="s">
        <v>29</v>
      </c>
      <c r="C1739" s="13">
        <v>35</v>
      </c>
      <c r="D1739" s="13">
        <v>545</v>
      </c>
      <c r="E1739" s="13" t="str">
        <f>IF(ISERROR(VLOOKUP(F1739,Magic!H:H,1,0)),IF(ISERROR(VLOOKUP(F1739,Magic!T:T,1,0)),"N","Y"),"Y")</f>
        <v>Y</v>
      </c>
      <c r="F1739" s="13">
        <v>1738</v>
      </c>
    </row>
    <row r="1740" spans="1:6" x14ac:dyDescent="0.25">
      <c r="A1740" s="16">
        <v>42926</v>
      </c>
      <c r="B1740" s="13" t="s">
        <v>57</v>
      </c>
      <c r="C1740" s="13">
        <v>35</v>
      </c>
      <c r="D1740" s="13">
        <v>8.65</v>
      </c>
      <c r="E1740" s="13" t="str">
        <f>IF(ISERROR(VLOOKUP(F1740,Magic!H:H,1,0)),IF(ISERROR(VLOOKUP(F1740,Magic!T:T,1,0)),"N","Y"),"Y")</f>
        <v>Y</v>
      </c>
      <c r="F1740" s="13">
        <v>1739</v>
      </c>
    </row>
    <row r="1741" spans="1:6" x14ac:dyDescent="0.25">
      <c r="A1741" s="16">
        <v>42926</v>
      </c>
      <c r="B1741" s="13" t="s">
        <v>57</v>
      </c>
      <c r="C1741" s="13">
        <v>35</v>
      </c>
      <c r="D1741" s="13">
        <v>0.55000000000000004</v>
      </c>
      <c r="E1741" s="13" t="str">
        <f>IF(ISERROR(VLOOKUP(F1741,Magic!H:H,1,0)),IF(ISERROR(VLOOKUP(F1741,Magic!T:T,1,0)),"N","Y"),"Y")</f>
        <v>Y</v>
      </c>
      <c r="F1741" s="13">
        <v>1740</v>
      </c>
    </row>
    <row r="1742" spans="1:6" x14ac:dyDescent="0.25">
      <c r="A1742" s="16">
        <v>42926</v>
      </c>
      <c r="B1742" s="13" t="s">
        <v>57</v>
      </c>
      <c r="C1742" s="13">
        <v>35</v>
      </c>
      <c r="D1742" s="13">
        <v>14.55</v>
      </c>
      <c r="E1742" s="13" t="str">
        <f>IF(ISERROR(VLOOKUP(F1742,Magic!H:H,1,0)),IF(ISERROR(VLOOKUP(F1742,Magic!T:T,1,0)),"N","Y"),"Y")</f>
        <v>Y</v>
      </c>
      <c r="F1742" s="13">
        <v>1741</v>
      </c>
    </row>
    <row r="1743" spans="1:6" x14ac:dyDescent="0.25">
      <c r="A1743" s="16">
        <v>42926</v>
      </c>
      <c r="B1743" s="13" t="s">
        <v>146</v>
      </c>
      <c r="C1743" s="13">
        <v>37</v>
      </c>
      <c r="D1743" s="13">
        <v>1199.6500000000001</v>
      </c>
      <c r="E1743" s="13" t="s">
        <v>71</v>
      </c>
      <c r="F1743" s="13">
        <v>1742</v>
      </c>
    </row>
    <row r="1744" spans="1:6" x14ac:dyDescent="0.25">
      <c r="A1744" s="16">
        <v>42926</v>
      </c>
      <c r="B1744" s="13" t="s">
        <v>146</v>
      </c>
      <c r="C1744" s="13">
        <v>37</v>
      </c>
      <c r="D1744" s="13">
        <v>599.70000000000005</v>
      </c>
      <c r="E1744" s="13" t="str">
        <f>IF(ISERROR(VLOOKUP(F1744,Magic!H:H,1,0)),IF(ISERROR(VLOOKUP(F1744,Magic!T:T,1,0)),"N","Y"),"Y")</f>
        <v>Y</v>
      </c>
      <c r="F1744" s="13">
        <v>1752</v>
      </c>
    </row>
    <row r="1745" spans="1:6" x14ac:dyDescent="0.25">
      <c r="A1745" s="16">
        <v>42926</v>
      </c>
      <c r="B1745" s="13" t="s">
        <v>146</v>
      </c>
      <c r="C1745" s="13">
        <v>37</v>
      </c>
      <c r="D1745" s="13">
        <v>599.95000000000005</v>
      </c>
      <c r="E1745" s="13" t="str">
        <f>IF(ISERROR(VLOOKUP(F1745,Magic!H:H,1,0)),IF(ISERROR(VLOOKUP(F1745,Magic!T:T,1,0)),"N","Y"),"Y")</f>
        <v>Y</v>
      </c>
      <c r="F1745" s="13">
        <v>1753</v>
      </c>
    </row>
    <row r="1746" spans="1:6" x14ac:dyDescent="0.25">
      <c r="A1746" s="16">
        <v>42926</v>
      </c>
      <c r="B1746" s="13" t="s">
        <v>81</v>
      </c>
      <c r="C1746" s="13">
        <v>41</v>
      </c>
      <c r="D1746" s="13">
        <v>417.7</v>
      </c>
      <c r="E1746" s="13" t="str">
        <f>IF(ISERROR(VLOOKUP(F1746,Magic!H:H,1,0)),IF(ISERROR(VLOOKUP(F1746,Magic!T:T,1,0)),"N","Y"),"Y")</f>
        <v>Y</v>
      </c>
      <c r="F1746" s="13">
        <v>1743</v>
      </c>
    </row>
    <row r="1747" spans="1:6" x14ac:dyDescent="0.25">
      <c r="A1747" s="16">
        <v>42926</v>
      </c>
      <c r="B1747" s="13" t="s">
        <v>81</v>
      </c>
      <c r="C1747" s="13">
        <v>41</v>
      </c>
      <c r="D1747" s="13">
        <v>504.55</v>
      </c>
      <c r="E1747" s="13" t="str">
        <f>IF(ISERROR(VLOOKUP(F1747,Magic!H:H,1,0)),IF(ISERROR(VLOOKUP(F1747,Magic!T:T,1,0)),"N","Y"),"Y")</f>
        <v>Y</v>
      </c>
      <c r="F1747" s="13">
        <v>1744</v>
      </c>
    </row>
    <row r="1748" spans="1:6" x14ac:dyDescent="0.25">
      <c r="A1748" s="16">
        <v>42926</v>
      </c>
      <c r="B1748" s="13" t="s">
        <v>81</v>
      </c>
      <c r="C1748" s="13">
        <v>41</v>
      </c>
      <c r="D1748" s="13">
        <v>535.70000000000005</v>
      </c>
      <c r="E1748" s="13" t="str">
        <f>IF(ISERROR(VLOOKUP(F1748,Magic!H:H,1,0)),IF(ISERROR(VLOOKUP(F1748,Magic!T:T,1,0)),"N","Y"),"Y")</f>
        <v>Y</v>
      </c>
      <c r="F1748" s="13">
        <v>1745</v>
      </c>
    </row>
    <row r="1749" spans="1:6" x14ac:dyDescent="0.25">
      <c r="A1749" s="16">
        <v>42926</v>
      </c>
      <c r="B1749" s="13" t="s">
        <v>24</v>
      </c>
      <c r="C1749" s="13">
        <v>43</v>
      </c>
      <c r="D1749" s="13">
        <v>857.3</v>
      </c>
      <c r="E1749" s="13" t="str">
        <f>IF(ISERROR(VLOOKUP(F1749,Magic!H:H,1,0)),IF(ISERROR(VLOOKUP(F1749,Magic!T:T,1,0)),"N","Y"),"Y")</f>
        <v>Y</v>
      </c>
      <c r="F1749" s="13">
        <v>1746</v>
      </c>
    </row>
    <row r="1750" spans="1:6" x14ac:dyDescent="0.25">
      <c r="A1750" s="16">
        <v>42926</v>
      </c>
      <c r="B1750" s="13" t="s">
        <v>24</v>
      </c>
      <c r="C1750" s="13">
        <v>43</v>
      </c>
      <c r="D1750" s="13">
        <v>811.4</v>
      </c>
      <c r="E1750" s="13" t="str">
        <f>IF(ISERROR(VLOOKUP(F1750,Magic!H:H,1,0)),IF(ISERROR(VLOOKUP(F1750,Magic!T:T,1,0)),"N","Y"),"Y")</f>
        <v>Y</v>
      </c>
      <c r="F1750" s="13">
        <v>1747</v>
      </c>
    </row>
    <row r="1751" spans="1:6" x14ac:dyDescent="0.25">
      <c r="A1751" s="16">
        <v>42926</v>
      </c>
      <c r="B1751" s="13" t="s">
        <v>24</v>
      </c>
      <c r="C1751" s="13">
        <v>43</v>
      </c>
      <c r="D1751" s="13">
        <v>735.55</v>
      </c>
      <c r="E1751" s="13" t="str">
        <f>IF(ISERROR(VLOOKUP(F1751,Magic!H:H,1,0)),IF(ISERROR(VLOOKUP(F1751,Magic!T:T,1,0)),"N","Y"),"Y")</f>
        <v>Y</v>
      </c>
      <c r="F1751" s="13">
        <v>1748</v>
      </c>
    </row>
    <row r="1752" spans="1:6" x14ac:dyDescent="0.25">
      <c r="A1752" s="16">
        <v>42926</v>
      </c>
      <c r="B1752" s="13" t="s">
        <v>611</v>
      </c>
      <c r="C1752" s="13">
        <v>201</v>
      </c>
      <c r="D1752" s="13">
        <v>999.2</v>
      </c>
      <c r="E1752" s="13" t="str">
        <f>IF(ISERROR(VLOOKUP(F1752,Magic!H:H,1,0)),IF(ISERROR(VLOOKUP(F1752,Magic!T:T,1,0)),"N","Y"),"Y")</f>
        <v>Y</v>
      </c>
      <c r="F1752" s="13">
        <v>1749</v>
      </c>
    </row>
    <row r="1753" spans="1:6" x14ac:dyDescent="0.25">
      <c r="A1753" s="16">
        <v>42926</v>
      </c>
      <c r="B1753" s="13" t="s">
        <v>611</v>
      </c>
      <c r="C1753" s="13">
        <v>201</v>
      </c>
      <c r="D1753" s="13">
        <v>659.35</v>
      </c>
      <c r="E1753" s="13" t="str">
        <f>IF(ISERROR(VLOOKUP(F1753,Magic!H:H,1,0)),IF(ISERROR(VLOOKUP(F1753,Magic!T:T,1,0)),"N","Y"),"Y")</f>
        <v>Y</v>
      </c>
      <c r="F1753" s="13">
        <v>1750</v>
      </c>
    </row>
    <row r="1754" spans="1:6" x14ac:dyDescent="0.25">
      <c r="A1754" s="16">
        <v>42926</v>
      </c>
      <c r="B1754" s="13" t="s">
        <v>611</v>
      </c>
      <c r="C1754" s="13">
        <v>201</v>
      </c>
      <c r="D1754" s="13">
        <v>262.7</v>
      </c>
      <c r="E1754" s="13" t="str">
        <f>IF(ISERROR(VLOOKUP(F1754,Magic!H:H,1,0)),IF(ISERROR(VLOOKUP(F1754,Magic!T:T,1,0)),"N","Y"),"Y")</f>
        <v>Y</v>
      </c>
      <c r="F1754" s="13">
        <v>1751</v>
      </c>
    </row>
    <row r="1755" spans="1:6" x14ac:dyDescent="0.25">
      <c r="A1755" s="16">
        <v>42927</v>
      </c>
      <c r="B1755" s="13" t="s">
        <v>28</v>
      </c>
      <c r="C1755" s="13">
        <v>103</v>
      </c>
      <c r="D1755" s="13">
        <v>0.5</v>
      </c>
      <c r="E1755" s="13" t="s">
        <v>71</v>
      </c>
      <c r="F1755" s="13">
        <v>1754</v>
      </c>
    </row>
    <row r="1756" spans="1:6" x14ac:dyDescent="0.25">
      <c r="A1756" s="16">
        <v>42927</v>
      </c>
      <c r="B1756" s="13" t="s">
        <v>29</v>
      </c>
      <c r="C1756" s="13">
        <v>35</v>
      </c>
      <c r="D1756" s="13">
        <v>820</v>
      </c>
      <c r="E1756" s="13" t="str">
        <f>IF(ISERROR(VLOOKUP(F1756,Magic!H:H,1,0)),IF(ISERROR(VLOOKUP(F1756,Magic!T:T,1,0)),"N","Y"),"Y")</f>
        <v>Y</v>
      </c>
      <c r="F1756" s="13">
        <v>1755</v>
      </c>
    </row>
    <row r="1757" spans="1:6" x14ac:dyDescent="0.25">
      <c r="A1757" s="16">
        <v>42927</v>
      </c>
      <c r="B1757" s="13" t="s">
        <v>57</v>
      </c>
      <c r="C1757" s="13">
        <v>35</v>
      </c>
      <c r="D1757" s="13">
        <v>14.65</v>
      </c>
      <c r="E1757" s="13" t="str">
        <f>IF(ISERROR(VLOOKUP(F1757,Magic!H:H,1,0)),IF(ISERROR(VLOOKUP(F1757,Magic!T:T,1,0)),"N","Y"),"Y")</f>
        <v>Y</v>
      </c>
      <c r="F1757" s="13">
        <v>1756</v>
      </c>
    </row>
    <row r="1758" spans="1:6" x14ac:dyDescent="0.25">
      <c r="A1758" s="16">
        <v>42927</v>
      </c>
      <c r="B1758" s="13" t="s">
        <v>146</v>
      </c>
      <c r="C1758" s="13">
        <v>37</v>
      </c>
      <c r="D1758" s="13">
        <v>254.9</v>
      </c>
      <c r="E1758" s="13" t="str">
        <f>IF(ISERROR(VLOOKUP(F1758,Magic!H:H,1,0)),IF(ISERROR(VLOOKUP(F1758,Magic!T:T,1,0)),"N","Y"),"Y")</f>
        <v>Y</v>
      </c>
      <c r="F1758" s="13">
        <v>1757</v>
      </c>
    </row>
    <row r="1759" spans="1:6" x14ac:dyDescent="0.25">
      <c r="A1759" s="16">
        <v>42927</v>
      </c>
      <c r="B1759" s="13" t="s">
        <v>81</v>
      </c>
      <c r="C1759" s="13">
        <v>41</v>
      </c>
      <c r="D1759" s="13">
        <v>362.7</v>
      </c>
      <c r="E1759" s="13" t="str">
        <f>IF(ISERROR(VLOOKUP(F1759,Magic!H:H,1,0)),IF(ISERROR(VLOOKUP(F1759,Magic!T:T,1,0)),"N","Y"),"Y")</f>
        <v>Y</v>
      </c>
      <c r="F1759" s="13">
        <v>1758</v>
      </c>
    </row>
    <row r="1760" spans="1:6" x14ac:dyDescent="0.25">
      <c r="A1760" s="16">
        <v>42927</v>
      </c>
      <c r="B1760" s="13" t="s">
        <v>28</v>
      </c>
      <c r="C1760" s="13">
        <v>103</v>
      </c>
      <c r="D1760" s="13">
        <v>242.6</v>
      </c>
      <c r="E1760" s="13" t="str">
        <f>IF(ISERROR(VLOOKUP(F1760,Magic!H:H,1,0)),IF(ISERROR(VLOOKUP(F1760,Magic!T:T,1,0)),"N","Y"),"Y")</f>
        <v>Y</v>
      </c>
      <c r="F1760" s="13">
        <v>1759</v>
      </c>
    </row>
    <row r="1761" spans="1:6" x14ac:dyDescent="0.25">
      <c r="A1761" s="16">
        <v>42927</v>
      </c>
      <c r="B1761" s="13" t="s">
        <v>611</v>
      </c>
      <c r="C1761" s="13">
        <v>201</v>
      </c>
      <c r="D1761" s="13">
        <v>529.35</v>
      </c>
      <c r="E1761" s="13" t="str">
        <f>IF(ISERROR(VLOOKUP(F1761,Magic!H:H,1,0)),IF(ISERROR(VLOOKUP(F1761,Magic!T:T,1,0)),"N","Y"),"Y")</f>
        <v>Y</v>
      </c>
      <c r="F1761" s="13">
        <v>1760</v>
      </c>
    </row>
    <row r="1762" spans="1:6" x14ac:dyDescent="0.25">
      <c r="A1762" s="16">
        <v>42928</v>
      </c>
      <c r="B1762" s="13" t="s">
        <v>29</v>
      </c>
      <c r="C1762" s="13">
        <v>35</v>
      </c>
      <c r="D1762" s="13">
        <v>1015</v>
      </c>
      <c r="E1762" s="13" t="str">
        <f>IF(ISERROR(VLOOKUP(F1762,Magic!H:H,1,0)),IF(ISERROR(VLOOKUP(F1762,Magic!T:T,1,0)),"N","Y"),"Y")</f>
        <v>Y</v>
      </c>
      <c r="F1762" s="13">
        <v>1761</v>
      </c>
    </row>
    <row r="1763" spans="1:6" x14ac:dyDescent="0.25">
      <c r="A1763" s="16">
        <v>42928</v>
      </c>
      <c r="B1763" s="13" t="s">
        <v>82</v>
      </c>
      <c r="C1763" s="13">
        <v>35</v>
      </c>
      <c r="D1763" s="13">
        <v>10.55</v>
      </c>
      <c r="E1763" s="13" t="str">
        <f>IF(ISERROR(VLOOKUP(F1763,Magic!H:H,1,0)),IF(ISERROR(VLOOKUP(F1763,Magic!T:T,1,0)),"N","Y"),"Y")</f>
        <v>Y</v>
      </c>
      <c r="F1763" s="13">
        <v>1762</v>
      </c>
    </row>
    <row r="1764" spans="1:6" x14ac:dyDescent="0.25">
      <c r="A1764" s="16">
        <v>42928</v>
      </c>
      <c r="B1764" s="13" t="s">
        <v>146</v>
      </c>
      <c r="C1764" s="13">
        <v>37</v>
      </c>
      <c r="D1764" s="13">
        <v>471.95</v>
      </c>
      <c r="E1764" s="13" t="str">
        <f>IF(ISERROR(VLOOKUP(F1764,Magic!H:H,1,0)),IF(ISERROR(VLOOKUP(F1764,Magic!T:T,1,0)),"N","Y"),"Y")</f>
        <v>Y</v>
      </c>
      <c r="F1764" s="13">
        <v>1763</v>
      </c>
    </row>
    <row r="1765" spans="1:6" x14ac:dyDescent="0.25">
      <c r="A1765" s="16">
        <v>42928</v>
      </c>
      <c r="B1765" s="13" t="s">
        <v>24</v>
      </c>
      <c r="C1765" s="13">
        <v>43</v>
      </c>
      <c r="D1765" s="13">
        <v>1324</v>
      </c>
      <c r="E1765" s="13" t="str">
        <f>IF(ISERROR(VLOOKUP(F1765,Magic!H:H,1,0)),IF(ISERROR(VLOOKUP(F1765,Magic!T:T,1,0)),"N","Y"),"Y")</f>
        <v>Y</v>
      </c>
      <c r="F1765" s="13">
        <v>1764</v>
      </c>
    </row>
    <row r="1766" spans="1:6" x14ac:dyDescent="0.25">
      <c r="A1766" s="16">
        <v>42928</v>
      </c>
      <c r="B1766" s="13" t="s">
        <v>25</v>
      </c>
      <c r="C1766" s="13">
        <v>44</v>
      </c>
      <c r="D1766" s="13">
        <v>549.6</v>
      </c>
      <c r="E1766" s="13" t="s">
        <v>71</v>
      </c>
      <c r="F1766" s="13">
        <v>1765</v>
      </c>
    </row>
    <row r="1767" spans="1:6" x14ac:dyDescent="0.25">
      <c r="A1767" s="16">
        <v>42928</v>
      </c>
      <c r="B1767" s="13" t="s">
        <v>25</v>
      </c>
      <c r="C1767" s="13">
        <v>44</v>
      </c>
      <c r="D1767" s="13">
        <v>238.8</v>
      </c>
      <c r="E1767" s="13" t="str">
        <f>IF(ISERROR(VLOOKUP(F1767,Magic!H:H,1,0)),IF(ISERROR(VLOOKUP(F1767,Magic!T:T,1,0)),"N","Y"),"Y")</f>
        <v>Y</v>
      </c>
      <c r="F1767" s="13">
        <v>1774</v>
      </c>
    </row>
    <row r="1768" spans="1:6" x14ac:dyDescent="0.25">
      <c r="A1768" s="16">
        <v>42928</v>
      </c>
      <c r="B1768" s="13" t="s">
        <v>25</v>
      </c>
      <c r="C1768" s="13">
        <v>44</v>
      </c>
      <c r="D1768" s="13">
        <v>310.8</v>
      </c>
      <c r="E1768" s="13" t="str">
        <f>IF(ISERROR(VLOOKUP(F1768,Magic!H:H,1,0)),IF(ISERROR(VLOOKUP(F1768,Magic!T:T,1,0)),"N","Y"),"Y")</f>
        <v>Y</v>
      </c>
      <c r="F1768" s="13">
        <v>1775</v>
      </c>
    </row>
    <row r="1769" spans="1:6" x14ac:dyDescent="0.25">
      <c r="A1769" s="16">
        <v>42928</v>
      </c>
      <c r="B1769" s="13" t="s">
        <v>611</v>
      </c>
      <c r="C1769" s="13">
        <v>201</v>
      </c>
      <c r="D1769" s="13">
        <v>904.95</v>
      </c>
      <c r="E1769" s="13" t="str">
        <f>IF(ISERROR(VLOOKUP(F1769,Magic!H:H,1,0)),IF(ISERROR(VLOOKUP(F1769,Magic!T:T,1,0)),"N","Y"),"Y")</f>
        <v>Y</v>
      </c>
      <c r="F1769" s="13">
        <v>1766</v>
      </c>
    </row>
    <row r="1770" spans="1:6" x14ac:dyDescent="0.25">
      <c r="A1770" s="16">
        <v>42928</v>
      </c>
      <c r="B1770" s="13" t="s">
        <v>1644</v>
      </c>
      <c r="C1770" s="13">
        <v>41</v>
      </c>
      <c r="D1770" s="13">
        <v>473</v>
      </c>
      <c r="E1770" s="13" t="str">
        <f>IF(ISERROR(VLOOKUP(F1770,Magic!H:H,1,0)),IF(ISERROR(VLOOKUP(F1770,Magic!T:T,1,0)),"N","Y"),"Y")</f>
        <v>Y</v>
      </c>
      <c r="F1770" s="13">
        <v>1767</v>
      </c>
    </row>
    <row r="1771" spans="1:6" x14ac:dyDescent="0.25">
      <c r="A1771" s="16">
        <v>42929</v>
      </c>
      <c r="B1771" s="13" t="s">
        <v>57</v>
      </c>
      <c r="C1771" s="13">
        <v>35</v>
      </c>
      <c r="D1771" s="13">
        <v>2.15</v>
      </c>
      <c r="E1771" s="13" t="str">
        <f>IF(ISERROR(VLOOKUP(F1771,Magic!H:H,1,0)),IF(ISERROR(VLOOKUP(F1771,Magic!T:T,1,0)),"N","Y"),"Y")</f>
        <v>Y</v>
      </c>
      <c r="F1771" s="13">
        <v>1768</v>
      </c>
    </row>
    <row r="1772" spans="1:6" x14ac:dyDescent="0.25">
      <c r="A1772" s="16">
        <v>42929</v>
      </c>
      <c r="B1772" s="13" t="s">
        <v>31</v>
      </c>
      <c r="C1772" s="13">
        <v>37</v>
      </c>
      <c r="D1772" s="13">
        <v>487.8</v>
      </c>
      <c r="E1772" s="13" t="str">
        <f>IF(ISERROR(VLOOKUP(F1772,Magic!H:H,1,0)),IF(ISERROR(VLOOKUP(F1772,Magic!T:T,1,0)),"N","Y"),"Y")</f>
        <v>Y</v>
      </c>
      <c r="F1772" s="13">
        <v>1769</v>
      </c>
    </row>
    <row r="1773" spans="1:6" x14ac:dyDescent="0.25">
      <c r="A1773" s="16">
        <v>42929</v>
      </c>
      <c r="B1773" s="13" t="s">
        <v>24</v>
      </c>
      <c r="C1773" s="13">
        <v>43</v>
      </c>
      <c r="D1773" s="13">
        <v>1317.25</v>
      </c>
      <c r="E1773" s="13" t="str">
        <f>IF(ISERROR(VLOOKUP(F1773,Magic!H:H,1,0)),IF(ISERROR(VLOOKUP(F1773,Magic!T:T,1,0)),"N","Y"),"Y")</f>
        <v>Y</v>
      </c>
      <c r="F1773" s="13">
        <v>1770</v>
      </c>
    </row>
    <row r="1774" spans="1:6" x14ac:dyDescent="0.25">
      <c r="A1774" s="16">
        <v>42929</v>
      </c>
      <c r="B1774" s="13" t="s">
        <v>25</v>
      </c>
      <c r="C1774" s="13">
        <v>44</v>
      </c>
      <c r="D1774" s="13">
        <v>292.95</v>
      </c>
      <c r="E1774" s="13" t="str">
        <f>IF(ISERROR(VLOOKUP(F1774,Magic!H:H,1,0)),IF(ISERROR(VLOOKUP(F1774,Magic!T:T,1,0)),"N","Y"),"Y")</f>
        <v>Y</v>
      </c>
      <c r="F1774" s="13">
        <v>1771</v>
      </c>
    </row>
    <row r="1775" spans="1:6" x14ac:dyDescent="0.25">
      <c r="A1775" s="16">
        <v>42929</v>
      </c>
      <c r="B1775" s="13" t="s">
        <v>611</v>
      </c>
      <c r="C1775" s="13">
        <v>201</v>
      </c>
      <c r="D1775" s="13">
        <v>794.85</v>
      </c>
      <c r="E1775" s="13" t="str">
        <f>IF(ISERROR(VLOOKUP(F1775,Magic!H:H,1,0)),IF(ISERROR(VLOOKUP(F1775,Magic!T:T,1,0)),"N","Y"),"Y")</f>
        <v>Y</v>
      </c>
      <c r="F1775" s="13">
        <v>1772</v>
      </c>
    </row>
    <row r="1776" spans="1:6" x14ac:dyDescent="0.25">
      <c r="A1776" s="16">
        <v>42929</v>
      </c>
      <c r="B1776" s="13" t="s">
        <v>1710</v>
      </c>
      <c r="C1776" s="13">
        <v>41</v>
      </c>
      <c r="D1776" s="13">
        <v>812.6</v>
      </c>
      <c r="E1776" s="13" t="str">
        <f>IF(ISERROR(VLOOKUP(F1776,Magic!H:H,1,0)),IF(ISERROR(VLOOKUP(F1776,Magic!T:T,1,0)),"N","Y"),"Y")</f>
        <v>Y</v>
      </c>
      <c r="F1776" s="13">
        <v>1773</v>
      </c>
    </row>
    <row r="1777" spans="1:6" x14ac:dyDescent="0.25">
      <c r="A1777" s="16">
        <v>42932</v>
      </c>
      <c r="B1777" s="13" t="s">
        <v>124</v>
      </c>
      <c r="C1777" s="13">
        <v>103</v>
      </c>
      <c r="D1777" s="13">
        <v>1177.3</v>
      </c>
      <c r="E1777" s="13" t="str">
        <f>IF(ISERROR(VLOOKUP(F1777,Magic!H:H,1,0)),IF(ISERROR(VLOOKUP(F1777,Magic!T:T,1,0)),"N","Y"),"Y")</f>
        <v>Y</v>
      </c>
      <c r="F1777" s="13">
        <v>1776</v>
      </c>
    </row>
    <row r="1778" spans="1:6" x14ac:dyDescent="0.25">
      <c r="A1778" s="16">
        <v>42930</v>
      </c>
      <c r="B1778" s="13" t="s">
        <v>82</v>
      </c>
      <c r="C1778" s="13">
        <v>35</v>
      </c>
      <c r="D1778" s="13">
        <v>1967.35</v>
      </c>
      <c r="E1778" s="13" t="str">
        <f>IF(ISERROR(VLOOKUP(F1778,Magic!H:H,1,0)),IF(ISERROR(VLOOKUP(F1778,Magic!T:T,1,0)),"N","Y"),"Y")</f>
        <v>Y</v>
      </c>
      <c r="F1778" s="13">
        <v>1777</v>
      </c>
    </row>
    <row r="1779" spans="1:6" x14ac:dyDescent="0.25">
      <c r="A1779" s="16">
        <v>42930</v>
      </c>
      <c r="B1779" s="13" t="s">
        <v>31</v>
      </c>
      <c r="C1779" s="13">
        <v>37</v>
      </c>
      <c r="D1779" s="13">
        <v>814.35</v>
      </c>
      <c r="E1779" s="13" t="str">
        <f>IF(ISERROR(VLOOKUP(F1779,Magic!H:H,1,0)),IF(ISERROR(VLOOKUP(F1779,Magic!T:T,1,0)),"N","Y"),"Y")</f>
        <v>Y</v>
      </c>
      <c r="F1779" s="13">
        <v>1778</v>
      </c>
    </row>
    <row r="1780" spans="1:6" x14ac:dyDescent="0.25">
      <c r="A1780" s="16">
        <v>42930</v>
      </c>
      <c r="B1780" s="13" t="s">
        <v>24</v>
      </c>
      <c r="C1780" s="13">
        <v>43</v>
      </c>
      <c r="D1780" s="13">
        <v>1586.85</v>
      </c>
      <c r="E1780" s="13" t="str">
        <f>IF(ISERROR(VLOOKUP(F1780,Magic!H:H,1,0)),IF(ISERROR(VLOOKUP(F1780,Magic!T:T,1,0)),"N","Y"),"Y")</f>
        <v>Y</v>
      </c>
      <c r="F1780" s="13">
        <v>1779</v>
      </c>
    </row>
    <row r="1781" spans="1:6" x14ac:dyDescent="0.25">
      <c r="A1781" s="16">
        <v>42930</v>
      </c>
      <c r="B1781" s="13" t="s">
        <v>25</v>
      </c>
      <c r="C1781" s="13">
        <v>44</v>
      </c>
      <c r="D1781" s="13">
        <v>671.65</v>
      </c>
      <c r="E1781" s="13" t="str">
        <f>IF(ISERROR(VLOOKUP(F1781,Magic!H:H,1,0)),IF(ISERROR(VLOOKUP(F1781,Magic!T:T,1,0)),"N","Y"),"Y")</f>
        <v>Y</v>
      </c>
      <c r="F1781" s="13">
        <v>1780</v>
      </c>
    </row>
    <row r="1782" spans="1:6" x14ac:dyDescent="0.25">
      <c r="A1782" s="16">
        <v>42930</v>
      </c>
      <c r="B1782" s="13" t="s">
        <v>611</v>
      </c>
      <c r="C1782" s="13">
        <v>201</v>
      </c>
      <c r="D1782" s="13">
        <v>1092.8</v>
      </c>
      <c r="E1782" s="13" t="str">
        <f>IF(ISERROR(VLOOKUP(F1782,Magic!H:H,1,0)),IF(ISERROR(VLOOKUP(F1782,Magic!T:T,1,0)),"N","Y"),"Y")</f>
        <v>Y</v>
      </c>
      <c r="F1782" s="13">
        <v>1781</v>
      </c>
    </row>
    <row r="1783" spans="1:6" x14ac:dyDescent="0.25">
      <c r="A1783" s="16">
        <v>42930</v>
      </c>
      <c r="B1783" s="13" t="s">
        <v>1644</v>
      </c>
      <c r="C1783" s="13">
        <v>41</v>
      </c>
      <c r="D1783" s="13">
        <v>880.75</v>
      </c>
      <c r="E1783" s="13" t="str">
        <f>IF(ISERROR(VLOOKUP(F1783,Magic!H:H,1,0)),IF(ISERROR(VLOOKUP(F1783,Magic!T:T,1,0)),"N","Y"),"Y")</f>
        <v>Y</v>
      </c>
      <c r="F1783" s="13">
        <v>1782</v>
      </c>
    </row>
    <row r="1784" spans="1:6" x14ac:dyDescent="0.25">
      <c r="A1784" s="16">
        <v>42931</v>
      </c>
      <c r="B1784" s="13" t="s">
        <v>29</v>
      </c>
      <c r="C1784" s="13">
        <v>35</v>
      </c>
      <c r="D1784" s="13">
        <v>890</v>
      </c>
      <c r="E1784" s="13" t="str">
        <f>IF(ISERROR(VLOOKUP(F1784,Magic!H:H,1,0)),IF(ISERROR(VLOOKUP(F1784,Magic!T:T,1,0)),"N","Y"),"Y")</f>
        <v>Y</v>
      </c>
      <c r="F1784" s="13">
        <v>1783</v>
      </c>
    </row>
    <row r="1785" spans="1:6" x14ac:dyDescent="0.25">
      <c r="A1785" s="16">
        <v>42931</v>
      </c>
      <c r="B1785" s="13" t="s">
        <v>29</v>
      </c>
      <c r="C1785" s="13">
        <v>35</v>
      </c>
      <c r="D1785" s="13">
        <v>1090</v>
      </c>
      <c r="E1785" s="13" t="str">
        <f>IF(ISERROR(VLOOKUP(F1785,Magic!H:H,1,0)),IF(ISERROR(VLOOKUP(F1785,Magic!T:T,1,0)),"N","Y"),"Y")</f>
        <v>Y</v>
      </c>
      <c r="F1785" s="13">
        <v>1784</v>
      </c>
    </row>
    <row r="1786" spans="1:6" x14ac:dyDescent="0.25">
      <c r="A1786" s="16">
        <v>42931</v>
      </c>
      <c r="B1786" s="13" t="s">
        <v>146</v>
      </c>
      <c r="C1786" s="13">
        <v>37</v>
      </c>
      <c r="D1786" s="13">
        <v>704.55</v>
      </c>
      <c r="E1786" s="13" t="str">
        <f>IF(ISERROR(VLOOKUP(F1786,Magic!H:H,1,0)),IF(ISERROR(VLOOKUP(F1786,Magic!T:T,1,0)),"N","Y"),"Y")</f>
        <v>Y</v>
      </c>
      <c r="F1786" s="13">
        <v>1785</v>
      </c>
    </row>
    <row r="1787" spans="1:6" x14ac:dyDescent="0.25">
      <c r="A1787" s="16">
        <v>42931</v>
      </c>
      <c r="B1787" s="13" t="s">
        <v>28</v>
      </c>
      <c r="C1787" s="13">
        <v>103</v>
      </c>
      <c r="D1787" s="13">
        <v>52</v>
      </c>
      <c r="E1787" s="13" t="str">
        <f>IF(ISERROR(VLOOKUP(F1787,Magic!H:H,1,0)),IF(ISERROR(VLOOKUP(F1787,Magic!T:T,1,0)),"N","Y"),"Y")</f>
        <v>Y</v>
      </c>
      <c r="F1787" s="13">
        <v>1786</v>
      </c>
    </row>
    <row r="1788" spans="1:6" x14ac:dyDescent="0.25">
      <c r="A1788" s="16">
        <v>42931</v>
      </c>
      <c r="B1788" s="13" t="s">
        <v>28</v>
      </c>
      <c r="C1788" s="13">
        <v>103</v>
      </c>
      <c r="D1788" s="13">
        <v>945.25</v>
      </c>
      <c r="E1788" s="13" t="str">
        <f>IF(ISERROR(VLOOKUP(F1788,Magic!H:H,1,0)),IF(ISERROR(VLOOKUP(F1788,Magic!T:T,1,0)),"N","Y"),"Y")</f>
        <v>Y</v>
      </c>
      <c r="F1788" s="13">
        <v>1787</v>
      </c>
    </row>
    <row r="1789" spans="1:6" x14ac:dyDescent="0.25">
      <c r="A1789" s="16">
        <v>42933</v>
      </c>
      <c r="B1789" s="13" t="s">
        <v>28</v>
      </c>
      <c r="C1789" s="13">
        <v>103</v>
      </c>
      <c r="D1789" s="13">
        <v>289.95</v>
      </c>
      <c r="E1789" s="13" t="str">
        <f>IF(ISERROR(VLOOKUP(F1789,Magic!H:H,1,0)),IF(ISERROR(VLOOKUP(F1789,Magic!T:T,1,0)),"N","Y"),"Y")</f>
        <v>Y</v>
      </c>
      <c r="F1789" s="13">
        <v>1788</v>
      </c>
    </row>
    <row r="1790" spans="1:6" x14ac:dyDescent="0.25">
      <c r="A1790" s="16">
        <v>42933</v>
      </c>
      <c r="B1790" s="13" t="s">
        <v>57</v>
      </c>
      <c r="C1790" s="13">
        <v>35</v>
      </c>
      <c r="D1790" s="13">
        <v>11.85</v>
      </c>
      <c r="E1790" s="13" t="str">
        <f>IF(ISERROR(VLOOKUP(F1790,Magic!H:H,1,0)),IF(ISERROR(VLOOKUP(F1790,Magic!T:T,1,0)),"N","Y"),"Y")</f>
        <v>Y</v>
      </c>
      <c r="F1790" s="13">
        <v>1789</v>
      </c>
    </row>
    <row r="1791" spans="1:6" x14ac:dyDescent="0.25">
      <c r="A1791" s="16">
        <v>42933</v>
      </c>
      <c r="B1791" s="13" t="s">
        <v>57</v>
      </c>
      <c r="C1791" s="13">
        <v>35</v>
      </c>
      <c r="D1791" s="13">
        <v>2.25</v>
      </c>
      <c r="E1791" s="13" t="str">
        <f>IF(ISERROR(VLOOKUP(F1791,Magic!H:H,1,0)),IF(ISERROR(VLOOKUP(F1791,Magic!T:T,1,0)),"N","Y"),"Y")</f>
        <v>Y</v>
      </c>
      <c r="F1791" s="13">
        <v>1790</v>
      </c>
    </row>
    <row r="1792" spans="1:6" x14ac:dyDescent="0.25">
      <c r="A1792" s="16">
        <v>42933</v>
      </c>
      <c r="B1792" s="13" t="s">
        <v>82</v>
      </c>
      <c r="C1792" s="13">
        <v>35</v>
      </c>
      <c r="D1792" s="13">
        <v>736.25</v>
      </c>
      <c r="E1792" s="13" t="str">
        <f>IF(ISERROR(VLOOKUP(F1792,Magic!H:H,1,0)),IF(ISERROR(VLOOKUP(F1792,Magic!T:T,1,0)),"N","Y"),"Y")</f>
        <v>Y</v>
      </c>
      <c r="F1792" s="13">
        <v>1791</v>
      </c>
    </row>
    <row r="1793" spans="1:6" x14ac:dyDescent="0.25">
      <c r="A1793" s="16">
        <v>42933</v>
      </c>
      <c r="B1793" s="13" t="s">
        <v>146</v>
      </c>
      <c r="C1793" s="13">
        <v>37</v>
      </c>
      <c r="D1793" s="13">
        <v>50</v>
      </c>
      <c r="E1793" s="13" t="str">
        <f>IF(ISERROR(VLOOKUP(F1793,Magic!H:H,1,0)),IF(ISERROR(VLOOKUP(F1793,Magic!T:T,1,0)),"N","Y"),"Y")</f>
        <v>Y</v>
      </c>
      <c r="F1793" s="13">
        <v>1792</v>
      </c>
    </row>
    <row r="1794" spans="1:6" x14ac:dyDescent="0.25">
      <c r="A1794" s="16">
        <v>42933</v>
      </c>
      <c r="B1794" s="13" t="s">
        <v>146</v>
      </c>
      <c r="C1794" s="13">
        <v>37</v>
      </c>
      <c r="D1794" s="13">
        <v>703.55</v>
      </c>
      <c r="E1794" s="13" t="str">
        <f>IF(ISERROR(VLOOKUP(F1794,Magic!H:H,1,0)),IF(ISERROR(VLOOKUP(F1794,Magic!T:T,1,0)),"N","Y"),"Y")</f>
        <v>Y</v>
      </c>
      <c r="F1794" s="13">
        <v>1793</v>
      </c>
    </row>
    <row r="1795" spans="1:6" x14ac:dyDescent="0.25">
      <c r="A1795" s="16">
        <v>42933</v>
      </c>
      <c r="B1795" s="13" t="s">
        <v>146</v>
      </c>
      <c r="C1795" s="13">
        <v>37</v>
      </c>
      <c r="D1795" s="13">
        <v>309.75</v>
      </c>
      <c r="E1795" s="13" t="str">
        <f>IF(ISERROR(VLOOKUP(F1795,Magic!H:H,1,0)),IF(ISERROR(VLOOKUP(F1795,Magic!T:T,1,0)),"N","Y"),"Y")</f>
        <v>Y</v>
      </c>
      <c r="F1795" s="13">
        <v>1794</v>
      </c>
    </row>
    <row r="1796" spans="1:6" x14ac:dyDescent="0.25">
      <c r="A1796" s="16">
        <v>42933</v>
      </c>
      <c r="B1796" s="13" t="s">
        <v>81</v>
      </c>
      <c r="C1796" s="13">
        <v>41</v>
      </c>
      <c r="D1796" s="13">
        <v>722.35</v>
      </c>
      <c r="E1796" s="13" t="str">
        <f>IF(ISERROR(VLOOKUP(F1796,Magic!H:H,1,0)),IF(ISERROR(VLOOKUP(F1796,Magic!T:T,1,0)),"N","Y"),"Y")</f>
        <v>Y</v>
      </c>
      <c r="F1796" s="13">
        <v>1795</v>
      </c>
    </row>
    <row r="1797" spans="1:6" x14ac:dyDescent="0.25">
      <c r="A1797" s="16">
        <v>42933</v>
      </c>
      <c r="B1797" s="13" t="s">
        <v>81</v>
      </c>
      <c r="C1797" s="13">
        <v>41</v>
      </c>
      <c r="D1797" s="13">
        <v>282.7</v>
      </c>
      <c r="E1797" s="13" t="str">
        <f>IF(ISERROR(VLOOKUP(F1797,Magic!H:H,1,0)),IF(ISERROR(VLOOKUP(F1797,Magic!T:T,1,0)),"N","Y"),"Y")</f>
        <v>Y</v>
      </c>
      <c r="F1797" s="13">
        <v>1796</v>
      </c>
    </row>
    <row r="1798" spans="1:6" x14ac:dyDescent="0.25">
      <c r="A1798" s="16">
        <v>42933</v>
      </c>
      <c r="B1798" s="13" t="s">
        <v>81</v>
      </c>
      <c r="C1798" s="13">
        <v>41</v>
      </c>
      <c r="D1798" s="13">
        <v>727.4</v>
      </c>
      <c r="E1798" s="13" t="str">
        <f>IF(ISERROR(VLOOKUP(F1798,Magic!H:H,1,0)),IF(ISERROR(VLOOKUP(F1798,Magic!T:T,1,0)),"N","Y"),"Y")</f>
        <v>Y</v>
      </c>
      <c r="F1798" s="13">
        <v>1797</v>
      </c>
    </row>
    <row r="1799" spans="1:6" x14ac:dyDescent="0.25">
      <c r="A1799" s="16">
        <v>42933</v>
      </c>
      <c r="B1799" s="13" t="s">
        <v>24</v>
      </c>
      <c r="C1799" s="13">
        <v>43</v>
      </c>
      <c r="D1799" s="13">
        <v>1036.05</v>
      </c>
      <c r="E1799" s="13" t="str">
        <f>IF(ISERROR(VLOOKUP(F1799,Magic!H:H,1,0)),IF(ISERROR(VLOOKUP(F1799,Magic!T:T,1,0)),"N","Y"),"Y")</f>
        <v>Y</v>
      </c>
      <c r="F1799" s="13">
        <v>1798</v>
      </c>
    </row>
    <row r="1800" spans="1:6" x14ac:dyDescent="0.25">
      <c r="A1800" s="16">
        <v>42933</v>
      </c>
      <c r="B1800" s="13" t="s">
        <v>24</v>
      </c>
      <c r="C1800" s="13">
        <v>43</v>
      </c>
      <c r="D1800" s="13">
        <v>414.45</v>
      </c>
      <c r="E1800" s="13" t="str">
        <f>IF(ISERROR(VLOOKUP(F1800,Magic!H:H,1,0)),IF(ISERROR(VLOOKUP(F1800,Magic!T:T,1,0)),"N","Y"),"Y")</f>
        <v>Y</v>
      </c>
      <c r="F1800" s="13">
        <v>1799</v>
      </c>
    </row>
    <row r="1801" spans="1:6" x14ac:dyDescent="0.25">
      <c r="A1801" s="16">
        <v>42933</v>
      </c>
      <c r="B1801" s="13" t="s">
        <v>24</v>
      </c>
      <c r="C1801" s="13">
        <v>43</v>
      </c>
      <c r="D1801" s="13">
        <v>1132.0999999999999</v>
      </c>
      <c r="E1801" s="13" t="str">
        <f>IF(ISERROR(VLOOKUP(F1801,Magic!H:H,1,0)),IF(ISERROR(VLOOKUP(F1801,Magic!T:T,1,0)),"N","Y"),"Y")</f>
        <v>Y</v>
      </c>
      <c r="F1801" s="13">
        <v>1800</v>
      </c>
    </row>
    <row r="1802" spans="1:6" x14ac:dyDescent="0.25">
      <c r="A1802" s="16">
        <v>42933</v>
      </c>
      <c r="B1802" s="13" t="s">
        <v>25</v>
      </c>
      <c r="C1802" s="13">
        <v>44</v>
      </c>
      <c r="D1802" s="13">
        <v>279.85000000000002</v>
      </c>
      <c r="E1802" s="13" t="str">
        <f>IF(ISERROR(VLOOKUP(F1802,Magic!H:H,1,0)),IF(ISERROR(VLOOKUP(F1802,Magic!T:T,1,0)),"N","Y"),"Y")</f>
        <v>Y</v>
      </c>
      <c r="F1802" s="13">
        <v>1801</v>
      </c>
    </row>
    <row r="1803" spans="1:6" x14ac:dyDescent="0.25">
      <c r="A1803" s="16">
        <v>42933</v>
      </c>
      <c r="B1803" s="13" t="s">
        <v>25</v>
      </c>
      <c r="C1803" s="13">
        <v>44</v>
      </c>
      <c r="D1803" s="13">
        <v>374.5</v>
      </c>
      <c r="E1803" s="13" t="str">
        <f>IF(ISERROR(VLOOKUP(F1803,Magic!H:H,1,0)),IF(ISERROR(VLOOKUP(F1803,Magic!T:T,1,0)),"N","Y"),"Y")</f>
        <v>Y</v>
      </c>
      <c r="F1803" s="13">
        <v>1802</v>
      </c>
    </row>
    <row r="1804" spans="1:6" x14ac:dyDescent="0.25">
      <c r="A1804" s="16">
        <v>42933</v>
      </c>
      <c r="B1804" s="13" t="s">
        <v>25</v>
      </c>
      <c r="C1804" s="13">
        <v>44</v>
      </c>
      <c r="D1804" s="13">
        <v>200.85</v>
      </c>
      <c r="E1804" s="13" t="str">
        <f>IF(ISERROR(VLOOKUP(F1804,Magic!H:H,1,0)),IF(ISERROR(VLOOKUP(F1804,Magic!T:T,1,0)),"N","Y"),"Y")</f>
        <v>Y</v>
      </c>
      <c r="F1804" s="13">
        <v>1803</v>
      </c>
    </row>
    <row r="1805" spans="1:6" x14ac:dyDescent="0.25">
      <c r="A1805" s="16">
        <v>42933</v>
      </c>
      <c r="B1805" s="13" t="s">
        <v>611</v>
      </c>
      <c r="C1805" s="13">
        <v>201</v>
      </c>
      <c r="D1805" s="13">
        <v>1052.3499999999999</v>
      </c>
      <c r="E1805" s="13" t="str">
        <f>IF(ISERROR(VLOOKUP(F1805,Magic!H:H,1,0)),IF(ISERROR(VLOOKUP(F1805,Magic!T:T,1,0)),"N","Y"),"Y")</f>
        <v>Y</v>
      </c>
      <c r="F1805" s="13">
        <v>1804</v>
      </c>
    </row>
    <row r="1806" spans="1:6" x14ac:dyDescent="0.25">
      <c r="A1806" s="16">
        <v>42933</v>
      </c>
      <c r="B1806" s="13" t="s">
        <v>611</v>
      </c>
      <c r="C1806" s="13">
        <v>201</v>
      </c>
      <c r="D1806" s="13">
        <v>900</v>
      </c>
      <c r="E1806" s="13" t="str">
        <f>IF(ISERROR(VLOOKUP(F1806,Magic!H:H,1,0)),IF(ISERROR(VLOOKUP(F1806,Magic!T:T,1,0)),"N","Y"),"Y")</f>
        <v>Y</v>
      </c>
      <c r="F1806" s="13">
        <v>1805</v>
      </c>
    </row>
    <row r="1807" spans="1:6" x14ac:dyDescent="0.25">
      <c r="A1807" s="16">
        <v>42933</v>
      </c>
      <c r="B1807" s="13" t="s">
        <v>611</v>
      </c>
      <c r="C1807" s="13">
        <v>201</v>
      </c>
      <c r="D1807" s="13">
        <v>479.95</v>
      </c>
      <c r="E1807" s="13" t="str">
        <f>IF(ISERROR(VLOOKUP(F1807,Magic!H:H,1,0)),IF(ISERROR(VLOOKUP(F1807,Magic!T:T,1,0)),"N","Y"),"Y")</f>
        <v>Y</v>
      </c>
      <c r="F1807" s="13">
        <v>1806</v>
      </c>
    </row>
    <row r="1808" spans="1:6" x14ac:dyDescent="0.25">
      <c r="A1808" s="16">
        <v>42934</v>
      </c>
      <c r="B1808" s="13" t="s">
        <v>29</v>
      </c>
      <c r="C1808" s="13">
        <v>35</v>
      </c>
      <c r="D1808" s="13">
        <v>615</v>
      </c>
      <c r="E1808" s="13" t="str">
        <f>IF(ISERROR(VLOOKUP(F1808,Magic!H:H,1,0)),IF(ISERROR(VLOOKUP(F1808,Magic!T:T,1,0)),"N","Y"),"Y")</f>
        <v>Y</v>
      </c>
      <c r="F1808" s="13">
        <v>1807</v>
      </c>
    </row>
    <row r="1809" spans="1:6" x14ac:dyDescent="0.25">
      <c r="A1809" s="16">
        <v>42934</v>
      </c>
      <c r="B1809" s="13" t="s">
        <v>82</v>
      </c>
      <c r="C1809" s="13">
        <v>35</v>
      </c>
      <c r="D1809" s="13">
        <v>352.55</v>
      </c>
      <c r="E1809" s="13" t="str">
        <f>IF(ISERROR(VLOOKUP(F1809,Magic!H:H,1,0)),IF(ISERROR(VLOOKUP(F1809,Magic!T:T,1,0)),"N","Y"),"Y")</f>
        <v>Y</v>
      </c>
      <c r="F1809" s="13">
        <v>1808</v>
      </c>
    </row>
    <row r="1810" spans="1:6" x14ac:dyDescent="0.25">
      <c r="A1810" s="16">
        <v>42934</v>
      </c>
      <c r="B1810" s="13" t="s">
        <v>146</v>
      </c>
      <c r="C1810" s="13">
        <v>37</v>
      </c>
      <c r="D1810" s="13">
        <v>569.75</v>
      </c>
      <c r="E1810" s="13" t="str">
        <f>IF(ISERROR(VLOOKUP(F1810,Magic!H:H,1,0)),IF(ISERROR(VLOOKUP(F1810,Magic!T:T,1,0)),"N","Y"),"Y")</f>
        <v>Y</v>
      </c>
      <c r="F1810" s="13">
        <v>1809</v>
      </c>
    </row>
    <row r="1811" spans="1:6" x14ac:dyDescent="0.25">
      <c r="A1811" s="16">
        <v>42934</v>
      </c>
      <c r="B1811" s="13" t="s">
        <v>81</v>
      </c>
      <c r="C1811" s="13">
        <v>41</v>
      </c>
      <c r="D1811" s="13">
        <v>615.70000000000005</v>
      </c>
      <c r="E1811" s="13" t="str">
        <f>IF(ISERROR(VLOOKUP(F1811,Magic!H:H,1,0)),IF(ISERROR(VLOOKUP(F1811,Magic!T:T,1,0)),"N","Y"),"Y")</f>
        <v>Y</v>
      </c>
      <c r="F1811" s="13">
        <v>1810</v>
      </c>
    </row>
    <row r="1812" spans="1:6" x14ac:dyDescent="0.25">
      <c r="A1812" s="16">
        <v>42934</v>
      </c>
      <c r="B1812" s="13" t="s">
        <v>24</v>
      </c>
      <c r="C1812" s="13">
        <v>43</v>
      </c>
      <c r="D1812" s="13">
        <v>1035</v>
      </c>
      <c r="E1812" s="13" t="str">
        <f>IF(ISERROR(VLOOKUP(F1812,Magic!H:H,1,0)),IF(ISERROR(VLOOKUP(F1812,Magic!T:T,1,0)),"N","Y"),"Y")</f>
        <v>Y</v>
      </c>
      <c r="F1812" s="13">
        <v>1811</v>
      </c>
    </row>
    <row r="1813" spans="1:6" x14ac:dyDescent="0.25">
      <c r="A1813" s="16">
        <v>42934</v>
      </c>
      <c r="B1813" s="13" t="s">
        <v>25</v>
      </c>
      <c r="C1813" s="13">
        <v>44</v>
      </c>
      <c r="D1813" s="13">
        <v>163.35</v>
      </c>
      <c r="E1813" s="13" t="str">
        <f>IF(ISERROR(VLOOKUP(F1813,Magic!H:H,1,0)),IF(ISERROR(VLOOKUP(F1813,Magic!T:T,1,0)),"N","Y"),"Y")</f>
        <v>Y</v>
      </c>
      <c r="F1813" s="13">
        <v>1812</v>
      </c>
    </row>
    <row r="1814" spans="1:6" x14ac:dyDescent="0.25">
      <c r="A1814" s="16">
        <v>42934</v>
      </c>
      <c r="B1814" s="13" t="s">
        <v>202</v>
      </c>
      <c r="C1814" s="13">
        <v>103</v>
      </c>
      <c r="D1814" s="13">
        <v>930</v>
      </c>
      <c r="E1814" s="13" t="str">
        <f>IF(ISERROR(VLOOKUP(F1814,Magic!H:H,1,0)),IF(ISERROR(VLOOKUP(F1814,Magic!T:T,1,0)),"N","Y"),"Y")</f>
        <v>Y</v>
      </c>
      <c r="F1814" s="13">
        <v>1813</v>
      </c>
    </row>
    <row r="1815" spans="1:6" x14ac:dyDescent="0.25">
      <c r="A1815" s="16">
        <v>42934</v>
      </c>
      <c r="B1815" s="13" t="s">
        <v>611</v>
      </c>
      <c r="C1815" s="13">
        <v>201</v>
      </c>
      <c r="D1815" s="13">
        <v>724.85</v>
      </c>
      <c r="E1815" s="13" t="str">
        <f>IF(ISERROR(VLOOKUP(F1815,Magic!H:H,1,0)),IF(ISERROR(VLOOKUP(F1815,Magic!T:T,1,0)),"N","Y"),"Y")</f>
        <v>Y</v>
      </c>
      <c r="F1815" s="13">
        <v>1814</v>
      </c>
    </row>
    <row r="1816" spans="1:6" x14ac:dyDescent="0.25">
      <c r="A1816" s="16">
        <v>42934</v>
      </c>
      <c r="B1816" s="13" t="s">
        <v>124</v>
      </c>
      <c r="C1816" s="13">
        <v>103</v>
      </c>
      <c r="D1816" s="13">
        <v>5.25</v>
      </c>
      <c r="E1816" s="13" t="str">
        <f>IF(ISERROR(VLOOKUP(F1816,Magic!H:H,1,0)),IF(ISERROR(VLOOKUP(F1816,Magic!T:T,1,0)),"N","Y"),"Y")</f>
        <v>Y</v>
      </c>
      <c r="F1816" s="13">
        <v>1815</v>
      </c>
    </row>
    <row r="1817" spans="1:6" x14ac:dyDescent="0.25">
      <c r="A1817" s="16">
        <v>42935</v>
      </c>
      <c r="B1817" s="13" t="s">
        <v>29</v>
      </c>
      <c r="C1817" s="13">
        <v>35</v>
      </c>
      <c r="D1817" s="13">
        <v>635</v>
      </c>
      <c r="E1817" s="13" t="str">
        <f>IF(ISERROR(VLOOKUP(F1817,Magic!H:H,1,0)),IF(ISERROR(VLOOKUP(F1817,Magic!T:T,1,0)),"N","Y"),"Y")</f>
        <v>Y</v>
      </c>
      <c r="F1817" s="13">
        <v>1816</v>
      </c>
    </row>
    <row r="1818" spans="1:6" x14ac:dyDescent="0.25">
      <c r="A1818" s="16">
        <v>42935</v>
      </c>
      <c r="B1818" s="13" t="s">
        <v>57</v>
      </c>
      <c r="C1818" s="13">
        <v>35</v>
      </c>
      <c r="D1818" s="13">
        <v>25.6</v>
      </c>
      <c r="E1818" s="13" t="str">
        <f>IF(ISERROR(VLOOKUP(F1818,Magic!H:H,1,0)),IF(ISERROR(VLOOKUP(F1818,Magic!T:T,1,0)),"N","Y"),"Y")</f>
        <v>Y</v>
      </c>
      <c r="F1818" s="13">
        <v>1817</v>
      </c>
    </row>
    <row r="1819" spans="1:6" x14ac:dyDescent="0.25">
      <c r="A1819" s="16">
        <v>42935</v>
      </c>
      <c r="B1819" s="13" t="s">
        <v>31</v>
      </c>
      <c r="C1819" s="13">
        <v>37</v>
      </c>
      <c r="D1819" s="13">
        <v>589.6</v>
      </c>
      <c r="E1819" s="13" t="str">
        <f>IF(ISERROR(VLOOKUP(F1819,Magic!H:H,1,0)),IF(ISERROR(VLOOKUP(F1819,Magic!T:T,1,0)),"N","Y"),"Y")</f>
        <v>Y</v>
      </c>
      <c r="F1819" s="13">
        <v>1818</v>
      </c>
    </row>
    <row r="1820" spans="1:6" x14ac:dyDescent="0.25">
      <c r="A1820" s="16">
        <v>42935</v>
      </c>
      <c r="B1820" s="13" t="s">
        <v>24</v>
      </c>
      <c r="C1820" s="13">
        <v>43</v>
      </c>
      <c r="D1820" s="13">
        <v>720.35</v>
      </c>
      <c r="E1820" s="13" t="str">
        <f>IF(ISERROR(VLOOKUP(F1820,Magic!H:H,1,0)),IF(ISERROR(VLOOKUP(F1820,Magic!T:T,1,0)),"N","Y"),"Y")</f>
        <v>Y</v>
      </c>
      <c r="F1820" s="13">
        <v>1819</v>
      </c>
    </row>
    <row r="1821" spans="1:6" x14ac:dyDescent="0.25">
      <c r="A1821" s="16">
        <v>42935</v>
      </c>
      <c r="B1821" s="13" t="s">
        <v>28</v>
      </c>
      <c r="C1821" s="13">
        <v>103</v>
      </c>
      <c r="D1821" s="13">
        <v>778.5</v>
      </c>
      <c r="E1821" s="13" t="str">
        <f>IF(ISERROR(VLOOKUP(F1821,Magic!H:H,1,0)),IF(ISERROR(VLOOKUP(F1821,Magic!T:T,1,0)),"N","Y"),"Y")</f>
        <v>Y</v>
      </c>
      <c r="F1821" s="13">
        <v>1820</v>
      </c>
    </row>
    <row r="1822" spans="1:6" x14ac:dyDescent="0.25">
      <c r="A1822" s="16">
        <v>42935</v>
      </c>
      <c r="B1822" s="13" t="s">
        <v>611</v>
      </c>
      <c r="C1822" s="13">
        <v>201</v>
      </c>
      <c r="D1822" s="13">
        <v>529.9</v>
      </c>
      <c r="E1822" s="13" t="str">
        <f>IF(ISERROR(VLOOKUP(F1822,Magic!H:H,1,0)),IF(ISERROR(VLOOKUP(F1822,Magic!T:T,1,0)),"N","Y"),"Y")</f>
        <v>Y</v>
      </c>
      <c r="F1822" s="13">
        <v>1821</v>
      </c>
    </row>
    <row r="1823" spans="1:6" x14ac:dyDescent="0.25">
      <c r="A1823" s="16">
        <v>42935</v>
      </c>
      <c r="B1823" s="13" t="s">
        <v>1644</v>
      </c>
      <c r="C1823" s="13">
        <v>41</v>
      </c>
      <c r="D1823" s="13">
        <v>540.54999999999995</v>
      </c>
      <c r="E1823" s="13" t="str">
        <f>IF(ISERROR(VLOOKUP(F1823,Magic!H:H,1,0)),IF(ISERROR(VLOOKUP(F1823,Magic!T:T,1,0)),"N","Y"),"Y")</f>
        <v>Y</v>
      </c>
      <c r="F1823" s="13">
        <v>1822</v>
      </c>
    </row>
    <row r="1824" spans="1:6" x14ac:dyDescent="0.25">
      <c r="A1824" s="16">
        <v>42936</v>
      </c>
      <c r="B1824" s="13" t="s">
        <v>1644</v>
      </c>
      <c r="C1824" s="13">
        <v>41</v>
      </c>
      <c r="D1824" s="13">
        <v>425.6</v>
      </c>
      <c r="E1824" s="13" t="str">
        <f>IF(ISERROR(VLOOKUP(F1824,Magic!H:H,1,0)),IF(ISERROR(VLOOKUP(F1824,Magic!T:T,1,0)),"N","Y"),"Y")</f>
        <v>Y</v>
      </c>
      <c r="F1824" s="13">
        <v>1823</v>
      </c>
    </row>
    <row r="1825" spans="1:6" x14ac:dyDescent="0.25">
      <c r="A1825" s="16">
        <v>42936</v>
      </c>
      <c r="B1825" s="13" t="s">
        <v>82</v>
      </c>
      <c r="C1825" s="13">
        <v>35</v>
      </c>
      <c r="D1825" s="13">
        <v>2.5</v>
      </c>
      <c r="E1825" s="13" t="str">
        <f>IF(ISERROR(VLOOKUP(F1825,Magic!H:H,1,0)),IF(ISERROR(VLOOKUP(F1825,Magic!T:T,1,0)),"N","Y"),"Y")</f>
        <v>Y</v>
      </c>
      <c r="F1825" s="13">
        <v>1824</v>
      </c>
    </row>
    <row r="1826" spans="1:6" x14ac:dyDescent="0.25">
      <c r="A1826" s="16">
        <v>42936</v>
      </c>
      <c r="B1826" s="13" t="s">
        <v>146</v>
      </c>
      <c r="C1826" s="13">
        <v>37</v>
      </c>
      <c r="D1826" s="13">
        <v>534.6</v>
      </c>
      <c r="E1826" s="13" t="str">
        <f>IF(ISERROR(VLOOKUP(F1826,Magic!H:H,1,0)),IF(ISERROR(VLOOKUP(F1826,Magic!T:T,1,0)),"N","Y"),"Y")</f>
        <v>Y</v>
      </c>
      <c r="F1826" s="13">
        <v>1825</v>
      </c>
    </row>
    <row r="1827" spans="1:6" x14ac:dyDescent="0.25">
      <c r="A1827" s="16">
        <v>42936</v>
      </c>
      <c r="B1827" s="13" t="s">
        <v>24</v>
      </c>
      <c r="C1827" s="13">
        <v>43</v>
      </c>
      <c r="D1827" s="13">
        <v>725.3</v>
      </c>
      <c r="E1827" s="13" t="str">
        <f>IF(ISERROR(VLOOKUP(F1827,Magic!H:H,1,0)),IF(ISERROR(VLOOKUP(F1827,Magic!T:T,1,0)),"N","Y"),"Y")</f>
        <v>Y</v>
      </c>
      <c r="F1827" s="13">
        <v>1826</v>
      </c>
    </row>
    <row r="1828" spans="1:6" x14ac:dyDescent="0.25">
      <c r="A1828" s="16">
        <v>42936</v>
      </c>
      <c r="B1828" s="13" t="s">
        <v>611</v>
      </c>
      <c r="C1828" s="13">
        <v>201</v>
      </c>
      <c r="D1828" s="13">
        <v>610.6</v>
      </c>
      <c r="E1828" s="13" t="str">
        <f>IF(ISERROR(VLOOKUP(F1828,Magic!H:H,1,0)),IF(ISERROR(VLOOKUP(F1828,Magic!T:T,1,0)),"N","Y"),"Y")</f>
        <v>Y</v>
      </c>
      <c r="F1828" s="13">
        <v>1827</v>
      </c>
    </row>
    <row r="1829" spans="1:6" x14ac:dyDescent="0.25">
      <c r="A1829" s="16">
        <v>42939</v>
      </c>
      <c r="B1829" s="13" t="s">
        <v>29</v>
      </c>
      <c r="C1829" s="13">
        <v>35</v>
      </c>
      <c r="D1829" s="13">
        <v>475</v>
      </c>
      <c r="E1829" s="13" t="str">
        <f>IF(ISERROR(VLOOKUP(F1829,Magic!H:H,1,0)),IF(ISERROR(VLOOKUP(F1829,Magic!T:T,1,0)),"N","Y"),"Y")</f>
        <v>Y</v>
      </c>
      <c r="F1829" s="13">
        <v>1828</v>
      </c>
    </row>
    <row r="1830" spans="1:6" x14ac:dyDescent="0.25">
      <c r="A1830" s="16">
        <v>42937</v>
      </c>
      <c r="B1830" s="13" t="s">
        <v>29</v>
      </c>
      <c r="C1830" s="13">
        <v>35</v>
      </c>
      <c r="D1830" s="13">
        <v>890</v>
      </c>
      <c r="E1830" s="13" t="str">
        <f>IF(ISERROR(VLOOKUP(F1830,Magic!H:H,1,0)),IF(ISERROR(VLOOKUP(F1830,Magic!T:T,1,0)),"N","Y"),"Y")</f>
        <v>Y</v>
      </c>
      <c r="F1830" s="13">
        <v>1829</v>
      </c>
    </row>
    <row r="1831" spans="1:6" x14ac:dyDescent="0.25">
      <c r="A1831" s="16">
        <v>42937</v>
      </c>
      <c r="B1831" s="13" t="s">
        <v>57</v>
      </c>
      <c r="C1831" s="13">
        <v>35</v>
      </c>
      <c r="D1831" s="13">
        <v>4.8</v>
      </c>
      <c r="E1831" s="13" t="str">
        <f>IF(ISERROR(VLOOKUP(F1831,Magic!H:H,1,0)),IF(ISERROR(VLOOKUP(F1831,Magic!T:T,1,0)),"N","Y"),"Y")</f>
        <v>Y</v>
      </c>
      <c r="F1831" s="13">
        <v>1830</v>
      </c>
    </row>
    <row r="1832" spans="1:6" x14ac:dyDescent="0.25">
      <c r="A1832" s="16">
        <v>42937</v>
      </c>
      <c r="B1832" s="13" t="s">
        <v>29</v>
      </c>
      <c r="C1832" s="13">
        <v>35</v>
      </c>
      <c r="D1832" s="13">
        <v>1660</v>
      </c>
      <c r="E1832" s="13" t="str">
        <f>IF(ISERROR(VLOOKUP(F1832,Magic!H:H,1,0)),IF(ISERROR(VLOOKUP(F1832,Magic!T:T,1,0)),"N","Y"),"Y")</f>
        <v>Y</v>
      </c>
      <c r="F1832" s="13">
        <v>1831</v>
      </c>
    </row>
    <row r="1833" spans="1:6" x14ac:dyDescent="0.25">
      <c r="A1833" s="16">
        <v>42937</v>
      </c>
      <c r="B1833" s="13" t="s">
        <v>146</v>
      </c>
      <c r="C1833" s="13">
        <v>37</v>
      </c>
      <c r="D1833" s="13">
        <v>100</v>
      </c>
      <c r="E1833" s="13" t="str">
        <f>IF(ISERROR(VLOOKUP(F1833,Magic!H:H,1,0)),IF(ISERROR(VLOOKUP(F1833,Magic!T:T,1,0)),"N","Y"),"Y")</f>
        <v>Y</v>
      </c>
      <c r="F1833" s="13">
        <v>1832</v>
      </c>
    </row>
    <row r="1834" spans="1:6" x14ac:dyDescent="0.25">
      <c r="A1834" s="16">
        <v>42937</v>
      </c>
      <c r="B1834" s="13" t="s">
        <v>146</v>
      </c>
      <c r="C1834" s="13">
        <v>37</v>
      </c>
      <c r="D1834" s="13">
        <v>559.85</v>
      </c>
      <c r="E1834" s="13" t="str">
        <f>IF(ISERROR(VLOOKUP(F1834,Magic!H:H,1,0)),IF(ISERROR(VLOOKUP(F1834,Magic!T:T,1,0)),"N","Y"),"Y")</f>
        <v>Y</v>
      </c>
      <c r="F1834" s="13">
        <v>1833</v>
      </c>
    </row>
    <row r="1835" spans="1:6" x14ac:dyDescent="0.25">
      <c r="A1835" s="16">
        <v>42937</v>
      </c>
      <c r="B1835" s="13" t="s">
        <v>81</v>
      </c>
      <c r="C1835" s="13">
        <v>41</v>
      </c>
      <c r="D1835" s="13">
        <v>910.45</v>
      </c>
      <c r="E1835" s="13" t="str">
        <f>IF(ISERROR(VLOOKUP(F1835,Magic!H:H,1,0)),IF(ISERROR(VLOOKUP(F1835,Magic!T:T,1,0)),"N","Y"),"Y")</f>
        <v>Y</v>
      </c>
      <c r="F1835" s="13">
        <v>1834</v>
      </c>
    </row>
    <row r="1836" spans="1:6" x14ac:dyDescent="0.25">
      <c r="A1836" s="16">
        <v>42937</v>
      </c>
      <c r="B1836" s="13" t="s">
        <v>24</v>
      </c>
      <c r="C1836" s="13">
        <v>43</v>
      </c>
      <c r="D1836" s="13">
        <v>1565.05</v>
      </c>
      <c r="E1836" s="13" t="str">
        <f>IF(ISERROR(VLOOKUP(F1836,Magic!H:H,1,0)),IF(ISERROR(VLOOKUP(F1836,Magic!T:T,1,0)),"N","Y"),"Y")</f>
        <v>Y</v>
      </c>
      <c r="F1836" s="13">
        <v>1835</v>
      </c>
    </row>
    <row r="1837" spans="1:6" x14ac:dyDescent="0.25">
      <c r="A1837" s="16">
        <v>42937</v>
      </c>
      <c r="B1837" s="13" t="s">
        <v>28</v>
      </c>
      <c r="C1837" s="13">
        <v>103</v>
      </c>
      <c r="D1837" s="13">
        <v>1487.55</v>
      </c>
      <c r="E1837" s="13" t="str">
        <f>IF(ISERROR(VLOOKUP(F1837,Magic!H:H,1,0)),IF(ISERROR(VLOOKUP(F1837,Magic!T:T,1,0)),"N","Y"),"Y")</f>
        <v>Y</v>
      </c>
      <c r="F1837" s="13">
        <v>1836</v>
      </c>
    </row>
    <row r="1838" spans="1:6" x14ac:dyDescent="0.25">
      <c r="A1838" s="16">
        <v>42937</v>
      </c>
      <c r="B1838" s="13" t="s">
        <v>611</v>
      </c>
      <c r="C1838" s="13">
        <v>201</v>
      </c>
      <c r="D1838" s="13">
        <v>854.9</v>
      </c>
      <c r="E1838" s="13" t="str">
        <f>IF(ISERROR(VLOOKUP(F1838,Magic!H:H,1,0)),IF(ISERROR(VLOOKUP(F1838,Magic!T:T,1,0)),"N","Y"),"Y")</f>
        <v>Y</v>
      </c>
      <c r="F1838" s="13">
        <v>1837</v>
      </c>
    </row>
    <row r="1839" spans="1:6" x14ac:dyDescent="0.25">
      <c r="A1839" s="16">
        <v>42938</v>
      </c>
      <c r="B1839" s="13" t="s">
        <v>29</v>
      </c>
      <c r="C1839" s="13">
        <v>35</v>
      </c>
      <c r="D1839" s="13">
        <v>785</v>
      </c>
      <c r="E1839" s="13" t="str">
        <f>IF(ISERROR(VLOOKUP(F1839,Magic!H:H,1,0)),IF(ISERROR(VLOOKUP(F1839,Magic!T:T,1,0)),"N","Y"),"Y")</f>
        <v>Y</v>
      </c>
      <c r="F1839" s="13">
        <v>1838</v>
      </c>
    </row>
    <row r="1840" spans="1:6" x14ac:dyDescent="0.25">
      <c r="A1840" s="16">
        <v>42938</v>
      </c>
      <c r="B1840" s="13" t="s">
        <v>28</v>
      </c>
      <c r="C1840" s="13">
        <v>103</v>
      </c>
      <c r="D1840" s="13">
        <v>100</v>
      </c>
      <c r="E1840" s="13" t="str">
        <f>IF(ISERROR(VLOOKUP(F1840,Magic!H:H,1,0)),IF(ISERROR(VLOOKUP(F1840,Magic!T:T,1,0)),"N","Y"),"Y")</f>
        <v>Y</v>
      </c>
      <c r="F1840" s="13">
        <v>1839</v>
      </c>
    </row>
    <row r="1841" spans="1:6" x14ac:dyDescent="0.25">
      <c r="A1841" s="16">
        <v>42938</v>
      </c>
      <c r="B1841" s="13" t="s">
        <v>28</v>
      </c>
      <c r="C1841" s="13">
        <v>103</v>
      </c>
      <c r="D1841" s="13">
        <v>613.65</v>
      </c>
      <c r="E1841" s="13" t="str">
        <f>IF(ISERROR(VLOOKUP(F1841,Magic!H:H,1,0)),IF(ISERROR(VLOOKUP(F1841,Magic!T:T,1,0)),"N","Y"),"Y")</f>
        <v>Y</v>
      </c>
      <c r="F1841" s="13">
        <v>1840</v>
      </c>
    </row>
    <row r="1842" spans="1:6" x14ac:dyDescent="0.25">
      <c r="A1842" s="16">
        <v>42939</v>
      </c>
      <c r="B1842" s="13" t="s">
        <v>28</v>
      </c>
      <c r="C1842" s="13">
        <v>103</v>
      </c>
      <c r="D1842" s="13">
        <v>1105</v>
      </c>
      <c r="E1842" s="13" t="str">
        <f>IF(ISERROR(VLOOKUP(F1842,Magic!H:H,1,0)),IF(ISERROR(VLOOKUP(F1842,Magic!T:T,1,0)),"N","Y"),"Y")</f>
        <v>Y</v>
      </c>
      <c r="F1842" s="13">
        <v>1841</v>
      </c>
    </row>
    <row r="1843" spans="1:6" x14ac:dyDescent="0.25">
      <c r="A1843" s="16">
        <v>42940</v>
      </c>
      <c r="B1843" s="13" t="s">
        <v>29</v>
      </c>
      <c r="C1843" s="13">
        <v>35</v>
      </c>
      <c r="D1843" s="13">
        <v>610</v>
      </c>
      <c r="E1843" s="13" t="str">
        <f>IF(ISERROR(VLOOKUP(F1843,Magic!H:H,1,0)),IF(ISERROR(VLOOKUP(F1843,Magic!T:T,1,0)),"N","Y"),"Y")</f>
        <v>Y</v>
      </c>
      <c r="F1843" s="13">
        <v>1842</v>
      </c>
    </row>
    <row r="1844" spans="1:6" x14ac:dyDescent="0.25">
      <c r="A1844" s="16">
        <v>42940</v>
      </c>
      <c r="B1844" s="13" t="s">
        <v>82</v>
      </c>
      <c r="C1844" s="13">
        <v>35</v>
      </c>
      <c r="D1844" s="13">
        <v>1.75</v>
      </c>
      <c r="E1844" s="13" t="str">
        <f>IF(ISERROR(VLOOKUP(F1844,Magic!H:H,1,0)),IF(ISERROR(VLOOKUP(F1844,Magic!T:T,1,0)),"N","Y"),"Y")</f>
        <v>Y</v>
      </c>
      <c r="F1844" s="13">
        <v>1843</v>
      </c>
    </row>
    <row r="1845" spans="1:6" x14ac:dyDescent="0.25">
      <c r="A1845" s="16">
        <v>42940</v>
      </c>
      <c r="B1845" s="13" t="s">
        <v>82</v>
      </c>
      <c r="C1845" s="13">
        <v>35</v>
      </c>
      <c r="D1845" s="13">
        <v>3.5</v>
      </c>
      <c r="E1845" s="13" t="str">
        <f>IF(ISERROR(VLOOKUP(F1845,Magic!H:H,1,0)),IF(ISERROR(VLOOKUP(F1845,Magic!T:T,1,0)),"N","Y"),"Y")</f>
        <v>Y</v>
      </c>
      <c r="F1845" s="13">
        <v>1844</v>
      </c>
    </row>
    <row r="1846" spans="1:6" x14ac:dyDescent="0.25">
      <c r="A1846" s="16">
        <v>42940</v>
      </c>
      <c r="B1846" s="13" t="s">
        <v>146</v>
      </c>
      <c r="C1846" s="13">
        <v>37</v>
      </c>
      <c r="D1846" s="13">
        <v>540</v>
      </c>
      <c r="E1846" s="13" t="str">
        <f>IF(ISERROR(VLOOKUP(F1846,Magic!H:H,1,0)),IF(ISERROR(VLOOKUP(F1846,Magic!T:T,1,0)),"N","Y"),"Y")</f>
        <v>Y</v>
      </c>
      <c r="F1846" s="13">
        <v>1845</v>
      </c>
    </row>
    <row r="1847" spans="1:6" x14ac:dyDescent="0.25">
      <c r="A1847" s="16">
        <v>42940</v>
      </c>
      <c r="B1847" s="13" t="s">
        <v>146</v>
      </c>
      <c r="C1847" s="13">
        <v>37</v>
      </c>
      <c r="D1847" s="13">
        <v>534.95000000000005</v>
      </c>
      <c r="E1847" s="13" t="str">
        <f>IF(ISERROR(VLOOKUP(F1847,Magic!H:H,1,0)),IF(ISERROR(VLOOKUP(F1847,Magic!T:T,1,0)),"N","Y"),"Y")</f>
        <v>Y</v>
      </c>
      <c r="F1847" s="13">
        <v>1846</v>
      </c>
    </row>
    <row r="1848" spans="1:6" x14ac:dyDescent="0.25">
      <c r="A1848" s="16">
        <v>42940</v>
      </c>
      <c r="B1848" s="13" t="s">
        <v>146</v>
      </c>
      <c r="C1848" s="13">
        <v>37</v>
      </c>
      <c r="D1848" s="13">
        <v>514.29999999999995</v>
      </c>
      <c r="E1848" s="13" t="str">
        <f>IF(ISERROR(VLOOKUP(F1848,Magic!H:H,1,0)),IF(ISERROR(VLOOKUP(F1848,Magic!T:T,1,0)),"N","Y"),"Y")</f>
        <v>Y</v>
      </c>
      <c r="F1848" s="13">
        <v>1847</v>
      </c>
    </row>
    <row r="1849" spans="1:6" x14ac:dyDescent="0.25">
      <c r="A1849" s="16">
        <v>42940</v>
      </c>
      <c r="B1849" s="13" t="s">
        <v>1347</v>
      </c>
      <c r="C1849" s="13">
        <v>41</v>
      </c>
      <c r="D1849" s="13">
        <v>608.79999999999995</v>
      </c>
      <c r="E1849" s="13" t="str">
        <f>IF(ISERROR(VLOOKUP(F1849,Magic!H:H,1,0)),IF(ISERROR(VLOOKUP(F1849,Magic!T:T,1,0)),"N","Y"),"Y")</f>
        <v>Y</v>
      </c>
      <c r="F1849" s="13">
        <v>1848</v>
      </c>
    </row>
    <row r="1850" spans="1:6" x14ac:dyDescent="0.25">
      <c r="A1850" s="16">
        <v>42940</v>
      </c>
      <c r="B1850" s="13" t="s">
        <v>1347</v>
      </c>
      <c r="C1850" s="13">
        <v>41</v>
      </c>
      <c r="D1850" s="13">
        <v>120.9</v>
      </c>
      <c r="E1850" s="13" t="str">
        <f>IF(ISERROR(VLOOKUP(F1850,Magic!H:H,1,0)),IF(ISERROR(VLOOKUP(F1850,Magic!T:T,1,0)),"N","Y"),"Y")</f>
        <v>Y</v>
      </c>
      <c r="F1850" s="13">
        <v>1849</v>
      </c>
    </row>
    <row r="1851" spans="1:6" x14ac:dyDescent="0.25">
      <c r="A1851" s="16">
        <v>42940</v>
      </c>
      <c r="B1851" s="13" t="s">
        <v>1347</v>
      </c>
      <c r="C1851" s="13">
        <v>41</v>
      </c>
      <c r="D1851" s="13">
        <v>575.75</v>
      </c>
      <c r="E1851" s="13" t="str">
        <f>IF(ISERROR(VLOOKUP(F1851,Magic!H:H,1,0)),IF(ISERROR(VLOOKUP(F1851,Magic!T:T,1,0)),"N","Y"),"Y")</f>
        <v>Y</v>
      </c>
      <c r="F1851" s="13">
        <v>1850</v>
      </c>
    </row>
    <row r="1852" spans="1:6" x14ac:dyDescent="0.25">
      <c r="A1852" s="16">
        <v>42940</v>
      </c>
      <c r="B1852" s="13" t="s">
        <v>24</v>
      </c>
      <c r="C1852" s="13">
        <v>43</v>
      </c>
      <c r="D1852" s="13">
        <v>365</v>
      </c>
      <c r="E1852" s="13" t="str">
        <f>IF(ISERROR(VLOOKUP(F1852,Magic!H:H,1,0)),IF(ISERROR(VLOOKUP(F1852,Magic!T:T,1,0)),"N","Y"),"Y")</f>
        <v>Y</v>
      </c>
      <c r="F1852" s="13">
        <v>1851</v>
      </c>
    </row>
    <row r="1853" spans="1:6" x14ac:dyDescent="0.25">
      <c r="A1853" s="16">
        <v>42940</v>
      </c>
      <c r="B1853" s="13" t="s">
        <v>24</v>
      </c>
      <c r="C1853" s="13">
        <v>43</v>
      </c>
      <c r="D1853" s="13">
        <v>916.6</v>
      </c>
      <c r="E1853" s="13" t="str">
        <f>IF(ISERROR(VLOOKUP(F1853,Magic!H:H,1,0)),IF(ISERROR(VLOOKUP(F1853,Magic!T:T,1,0)),"N","Y"),"Y")</f>
        <v>Y</v>
      </c>
      <c r="F1853" s="13">
        <v>1852</v>
      </c>
    </row>
    <row r="1854" spans="1:6" x14ac:dyDescent="0.25">
      <c r="A1854" s="16">
        <v>42940</v>
      </c>
      <c r="B1854" s="13" t="s">
        <v>24</v>
      </c>
      <c r="C1854" s="13">
        <v>43</v>
      </c>
      <c r="D1854" s="13">
        <v>1105.9000000000001</v>
      </c>
      <c r="E1854" s="13" t="str">
        <f>IF(ISERROR(VLOOKUP(F1854,Magic!H:H,1,0)),IF(ISERROR(VLOOKUP(F1854,Magic!T:T,1,0)),"N","Y"),"Y")</f>
        <v>Y</v>
      </c>
      <c r="F1854" s="13">
        <v>1853</v>
      </c>
    </row>
    <row r="1855" spans="1:6" x14ac:dyDescent="0.25">
      <c r="A1855" s="16">
        <v>42940</v>
      </c>
      <c r="B1855" s="13" t="s">
        <v>25</v>
      </c>
      <c r="C1855" s="13">
        <v>44</v>
      </c>
      <c r="D1855" s="13">
        <v>203.85</v>
      </c>
      <c r="E1855" s="13" t="str">
        <f>IF(ISERROR(VLOOKUP(F1855,Magic!H:H,1,0)),IF(ISERROR(VLOOKUP(F1855,Magic!T:T,1,0)),"N","Y"),"Y")</f>
        <v>Y</v>
      </c>
      <c r="F1855" s="13">
        <v>1854</v>
      </c>
    </row>
    <row r="1856" spans="1:6" x14ac:dyDescent="0.25">
      <c r="A1856" s="16">
        <v>42940</v>
      </c>
      <c r="B1856" s="13" t="s">
        <v>25</v>
      </c>
      <c r="C1856" s="13">
        <v>44</v>
      </c>
      <c r="D1856" s="13">
        <v>237.7</v>
      </c>
      <c r="E1856" s="13" t="str">
        <f>IF(ISERROR(VLOOKUP(F1856,Magic!H:H,1,0)),IF(ISERROR(VLOOKUP(F1856,Magic!T:T,1,0)),"N","Y"),"Y")</f>
        <v>Y</v>
      </c>
      <c r="F1856" s="13">
        <v>1855</v>
      </c>
    </row>
    <row r="1857" spans="1:6" x14ac:dyDescent="0.25">
      <c r="A1857" s="16">
        <v>42940</v>
      </c>
      <c r="B1857" s="13" t="s">
        <v>28</v>
      </c>
      <c r="C1857" s="13">
        <v>103</v>
      </c>
      <c r="D1857" s="13">
        <v>425</v>
      </c>
      <c r="E1857" s="13" t="str">
        <f>IF(ISERROR(VLOOKUP(F1857,Magic!H:H,1,0)),IF(ISERROR(VLOOKUP(F1857,Magic!T:T,1,0)),"N","Y"),"Y")</f>
        <v>Y</v>
      </c>
      <c r="F1857" s="13">
        <v>1856</v>
      </c>
    </row>
    <row r="1858" spans="1:6" x14ac:dyDescent="0.25">
      <c r="A1858" s="16">
        <v>42940</v>
      </c>
      <c r="B1858" s="13" t="s">
        <v>611</v>
      </c>
      <c r="C1858" s="13">
        <v>201</v>
      </c>
      <c r="D1858" s="13">
        <v>809.95</v>
      </c>
      <c r="E1858" s="13" t="str">
        <f>IF(ISERROR(VLOOKUP(F1858,Magic!H:H,1,0)),IF(ISERROR(VLOOKUP(F1858,Magic!T:T,1,0)),"N","Y"),"Y")</f>
        <v>Y</v>
      </c>
      <c r="F1858" s="13">
        <v>1857</v>
      </c>
    </row>
    <row r="1859" spans="1:6" x14ac:dyDescent="0.25">
      <c r="A1859" s="16">
        <v>42940</v>
      </c>
      <c r="B1859" s="13" t="s">
        <v>611</v>
      </c>
      <c r="C1859" s="13">
        <v>201</v>
      </c>
      <c r="D1859" s="13">
        <v>532.75</v>
      </c>
      <c r="E1859" s="13" t="str">
        <f>IF(ISERROR(VLOOKUP(F1859,Magic!H:H,1,0)),IF(ISERROR(VLOOKUP(F1859,Magic!T:T,1,0)),"N","Y"),"Y")</f>
        <v>Y</v>
      </c>
      <c r="F1859" s="13">
        <v>1858</v>
      </c>
    </row>
    <row r="1860" spans="1:6" x14ac:dyDescent="0.25">
      <c r="A1860" s="16">
        <v>42940</v>
      </c>
      <c r="B1860" s="13" t="s">
        <v>611</v>
      </c>
      <c r="C1860" s="13">
        <v>201</v>
      </c>
      <c r="D1860" s="13">
        <v>455</v>
      </c>
      <c r="E1860" s="13" t="str">
        <f>IF(ISERROR(VLOOKUP(F1860,Magic!H:H,1,0)),IF(ISERROR(VLOOKUP(F1860,Magic!T:T,1,0)),"N","Y"),"Y")</f>
        <v>Y</v>
      </c>
      <c r="F1860" s="13">
        <v>1859</v>
      </c>
    </row>
    <row r="1861" spans="1:6" x14ac:dyDescent="0.25">
      <c r="A1861" s="16">
        <v>42941</v>
      </c>
      <c r="B1861" s="13" t="s">
        <v>29</v>
      </c>
      <c r="C1861" s="13">
        <v>35</v>
      </c>
      <c r="D1861" s="13">
        <v>680</v>
      </c>
      <c r="E1861" s="13" t="str">
        <f>IF(ISERROR(VLOOKUP(F1861,Magic!H:H,1,0)),IF(ISERROR(VLOOKUP(F1861,Magic!T:T,1,0)),"N","Y"),"Y")</f>
        <v>Y</v>
      </c>
      <c r="F1861" s="13">
        <v>1860</v>
      </c>
    </row>
    <row r="1862" spans="1:6" x14ac:dyDescent="0.25">
      <c r="A1862" s="16">
        <v>42941</v>
      </c>
      <c r="B1862" s="13" t="s">
        <v>82</v>
      </c>
      <c r="C1862" s="13">
        <v>35</v>
      </c>
      <c r="D1862" s="13">
        <v>5.85</v>
      </c>
      <c r="E1862" s="13" t="str">
        <f>IF(ISERROR(VLOOKUP(F1862,Magic!H:H,1,0)),IF(ISERROR(VLOOKUP(F1862,Magic!T:T,1,0)),"N","Y"),"Y")</f>
        <v>Y</v>
      </c>
      <c r="F1862" s="13">
        <v>1861</v>
      </c>
    </row>
    <row r="1863" spans="1:6" x14ac:dyDescent="0.25">
      <c r="A1863" s="16">
        <v>42941</v>
      </c>
      <c r="B1863" s="13" t="s">
        <v>31</v>
      </c>
      <c r="C1863" s="13">
        <v>37</v>
      </c>
      <c r="D1863" s="13">
        <v>299.95</v>
      </c>
      <c r="E1863" s="13" t="str">
        <f>IF(ISERROR(VLOOKUP(F1863,Magic!H:H,1,0)),IF(ISERROR(VLOOKUP(F1863,Magic!T:T,1,0)),"N","Y"),"Y")</f>
        <v>Y</v>
      </c>
      <c r="F1863" s="13">
        <v>1862</v>
      </c>
    </row>
    <row r="1864" spans="1:6" x14ac:dyDescent="0.25">
      <c r="A1864" s="16">
        <v>42941</v>
      </c>
      <c r="B1864" s="13" t="s">
        <v>24</v>
      </c>
      <c r="C1864" s="13">
        <v>43</v>
      </c>
      <c r="D1864" s="13">
        <v>590.9</v>
      </c>
      <c r="E1864" s="13" t="str">
        <f>IF(ISERROR(VLOOKUP(F1864,Magic!H:H,1,0)),IF(ISERROR(VLOOKUP(F1864,Magic!T:T,1,0)),"N","Y"),"Y")</f>
        <v>Y</v>
      </c>
      <c r="F1864" s="13">
        <v>1863</v>
      </c>
    </row>
    <row r="1865" spans="1:6" x14ac:dyDescent="0.25">
      <c r="A1865" s="16">
        <v>42941</v>
      </c>
      <c r="B1865" s="13" t="s">
        <v>25</v>
      </c>
      <c r="C1865" s="13">
        <v>44</v>
      </c>
      <c r="D1865" s="13">
        <v>262.85000000000002</v>
      </c>
      <c r="E1865" s="13" t="str">
        <f>IF(ISERROR(VLOOKUP(F1865,Magic!H:H,1,0)),IF(ISERROR(VLOOKUP(F1865,Magic!T:T,1,0)),"N","Y"),"Y")</f>
        <v>Y</v>
      </c>
      <c r="F1865" s="13">
        <v>1864</v>
      </c>
    </row>
    <row r="1866" spans="1:6" x14ac:dyDescent="0.25">
      <c r="A1866" s="16">
        <v>42941</v>
      </c>
      <c r="B1866" s="13" t="s">
        <v>28</v>
      </c>
      <c r="C1866" s="13">
        <v>103</v>
      </c>
      <c r="D1866" s="13">
        <v>0.5</v>
      </c>
      <c r="E1866" s="13" t="str">
        <f>IF(ISERROR(VLOOKUP(F1866,Magic!H:H,1,0)),IF(ISERROR(VLOOKUP(F1866,Magic!T:T,1,0)),"N","Y"),"Y")</f>
        <v>Y</v>
      </c>
      <c r="F1866" s="13">
        <v>1865</v>
      </c>
    </row>
    <row r="1867" spans="1:6" x14ac:dyDescent="0.25">
      <c r="A1867" s="16">
        <v>42941</v>
      </c>
      <c r="B1867" s="13" t="s">
        <v>28</v>
      </c>
      <c r="C1867" s="13">
        <v>103</v>
      </c>
      <c r="D1867" s="13">
        <v>1014.5</v>
      </c>
      <c r="E1867" s="13" t="str">
        <f>IF(ISERROR(VLOOKUP(F1867,Magic!H:H,1,0)),IF(ISERROR(VLOOKUP(F1867,Magic!T:T,1,0)),"N","Y"),"Y")</f>
        <v>Y</v>
      </c>
      <c r="F1867" s="13">
        <v>1866</v>
      </c>
    </row>
    <row r="1868" spans="1:6" x14ac:dyDescent="0.25">
      <c r="A1868" s="16">
        <v>42941</v>
      </c>
      <c r="B1868" s="13" t="s">
        <v>611</v>
      </c>
      <c r="C1868" s="13">
        <v>201</v>
      </c>
      <c r="D1868" s="13">
        <v>360</v>
      </c>
      <c r="E1868" s="13" t="str">
        <f>IF(ISERROR(VLOOKUP(F1868,Magic!H:H,1,0)),IF(ISERROR(VLOOKUP(F1868,Magic!T:T,1,0)),"N","Y"),"Y")</f>
        <v>Y</v>
      </c>
      <c r="F1868" s="13">
        <v>1867</v>
      </c>
    </row>
    <row r="1869" spans="1:6" x14ac:dyDescent="0.25">
      <c r="A1869" s="16">
        <v>42942</v>
      </c>
      <c r="B1869" s="13" t="s">
        <v>29</v>
      </c>
      <c r="C1869" s="13">
        <v>35</v>
      </c>
      <c r="D1869" s="13">
        <v>630</v>
      </c>
      <c r="E1869" s="13" t="str">
        <f>IF(ISERROR(VLOOKUP(F1869,Magic!H:H,1,0)),IF(ISERROR(VLOOKUP(F1869,Magic!T:T,1,0)),"N","Y"),"Y")</f>
        <v>Y</v>
      </c>
      <c r="F1869" s="13">
        <v>1868</v>
      </c>
    </row>
    <row r="1870" spans="1:6" x14ac:dyDescent="0.25">
      <c r="A1870" s="16">
        <v>42942</v>
      </c>
      <c r="B1870" s="13" t="s">
        <v>82</v>
      </c>
      <c r="C1870" s="13">
        <v>35</v>
      </c>
      <c r="D1870" s="13">
        <v>4.55</v>
      </c>
      <c r="E1870" s="13" t="str">
        <f>IF(ISERROR(VLOOKUP(F1870,Magic!H:H,1,0)),IF(ISERROR(VLOOKUP(F1870,Magic!T:T,1,0)),"N","Y"),"Y")</f>
        <v>Y</v>
      </c>
      <c r="F1870" s="13">
        <v>1869</v>
      </c>
    </row>
    <row r="1871" spans="1:6" x14ac:dyDescent="0.25">
      <c r="A1871" s="16">
        <v>42942</v>
      </c>
      <c r="B1871" s="13" t="s">
        <v>146</v>
      </c>
      <c r="C1871" s="13">
        <v>37</v>
      </c>
      <c r="D1871" s="13">
        <v>354.95</v>
      </c>
      <c r="E1871" s="13" t="str">
        <f>IF(ISERROR(VLOOKUP(F1871,Magic!H:H,1,0)),IF(ISERROR(VLOOKUP(F1871,Magic!T:T,1,0)),"N","Y"),"Y")</f>
        <v>Y</v>
      </c>
      <c r="F1871" s="13">
        <v>1870</v>
      </c>
    </row>
    <row r="1872" spans="1:6" x14ac:dyDescent="0.25">
      <c r="A1872" s="16">
        <v>42942</v>
      </c>
      <c r="B1872" s="13" t="s">
        <v>24</v>
      </c>
      <c r="C1872" s="13">
        <v>43</v>
      </c>
      <c r="D1872" s="13">
        <v>983.2</v>
      </c>
      <c r="E1872" s="13" t="str">
        <f>IF(ISERROR(VLOOKUP(F1872,Magic!H:H,1,0)),IF(ISERROR(VLOOKUP(F1872,Magic!T:T,1,0)),"N","Y"),"Y")</f>
        <v>Y</v>
      </c>
      <c r="F1872" s="13">
        <v>1871</v>
      </c>
    </row>
    <row r="1873" spans="1:6" x14ac:dyDescent="0.25">
      <c r="A1873" s="16">
        <v>42942</v>
      </c>
      <c r="B1873" s="13" t="s">
        <v>25</v>
      </c>
      <c r="C1873" s="13">
        <v>44</v>
      </c>
      <c r="D1873" s="13">
        <v>374.75</v>
      </c>
      <c r="E1873" s="13" t="str">
        <f>IF(ISERROR(VLOOKUP(F1873,Magic!H:H,1,0)),IF(ISERROR(VLOOKUP(F1873,Magic!T:T,1,0)),"N","Y"),"Y")</f>
        <v>Y</v>
      </c>
      <c r="F1873" s="13">
        <v>1872</v>
      </c>
    </row>
    <row r="1874" spans="1:6" x14ac:dyDescent="0.25">
      <c r="A1874" s="16">
        <v>42942</v>
      </c>
      <c r="B1874" s="13" t="s">
        <v>28</v>
      </c>
      <c r="C1874" s="13">
        <v>103</v>
      </c>
      <c r="D1874" s="13">
        <v>1446.3</v>
      </c>
      <c r="E1874" s="13" t="str">
        <f>IF(ISERROR(VLOOKUP(F1874,Magic!H:H,1,0)),IF(ISERROR(VLOOKUP(F1874,Magic!T:T,1,0)),"N","Y"),"Y")</f>
        <v>Y</v>
      </c>
      <c r="F1874" s="13">
        <v>1873</v>
      </c>
    </row>
    <row r="1875" spans="1:6" x14ac:dyDescent="0.25">
      <c r="A1875" s="16">
        <v>42942</v>
      </c>
      <c r="B1875" s="13" t="s">
        <v>611</v>
      </c>
      <c r="C1875" s="13">
        <v>201</v>
      </c>
      <c r="D1875" s="13">
        <v>814.85</v>
      </c>
      <c r="E1875" s="13" t="str">
        <f>IF(ISERROR(VLOOKUP(F1875,Magic!H:H,1,0)),IF(ISERROR(VLOOKUP(F1875,Magic!T:T,1,0)),"N","Y"),"Y")</f>
        <v>Y</v>
      </c>
      <c r="F1875" s="13">
        <v>1874</v>
      </c>
    </row>
    <row r="1876" spans="1:6" x14ac:dyDescent="0.25">
      <c r="A1876" s="16">
        <v>42942</v>
      </c>
      <c r="B1876" s="13" t="s">
        <v>1644</v>
      </c>
      <c r="C1876" s="13">
        <v>41</v>
      </c>
      <c r="D1876" s="13">
        <v>447.9</v>
      </c>
      <c r="E1876" s="13" t="str">
        <f>IF(ISERROR(VLOOKUP(F1876,Magic!H:H,1,0)),IF(ISERROR(VLOOKUP(F1876,Magic!T:T,1,0)),"N","Y"),"Y")</f>
        <v>Y</v>
      </c>
      <c r="F1876" s="13">
        <v>1875</v>
      </c>
    </row>
    <row r="1877" spans="1:6" x14ac:dyDescent="0.25">
      <c r="A1877" s="16">
        <v>42942</v>
      </c>
      <c r="B1877" s="13" t="s">
        <v>1644</v>
      </c>
      <c r="C1877" s="13">
        <v>41</v>
      </c>
      <c r="D1877" s="13">
        <v>564.79999999999995</v>
      </c>
      <c r="E1877" s="13" t="str">
        <f>IF(ISERROR(VLOOKUP(F1877,Magic!H:H,1,0)),IF(ISERROR(VLOOKUP(F1877,Magic!T:T,1,0)),"N","Y"),"Y")</f>
        <v>Y</v>
      </c>
      <c r="F1877" s="13">
        <v>1876</v>
      </c>
    </row>
    <row r="1878" spans="1:6" x14ac:dyDescent="0.25">
      <c r="A1878" s="16">
        <v>42943</v>
      </c>
      <c r="B1878" s="13" t="s">
        <v>29</v>
      </c>
      <c r="C1878" s="13">
        <v>35</v>
      </c>
      <c r="D1878" s="13">
        <v>1735</v>
      </c>
      <c r="E1878" s="13" t="str">
        <f>IF(ISERROR(VLOOKUP(F1878,Magic!H:H,1,0)),IF(ISERROR(VLOOKUP(F1878,Magic!T:T,1,0)),"N","Y"),"Y")</f>
        <v>Y</v>
      </c>
      <c r="F1878" s="13">
        <v>1877</v>
      </c>
    </row>
    <row r="1879" spans="1:6" x14ac:dyDescent="0.25">
      <c r="A1879" s="16">
        <v>42943</v>
      </c>
      <c r="B1879" s="13" t="s">
        <v>82</v>
      </c>
      <c r="C1879" s="13">
        <v>35</v>
      </c>
      <c r="D1879" s="13">
        <v>0.4</v>
      </c>
      <c r="E1879" s="13" t="str">
        <f>IF(ISERROR(VLOOKUP(F1879,Magic!H:H,1,0)),IF(ISERROR(VLOOKUP(F1879,Magic!T:T,1,0)),"N","Y"),"Y")</f>
        <v>Y</v>
      </c>
      <c r="F1879" s="13">
        <v>1878</v>
      </c>
    </row>
    <row r="1880" spans="1:6" x14ac:dyDescent="0.25">
      <c r="A1880" s="16">
        <v>42943</v>
      </c>
      <c r="B1880" s="13" t="s">
        <v>31</v>
      </c>
      <c r="C1880" s="13">
        <v>37</v>
      </c>
      <c r="D1880" s="13">
        <v>439.75</v>
      </c>
      <c r="E1880" s="13" t="str">
        <f>IF(ISERROR(VLOOKUP(F1880,Magic!H:H,1,0)),IF(ISERROR(VLOOKUP(F1880,Magic!T:T,1,0)),"N","Y"),"Y")</f>
        <v>Y</v>
      </c>
      <c r="F1880" s="13">
        <v>1879</v>
      </c>
    </row>
    <row r="1881" spans="1:6" x14ac:dyDescent="0.25">
      <c r="A1881" s="16">
        <v>42943</v>
      </c>
      <c r="B1881" s="13" t="s">
        <v>24</v>
      </c>
      <c r="C1881" s="13">
        <v>43</v>
      </c>
      <c r="D1881" s="13">
        <v>690.3</v>
      </c>
      <c r="E1881" s="13" t="str">
        <f>IF(ISERROR(VLOOKUP(F1881,Magic!H:H,1,0)),IF(ISERROR(VLOOKUP(F1881,Magic!T:T,1,0)),"N","Y"),"Y")</f>
        <v>Y</v>
      </c>
      <c r="F1881" s="13">
        <v>1880</v>
      </c>
    </row>
    <row r="1882" spans="1:6" x14ac:dyDescent="0.25">
      <c r="A1882" s="16">
        <v>42943</v>
      </c>
      <c r="B1882" s="13" t="s">
        <v>28</v>
      </c>
      <c r="C1882" s="13">
        <v>103</v>
      </c>
      <c r="D1882" s="13">
        <v>800</v>
      </c>
      <c r="E1882" s="13" t="str">
        <f>IF(ISERROR(VLOOKUP(F1882,Magic!H:H,1,0)),IF(ISERROR(VLOOKUP(F1882,Magic!T:T,1,0)),"N","Y"),"Y")</f>
        <v>Y</v>
      </c>
      <c r="F1882" s="13">
        <v>1881</v>
      </c>
    </row>
    <row r="1883" spans="1:6" x14ac:dyDescent="0.25">
      <c r="A1883" s="16">
        <v>42943</v>
      </c>
      <c r="B1883" s="13" t="s">
        <v>611</v>
      </c>
      <c r="C1883" s="13">
        <v>201</v>
      </c>
      <c r="D1883" s="13">
        <v>754.4</v>
      </c>
      <c r="E1883" s="13" t="str">
        <f>IF(ISERROR(VLOOKUP(F1883,Magic!H:H,1,0)),IF(ISERROR(VLOOKUP(F1883,Magic!T:T,1,0)),"N","Y"),"Y")</f>
        <v>Y</v>
      </c>
      <c r="F1883" s="13">
        <v>1882</v>
      </c>
    </row>
    <row r="1884" spans="1:6" x14ac:dyDescent="0.25">
      <c r="A1884" s="16">
        <v>42943</v>
      </c>
      <c r="B1884" s="13" t="s">
        <v>510</v>
      </c>
      <c r="C1884" s="13">
        <v>44</v>
      </c>
      <c r="D1884" s="13">
        <v>221.7</v>
      </c>
      <c r="E1884" s="13" t="str">
        <f>IF(ISERROR(VLOOKUP(F1884,Magic!H:H,1,0)),IF(ISERROR(VLOOKUP(F1884,Magic!T:T,1,0)),"N","Y"),"Y")</f>
        <v>Y</v>
      </c>
      <c r="F1884" s="13">
        <v>1883</v>
      </c>
    </row>
    <row r="1885" spans="1:6" x14ac:dyDescent="0.25">
      <c r="A1885" s="16">
        <v>42943</v>
      </c>
      <c r="B1885" s="13" t="s">
        <v>1644</v>
      </c>
      <c r="C1885" s="13">
        <v>41</v>
      </c>
      <c r="D1885" s="13">
        <v>914.45</v>
      </c>
      <c r="E1885" s="13" t="str">
        <f>IF(ISERROR(VLOOKUP(F1885,Magic!H:H,1,0)),IF(ISERROR(VLOOKUP(F1885,Magic!T:T,1,0)),"N","Y"),"Y")</f>
        <v>Y</v>
      </c>
      <c r="F1885" s="13">
        <v>1884</v>
      </c>
    </row>
    <row r="1886" spans="1:6" x14ac:dyDescent="0.25">
      <c r="A1886" s="16">
        <v>42946</v>
      </c>
      <c r="B1886" s="13" t="s">
        <v>29</v>
      </c>
      <c r="C1886" s="13">
        <v>35</v>
      </c>
      <c r="D1886" s="13">
        <v>420</v>
      </c>
      <c r="E1886" s="13" t="str">
        <f>IF(ISERROR(VLOOKUP(F1886,Magic!H:H,1,0)),IF(ISERROR(VLOOKUP(F1886,Magic!T:T,1,0)),"N","Y"),"Y")</f>
        <v>Y</v>
      </c>
      <c r="F1886" s="13">
        <v>1885</v>
      </c>
    </row>
    <row r="1887" spans="1:6" x14ac:dyDescent="0.25">
      <c r="A1887" s="16">
        <v>42944</v>
      </c>
      <c r="B1887" s="13" t="s">
        <v>29</v>
      </c>
      <c r="C1887" s="13">
        <v>35</v>
      </c>
      <c r="D1887" s="13">
        <v>875</v>
      </c>
      <c r="E1887" s="13" t="str">
        <f>IF(ISERROR(VLOOKUP(F1887,Magic!H:H,1,0)),IF(ISERROR(VLOOKUP(F1887,Magic!T:T,1,0)),"N","Y"),"Y")</f>
        <v>Y</v>
      </c>
      <c r="F1887" s="13">
        <v>1886</v>
      </c>
    </row>
    <row r="1888" spans="1:6" x14ac:dyDescent="0.25">
      <c r="A1888" s="16">
        <v>42944</v>
      </c>
      <c r="B1888" s="13" t="s">
        <v>57</v>
      </c>
      <c r="C1888" s="13">
        <v>35</v>
      </c>
      <c r="D1888" s="13">
        <v>6.3</v>
      </c>
      <c r="E1888" s="13" t="str">
        <f>IF(ISERROR(VLOOKUP(F1888,Magic!H:H,1,0)),IF(ISERROR(VLOOKUP(F1888,Magic!T:T,1,0)),"N","Y"),"Y")</f>
        <v>Y</v>
      </c>
      <c r="F1888" s="13">
        <v>1887</v>
      </c>
    </row>
    <row r="1889" spans="1:6" x14ac:dyDescent="0.25">
      <c r="A1889" s="16">
        <v>42944</v>
      </c>
      <c r="B1889" s="13" t="s">
        <v>146</v>
      </c>
      <c r="C1889" s="13">
        <v>37</v>
      </c>
      <c r="D1889" s="13">
        <v>50</v>
      </c>
      <c r="E1889" s="13" t="str">
        <f>IF(ISERROR(VLOOKUP(F1889,Magic!H:H,1,0)),IF(ISERROR(VLOOKUP(F1889,Magic!T:T,1,0)),"N","Y"),"Y")</f>
        <v>Y</v>
      </c>
      <c r="F1889" s="13">
        <v>1888</v>
      </c>
    </row>
    <row r="1890" spans="1:6" x14ac:dyDescent="0.25">
      <c r="A1890" s="16">
        <v>42944</v>
      </c>
      <c r="B1890" s="13" t="s">
        <v>146</v>
      </c>
      <c r="C1890" s="13">
        <v>37</v>
      </c>
      <c r="D1890" s="13">
        <v>993.4</v>
      </c>
      <c r="E1890" s="13" t="str">
        <f>IF(ISERROR(VLOOKUP(F1890,Magic!H:H,1,0)),IF(ISERROR(VLOOKUP(F1890,Magic!T:T,1,0)),"N","Y"),"Y")</f>
        <v>Y</v>
      </c>
      <c r="F1890" s="13">
        <v>1889</v>
      </c>
    </row>
    <row r="1891" spans="1:6" x14ac:dyDescent="0.25">
      <c r="A1891" s="16">
        <v>42944</v>
      </c>
      <c r="B1891" s="13" t="s">
        <v>25</v>
      </c>
      <c r="C1891" s="13">
        <v>44</v>
      </c>
      <c r="D1891" s="13">
        <v>501.6</v>
      </c>
      <c r="E1891" s="13" t="str">
        <f>IF(ISERROR(VLOOKUP(F1891,Magic!H:H,1,0)),IF(ISERROR(VLOOKUP(F1891,Magic!T:T,1,0)),"N","Y"),"Y")</f>
        <v>Y</v>
      </c>
      <c r="F1891" s="13">
        <v>1890</v>
      </c>
    </row>
    <row r="1892" spans="1:6" x14ac:dyDescent="0.25">
      <c r="A1892" s="16">
        <v>42944</v>
      </c>
      <c r="B1892" s="13" t="s">
        <v>28</v>
      </c>
      <c r="C1892" s="13">
        <v>103</v>
      </c>
      <c r="D1892" s="13">
        <v>50</v>
      </c>
      <c r="E1892" s="13" t="str">
        <f>IF(ISERROR(VLOOKUP(F1892,Magic!H:H,1,0)),IF(ISERROR(VLOOKUP(F1892,Magic!T:T,1,0)),"N","Y"),"Y")</f>
        <v>Y</v>
      </c>
      <c r="F1892" s="13">
        <v>1891</v>
      </c>
    </row>
    <row r="1893" spans="1:6" x14ac:dyDescent="0.25">
      <c r="A1893" s="16">
        <v>42944</v>
      </c>
      <c r="B1893" s="13" t="s">
        <v>28</v>
      </c>
      <c r="C1893" s="13">
        <v>103</v>
      </c>
      <c r="D1893" s="13">
        <v>1513.85</v>
      </c>
      <c r="E1893" s="13" t="str">
        <f>IF(ISERROR(VLOOKUP(F1893,Magic!H:H,1,0)),IF(ISERROR(VLOOKUP(F1893,Magic!T:T,1,0)),"N","Y"),"Y")</f>
        <v>Y</v>
      </c>
      <c r="F1893" s="13">
        <v>1892</v>
      </c>
    </row>
    <row r="1894" spans="1:6" x14ac:dyDescent="0.25">
      <c r="A1894" s="16">
        <v>42944</v>
      </c>
      <c r="B1894" s="13" t="s">
        <v>611</v>
      </c>
      <c r="C1894" s="13">
        <v>201</v>
      </c>
      <c r="D1894" s="13">
        <v>874.5</v>
      </c>
      <c r="E1894" s="13" t="str">
        <f>IF(ISERROR(VLOOKUP(F1894,Magic!H:H,1,0)),IF(ISERROR(VLOOKUP(F1894,Magic!T:T,1,0)),"N","Y"),"Y")</f>
        <v>Y</v>
      </c>
      <c r="F1894" s="13">
        <v>1893</v>
      </c>
    </row>
    <row r="1895" spans="1:6" x14ac:dyDescent="0.25">
      <c r="A1895" s="16">
        <v>42944</v>
      </c>
      <c r="B1895" s="13" t="s">
        <v>394</v>
      </c>
      <c r="C1895" s="13">
        <v>43</v>
      </c>
      <c r="D1895" s="13">
        <v>1527.6</v>
      </c>
      <c r="E1895" s="13" t="str">
        <f>IF(ISERROR(VLOOKUP(F1895,Magic!H:H,1,0)),IF(ISERROR(VLOOKUP(F1895,Magic!T:T,1,0)),"N","Y"),"Y")</f>
        <v>Y</v>
      </c>
      <c r="F1895" s="13">
        <v>1894</v>
      </c>
    </row>
    <row r="1896" spans="1:6" x14ac:dyDescent="0.25">
      <c r="A1896" s="16">
        <v>42944</v>
      </c>
      <c r="B1896" s="13" t="s">
        <v>1644</v>
      </c>
      <c r="C1896" s="13">
        <v>41</v>
      </c>
      <c r="D1896" s="13">
        <v>978.3</v>
      </c>
      <c r="E1896" s="13" t="str">
        <f>IF(ISERROR(VLOOKUP(F1896,Magic!H:H,1,0)),IF(ISERROR(VLOOKUP(F1896,Magic!T:T,1,0)),"N","Y"),"Y")</f>
        <v>Y</v>
      </c>
      <c r="F1896" s="13">
        <v>1895</v>
      </c>
    </row>
    <row r="1897" spans="1:6" x14ac:dyDescent="0.25">
      <c r="A1897" s="16">
        <v>42945</v>
      </c>
      <c r="B1897" s="13" t="s">
        <v>29</v>
      </c>
      <c r="C1897" s="13">
        <v>35</v>
      </c>
      <c r="D1897" s="13">
        <v>860</v>
      </c>
      <c r="E1897" s="13" t="str">
        <f>IF(ISERROR(VLOOKUP(F1897,Magic!H:H,1,0)),IF(ISERROR(VLOOKUP(F1897,Magic!T:T,1,0)),"N","Y"),"Y")</f>
        <v>Y</v>
      </c>
      <c r="F1897" s="13">
        <v>1896</v>
      </c>
    </row>
    <row r="1898" spans="1:6" x14ac:dyDescent="0.25">
      <c r="A1898" s="16">
        <v>42945</v>
      </c>
      <c r="B1898" s="13" t="s">
        <v>28</v>
      </c>
      <c r="C1898" s="13">
        <v>103</v>
      </c>
      <c r="D1898" s="13">
        <v>1136.0999999999999</v>
      </c>
      <c r="E1898" s="13" t="str">
        <f>IF(ISERROR(VLOOKUP(F1898,Magic!H:H,1,0)),IF(ISERROR(VLOOKUP(F1898,Magic!T:T,1,0)),"N","Y"),"Y")</f>
        <v>Y</v>
      </c>
      <c r="F1898" s="13">
        <v>1897</v>
      </c>
    </row>
    <row r="1899" spans="1:6" x14ac:dyDescent="0.25">
      <c r="A1899" s="16">
        <v>42947</v>
      </c>
      <c r="B1899" s="13" t="s">
        <v>29</v>
      </c>
      <c r="C1899" s="13">
        <v>35</v>
      </c>
      <c r="D1899" s="13">
        <v>665</v>
      </c>
      <c r="E1899" s="13" t="str">
        <f>IF(ISERROR(VLOOKUP(F1899,Magic!H:H,1,0)),IF(ISERROR(VLOOKUP(F1899,Magic!T:T,1,0)),"N","Y"),"Y")</f>
        <v>Y</v>
      </c>
      <c r="F1899" s="13">
        <v>1898</v>
      </c>
    </row>
    <row r="1900" spans="1:6" x14ac:dyDescent="0.25">
      <c r="A1900" s="16">
        <v>42947</v>
      </c>
      <c r="B1900" s="13" t="s">
        <v>57</v>
      </c>
      <c r="C1900" s="13">
        <v>35</v>
      </c>
      <c r="D1900" s="13">
        <v>6.3</v>
      </c>
      <c r="E1900" s="13" t="str">
        <f>IF(ISERROR(VLOOKUP(F1900,Magic!H:H,1,0)),IF(ISERROR(VLOOKUP(F1900,Magic!T:T,1,0)),"N","Y"),"Y")</f>
        <v>Y</v>
      </c>
      <c r="F1900" s="13">
        <v>1899</v>
      </c>
    </row>
    <row r="1901" spans="1:6" x14ac:dyDescent="0.25">
      <c r="A1901" s="16">
        <v>42947</v>
      </c>
      <c r="B1901" s="13" t="s">
        <v>57</v>
      </c>
      <c r="C1901" s="13">
        <v>35</v>
      </c>
      <c r="D1901" s="13">
        <v>12.3</v>
      </c>
      <c r="E1901" s="13" t="str">
        <f>IF(ISERROR(VLOOKUP(F1901,Magic!H:H,1,0)),IF(ISERROR(VLOOKUP(F1901,Magic!T:T,1,0)),"N","Y"),"Y")</f>
        <v>Y</v>
      </c>
      <c r="F1901" s="13">
        <v>1900</v>
      </c>
    </row>
    <row r="1902" spans="1:6" x14ac:dyDescent="0.25">
      <c r="A1902" s="16">
        <v>42947</v>
      </c>
      <c r="B1902" s="13" t="s">
        <v>57</v>
      </c>
      <c r="C1902" s="13">
        <v>35</v>
      </c>
      <c r="D1902" s="13">
        <v>2.7</v>
      </c>
      <c r="E1902" s="13" t="str">
        <f>IF(ISERROR(VLOOKUP(F1902,Magic!H:H,1,0)),IF(ISERROR(VLOOKUP(F1902,Magic!T:T,1,0)),"N","Y"),"Y")</f>
        <v>Y</v>
      </c>
      <c r="F1902" s="13">
        <v>1901</v>
      </c>
    </row>
    <row r="1903" spans="1:6" x14ac:dyDescent="0.25">
      <c r="A1903" s="16">
        <v>42947</v>
      </c>
      <c r="B1903" s="13" t="s">
        <v>146</v>
      </c>
      <c r="C1903" s="13">
        <v>37</v>
      </c>
      <c r="D1903" s="13">
        <v>379.5</v>
      </c>
      <c r="E1903" s="13" t="str">
        <f>IF(ISERROR(VLOOKUP(F1903,Magic!H:H,1,0)),IF(ISERROR(VLOOKUP(F1903,Magic!T:T,1,0)),"N","Y"),"Y")</f>
        <v>Y</v>
      </c>
      <c r="F1903" s="13">
        <v>1902</v>
      </c>
    </row>
    <row r="1904" spans="1:6" x14ac:dyDescent="0.25">
      <c r="A1904" s="16">
        <v>42947</v>
      </c>
      <c r="B1904" s="13" t="s">
        <v>146</v>
      </c>
      <c r="C1904" s="13">
        <v>37</v>
      </c>
      <c r="D1904" s="13">
        <v>599.85</v>
      </c>
      <c r="E1904" s="13" t="str">
        <f>IF(ISERROR(VLOOKUP(F1904,Magic!H:H,1,0)),IF(ISERROR(VLOOKUP(F1904,Magic!T:T,1,0)),"N","Y"),"Y")</f>
        <v>Y</v>
      </c>
      <c r="F1904" s="13">
        <v>1903</v>
      </c>
    </row>
    <row r="1905" spans="1:6" x14ac:dyDescent="0.25">
      <c r="A1905" s="16">
        <v>42947</v>
      </c>
      <c r="B1905" s="13" t="s">
        <v>146</v>
      </c>
      <c r="C1905" s="13">
        <v>37</v>
      </c>
      <c r="D1905" s="13">
        <v>394.9</v>
      </c>
      <c r="E1905" s="13" t="str">
        <f>IF(ISERROR(VLOOKUP(F1905,Magic!H:H,1,0)),IF(ISERROR(VLOOKUP(F1905,Magic!T:T,1,0)),"N","Y"),"Y")</f>
        <v>Y</v>
      </c>
      <c r="F1905" s="13">
        <v>1904</v>
      </c>
    </row>
    <row r="1906" spans="1:6" x14ac:dyDescent="0.25">
      <c r="A1906" s="16">
        <v>42947</v>
      </c>
      <c r="B1906" s="13" t="s">
        <v>1347</v>
      </c>
      <c r="C1906" s="13">
        <v>41</v>
      </c>
      <c r="D1906" s="13">
        <v>254.75</v>
      </c>
      <c r="E1906" s="13" t="str">
        <f>IF(ISERROR(VLOOKUP(F1906,Magic!H:H,1,0)),IF(ISERROR(VLOOKUP(F1906,Magic!T:T,1,0)),"N","Y"),"Y")</f>
        <v>Y</v>
      </c>
      <c r="F1906" s="13">
        <v>1905</v>
      </c>
    </row>
    <row r="1907" spans="1:6" x14ac:dyDescent="0.25">
      <c r="A1907" s="16">
        <v>42947</v>
      </c>
      <c r="B1907" s="13" t="s">
        <v>472</v>
      </c>
      <c r="C1907" s="13">
        <v>43</v>
      </c>
      <c r="D1907" s="13">
        <v>1222.05</v>
      </c>
      <c r="E1907" s="13" t="str">
        <f>IF(ISERROR(VLOOKUP(F1907,Magic!H:H,1,0)),IF(ISERROR(VLOOKUP(F1907,Magic!T:T,1,0)),"N","Y"),"Y")</f>
        <v>Y</v>
      </c>
      <c r="F1907" s="13">
        <v>1906</v>
      </c>
    </row>
    <row r="1908" spans="1:6" x14ac:dyDescent="0.25">
      <c r="A1908" s="16">
        <v>42947</v>
      </c>
      <c r="B1908" s="13" t="s">
        <v>472</v>
      </c>
      <c r="C1908" s="13">
        <v>43</v>
      </c>
      <c r="D1908" s="13">
        <v>859.4</v>
      </c>
      <c r="E1908" s="13" t="str">
        <f>IF(ISERROR(VLOOKUP(F1908,Magic!H:H,1,0)),IF(ISERROR(VLOOKUP(F1908,Magic!T:T,1,0)),"N","Y"),"Y")</f>
        <v>Y</v>
      </c>
      <c r="F1908" s="13">
        <v>1907</v>
      </c>
    </row>
    <row r="1909" spans="1:6" x14ac:dyDescent="0.25">
      <c r="A1909" s="16">
        <v>42947</v>
      </c>
      <c r="B1909" s="13" t="s">
        <v>472</v>
      </c>
      <c r="C1909" s="13">
        <v>43</v>
      </c>
      <c r="D1909" s="13">
        <v>1559.75</v>
      </c>
      <c r="E1909" s="13" t="str">
        <f>IF(ISERROR(VLOOKUP(F1909,Magic!H:H,1,0)),IF(ISERROR(VLOOKUP(F1909,Magic!T:T,1,0)),"N","Y"),"Y")</f>
        <v>Y</v>
      </c>
      <c r="F1909" s="13">
        <v>1908</v>
      </c>
    </row>
    <row r="1910" spans="1:6" x14ac:dyDescent="0.25">
      <c r="A1910" s="16">
        <v>42947</v>
      </c>
      <c r="B1910" s="13" t="s">
        <v>25</v>
      </c>
      <c r="C1910" s="13">
        <v>44</v>
      </c>
      <c r="D1910" s="13">
        <v>396.55</v>
      </c>
      <c r="E1910" s="13" t="str">
        <f>IF(ISERROR(VLOOKUP(F1910,Magic!H:H,1,0)),IF(ISERROR(VLOOKUP(F1910,Magic!T:T,1,0)),"N","Y"),"Y")</f>
        <v>Y</v>
      </c>
      <c r="F1910" s="13">
        <v>1909</v>
      </c>
    </row>
    <row r="1911" spans="1:6" x14ac:dyDescent="0.25">
      <c r="A1911" s="16">
        <v>42947</v>
      </c>
      <c r="B1911" s="13" t="s">
        <v>25</v>
      </c>
      <c r="C1911" s="13">
        <v>44</v>
      </c>
      <c r="D1911" s="13">
        <v>27.95</v>
      </c>
      <c r="E1911" s="13" t="str">
        <f>IF(ISERROR(VLOOKUP(F1911,Magic!H:H,1,0)),IF(ISERROR(VLOOKUP(F1911,Magic!T:T,1,0)),"N","Y"),"Y")</f>
        <v>Y</v>
      </c>
      <c r="F1911" s="13">
        <v>1910</v>
      </c>
    </row>
    <row r="1912" spans="1:6" x14ac:dyDescent="0.25">
      <c r="A1912" s="16">
        <v>42947</v>
      </c>
      <c r="B1912" s="13" t="s">
        <v>25</v>
      </c>
      <c r="C1912" s="13">
        <v>44</v>
      </c>
      <c r="D1912" s="13">
        <v>295.89999999999998</v>
      </c>
      <c r="E1912" s="13" t="str">
        <f>IF(ISERROR(VLOOKUP(F1912,Magic!H:H,1,0)),IF(ISERROR(VLOOKUP(F1912,Magic!T:T,1,0)),"N","Y"),"Y")</f>
        <v>Y</v>
      </c>
      <c r="F1912" s="13">
        <v>1911</v>
      </c>
    </row>
    <row r="1913" spans="1:6" x14ac:dyDescent="0.25">
      <c r="A1913" s="16">
        <v>42947</v>
      </c>
      <c r="B1913" s="13" t="s">
        <v>611</v>
      </c>
      <c r="C1913" s="13">
        <v>201</v>
      </c>
      <c r="D1913" s="13">
        <v>1250.2</v>
      </c>
      <c r="E1913" s="13" t="str">
        <f>IF(ISERROR(VLOOKUP(F1913,Magic!H:H,1,0)),IF(ISERROR(VLOOKUP(F1913,Magic!T:T,1,0)),"N","Y"),"Y")</f>
        <v>Y</v>
      </c>
      <c r="F1913" s="13">
        <v>1912</v>
      </c>
    </row>
    <row r="1914" spans="1:6" x14ac:dyDescent="0.25">
      <c r="A1914" s="16">
        <v>42947</v>
      </c>
      <c r="B1914" s="13" t="s">
        <v>611</v>
      </c>
      <c r="C1914" s="13">
        <v>201</v>
      </c>
      <c r="D1914" s="13">
        <v>395</v>
      </c>
      <c r="E1914" s="13" t="str">
        <f>IF(ISERROR(VLOOKUP(F1914,Magic!H:H,1,0)),IF(ISERROR(VLOOKUP(F1914,Magic!T:T,1,0)),"N","Y"),"Y")</f>
        <v>Y</v>
      </c>
      <c r="F1914" s="13">
        <v>1913</v>
      </c>
    </row>
    <row r="1915" spans="1:6" x14ac:dyDescent="0.25">
      <c r="A1915" s="16">
        <v>42947</v>
      </c>
      <c r="B1915" s="13" t="s">
        <v>611</v>
      </c>
      <c r="C1915" s="13">
        <v>201</v>
      </c>
      <c r="D1915" s="13">
        <v>330</v>
      </c>
      <c r="E1915" s="13" t="str">
        <f>IF(ISERROR(VLOOKUP(F1915,Magic!H:H,1,0)),IF(ISERROR(VLOOKUP(F1915,Magic!T:T,1,0)),"N","Y"),"Y")</f>
        <v>Y</v>
      </c>
      <c r="F1915" s="13">
        <v>1914</v>
      </c>
    </row>
    <row r="1916" spans="1:6" x14ac:dyDescent="0.25">
      <c r="A1916" s="16">
        <v>42947</v>
      </c>
      <c r="B1916" s="13" t="s">
        <v>124</v>
      </c>
      <c r="C1916" s="13">
        <v>103</v>
      </c>
      <c r="D1916" s="13">
        <v>415.4</v>
      </c>
      <c r="E1916" s="13" t="str">
        <f>IF(ISERROR(VLOOKUP(F1916,Magic!H:H,1,0)),IF(ISERROR(VLOOKUP(F1916,Magic!T:T,1,0)),"N","Y"),"Y")</f>
        <v>Y</v>
      </c>
      <c r="F1916" s="13">
        <v>1915</v>
      </c>
    </row>
    <row r="1917" spans="1:6" x14ac:dyDescent="0.25">
      <c r="A1917" s="16">
        <v>42947</v>
      </c>
      <c r="B1917" s="13" t="s">
        <v>124</v>
      </c>
      <c r="C1917" s="13">
        <v>103</v>
      </c>
      <c r="D1917" s="13">
        <v>1094.25</v>
      </c>
      <c r="E1917" s="13" t="str">
        <f>IF(ISERROR(VLOOKUP(F1917,Magic!H:H,1,0)),IF(ISERROR(VLOOKUP(F1917,Magic!T:T,1,0)),"N","Y"),"Y")</f>
        <v>Y</v>
      </c>
      <c r="F1917" s="13">
        <v>1916</v>
      </c>
    </row>
    <row r="1918" spans="1:6" x14ac:dyDescent="0.25">
      <c r="A1918" s="16">
        <v>42947</v>
      </c>
      <c r="B1918" s="13" t="s">
        <v>1839</v>
      </c>
      <c r="C1918" s="13">
        <v>41</v>
      </c>
      <c r="D1918" s="13">
        <v>518.6</v>
      </c>
      <c r="E1918" s="13" t="str">
        <f>IF(ISERROR(VLOOKUP(F1918,Magic!H:H,1,0)),IF(ISERROR(VLOOKUP(F1918,Magic!T:T,1,0)),"N","Y"),"Y")</f>
        <v>Y</v>
      </c>
      <c r="F1918" s="13">
        <v>1917</v>
      </c>
    </row>
    <row r="1919" spans="1:6" x14ac:dyDescent="0.25">
      <c r="A1919" s="16">
        <v>42948</v>
      </c>
      <c r="B1919" s="13" t="s">
        <v>29</v>
      </c>
      <c r="C1919" s="13">
        <v>35</v>
      </c>
      <c r="D1919" s="13">
        <v>515</v>
      </c>
      <c r="E1919" s="13" t="str">
        <f>IF(ISERROR(VLOOKUP(F1919,Magic!H:H,1,0)),IF(ISERROR(VLOOKUP(F1919,Magic!T:T,1,0)),"N","Y"),"Y")</f>
        <v>Y</v>
      </c>
      <c r="F1919" s="13">
        <v>1918</v>
      </c>
    </row>
    <row r="1920" spans="1:6" x14ac:dyDescent="0.25">
      <c r="A1920" s="16">
        <v>42948</v>
      </c>
      <c r="B1920" s="13" t="s">
        <v>611</v>
      </c>
      <c r="C1920" s="13">
        <v>201</v>
      </c>
      <c r="D1920" s="13">
        <v>689.65</v>
      </c>
      <c r="E1920" s="13" t="str">
        <f>IF(ISERROR(VLOOKUP(F1920,Magic!H:H,1,0)),IF(ISERROR(VLOOKUP(F1920,Magic!T:T,1,0)),"N","Y"),"Y")</f>
        <v>Y</v>
      </c>
      <c r="F1920" s="13">
        <v>1919</v>
      </c>
    </row>
    <row r="1921" spans="1:6" x14ac:dyDescent="0.25">
      <c r="A1921" s="16">
        <v>42948</v>
      </c>
      <c r="B1921" s="13" t="s">
        <v>57</v>
      </c>
      <c r="C1921" s="13">
        <v>35</v>
      </c>
      <c r="D1921" s="13">
        <v>28.35</v>
      </c>
      <c r="E1921" s="13" t="str">
        <f>IF(ISERROR(VLOOKUP(F1921,Magic!H:H,1,0)),IF(ISERROR(VLOOKUP(F1921,Magic!T:T,1,0)),"N","Y"),"Y")</f>
        <v>Y</v>
      </c>
      <c r="F1921" s="13">
        <v>1920</v>
      </c>
    </row>
    <row r="1922" spans="1:6" x14ac:dyDescent="0.25">
      <c r="A1922" s="16">
        <v>42948</v>
      </c>
      <c r="B1922" s="13" t="s">
        <v>146</v>
      </c>
      <c r="C1922" s="13">
        <v>37</v>
      </c>
      <c r="D1922" s="13">
        <v>178</v>
      </c>
      <c r="E1922" s="13" t="str">
        <f>IF(ISERROR(VLOOKUP(F1922,Magic!H:H,1,0)),IF(ISERROR(VLOOKUP(F1922,Magic!T:T,1,0)),"N","Y"),"Y")</f>
        <v>Y</v>
      </c>
      <c r="F1922" s="13">
        <v>1921</v>
      </c>
    </row>
    <row r="1923" spans="1:6" x14ac:dyDescent="0.25">
      <c r="A1923" s="16">
        <v>42948</v>
      </c>
      <c r="B1923" s="13" t="s">
        <v>24</v>
      </c>
      <c r="C1923" s="13">
        <v>43</v>
      </c>
      <c r="D1923" s="13">
        <v>660.25</v>
      </c>
      <c r="E1923" s="13" t="str">
        <f>IF(ISERROR(VLOOKUP(F1923,Magic!H:H,1,0)),IF(ISERROR(VLOOKUP(F1923,Magic!T:T,1,0)),"N","Y"),"Y")</f>
        <v>Y</v>
      </c>
      <c r="F1923" s="13">
        <v>1922</v>
      </c>
    </row>
    <row r="1924" spans="1:6" x14ac:dyDescent="0.25">
      <c r="A1924" s="16">
        <v>42948</v>
      </c>
      <c r="B1924" s="13" t="s">
        <v>25</v>
      </c>
      <c r="C1924" s="13">
        <v>44</v>
      </c>
      <c r="D1924" s="13">
        <v>274.89999999999998</v>
      </c>
      <c r="E1924" s="13" t="str">
        <f>IF(ISERROR(VLOOKUP(F1924,Magic!H:H,1,0)),IF(ISERROR(VLOOKUP(F1924,Magic!T:T,1,0)),"N","Y"),"Y")</f>
        <v>Y</v>
      </c>
      <c r="F1924" s="13">
        <v>1923</v>
      </c>
    </row>
    <row r="1925" spans="1:6" x14ac:dyDescent="0.25">
      <c r="A1925" s="16">
        <v>42949</v>
      </c>
      <c r="B1925" s="13" t="s">
        <v>29</v>
      </c>
      <c r="C1925" s="13">
        <v>35</v>
      </c>
      <c r="D1925" s="13">
        <v>505</v>
      </c>
      <c r="E1925" s="13" t="str">
        <f>IF(ISERROR(VLOOKUP(F1925,Magic!H:H,1,0)),IF(ISERROR(VLOOKUP(F1925,Magic!T:T,1,0)),"N","Y"),"Y")</f>
        <v>Y</v>
      </c>
      <c r="F1925" s="13">
        <v>1924</v>
      </c>
    </row>
    <row r="1926" spans="1:6" x14ac:dyDescent="0.25">
      <c r="A1926" s="16">
        <v>42949</v>
      </c>
      <c r="B1926" s="13" t="s">
        <v>611</v>
      </c>
      <c r="C1926" s="13">
        <v>201</v>
      </c>
      <c r="D1926" s="13">
        <v>679.85</v>
      </c>
      <c r="E1926" s="13" t="str">
        <f>IF(ISERROR(VLOOKUP(F1926,Magic!H:H,1,0)),IF(ISERROR(VLOOKUP(F1926,Magic!T:T,1,0)),"N","Y"),"Y")</f>
        <v>Y</v>
      </c>
      <c r="F1926" s="13">
        <v>1925</v>
      </c>
    </row>
    <row r="1927" spans="1:6" x14ac:dyDescent="0.25">
      <c r="A1927" s="16">
        <v>42949</v>
      </c>
      <c r="B1927" s="13" t="s">
        <v>82</v>
      </c>
      <c r="C1927" s="13">
        <v>35</v>
      </c>
      <c r="D1927" s="13">
        <v>12.4</v>
      </c>
      <c r="E1927" s="13" t="str">
        <f>IF(ISERROR(VLOOKUP(F1927,Magic!H:H,1,0)),IF(ISERROR(VLOOKUP(F1927,Magic!T:T,1,0)),"N","Y"),"Y")</f>
        <v>Y</v>
      </c>
      <c r="F1927" s="13">
        <v>1926</v>
      </c>
    </row>
    <row r="1928" spans="1:6" x14ac:dyDescent="0.25">
      <c r="A1928" s="16">
        <v>42949</v>
      </c>
      <c r="B1928" s="13" t="s">
        <v>146</v>
      </c>
      <c r="C1928" s="13">
        <v>37</v>
      </c>
      <c r="D1928" s="13">
        <v>265.85000000000002</v>
      </c>
      <c r="E1928" s="13" t="str">
        <f>IF(ISERROR(VLOOKUP(F1928,Magic!H:H,1,0)),IF(ISERROR(VLOOKUP(F1928,Magic!T:T,1,0)),"N","Y"),"Y")</f>
        <v>Y</v>
      </c>
      <c r="F1928" s="13">
        <v>1927</v>
      </c>
    </row>
    <row r="1929" spans="1:6" x14ac:dyDescent="0.25">
      <c r="A1929" s="16">
        <v>42949</v>
      </c>
      <c r="B1929" s="13" t="s">
        <v>31</v>
      </c>
      <c r="C1929" s="13">
        <v>37</v>
      </c>
      <c r="D1929" s="13">
        <v>52</v>
      </c>
      <c r="E1929" s="13" t="str">
        <f>IF(ISERROR(VLOOKUP(F1929,Magic!H:H,1,0)),IF(ISERROR(VLOOKUP(F1929,Magic!T:T,1,0)),"N","Y"),"Y")</f>
        <v>Y</v>
      </c>
      <c r="F1929" s="13">
        <v>1928</v>
      </c>
    </row>
    <row r="1930" spans="1:6" x14ac:dyDescent="0.25">
      <c r="A1930" s="16">
        <v>42949</v>
      </c>
      <c r="B1930" s="13" t="s">
        <v>81</v>
      </c>
      <c r="C1930" s="13">
        <v>41</v>
      </c>
      <c r="D1930" s="13">
        <v>505.8</v>
      </c>
      <c r="E1930" s="13" t="str">
        <f>IF(ISERROR(VLOOKUP(F1930,Magic!H:H,1,0)),IF(ISERROR(VLOOKUP(F1930,Magic!T:T,1,0)),"N","Y"),"Y")</f>
        <v>Y</v>
      </c>
      <c r="F1930" s="13">
        <v>1929</v>
      </c>
    </row>
    <row r="1931" spans="1:6" x14ac:dyDescent="0.25">
      <c r="A1931" s="16">
        <v>42949</v>
      </c>
      <c r="B1931" s="13" t="s">
        <v>81</v>
      </c>
      <c r="C1931" s="13">
        <v>41</v>
      </c>
      <c r="D1931" s="13">
        <v>583.35</v>
      </c>
      <c r="E1931" s="13" t="str">
        <f>IF(ISERROR(VLOOKUP(F1931,Magic!H:H,1,0)),IF(ISERROR(VLOOKUP(F1931,Magic!T:T,1,0)),"N","Y"),"Y")</f>
        <v>Y</v>
      </c>
      <c r="F1931" s="13">
        <v>1930</v>
      </c>
    </row>
    <row r="1932" spans="1:6" x14ac:dyDescent="0.25">
      <c r="A1932" s="16">
        <v>42949</v>
      </c>
      <c r="B1932" s="13" t="s">
        <v>24</v>
      </c>
      <c r="C1932" s="13">
        <v>43</v>
      </c>
      <c r="D1932" s="13">
        <v>722.35</v>
      </c>
      <c r="E1932" s="13" t="str">
        <f>IF(ISERROR(VLOOKUP(F1932,Magic!H:H,1,0)),IF(ISERROR(VLOOKUP(F1932,Magic!T:T,1,0)),"N","Y"),"Y")</f>
        <v>Y</v>
      </c>
      <c r="F1932" s="13">
        <v>1931</v>
      </c>
    </row>
    <row r="1933" spans="1:6" x14ac:dyDescent="0.25">
      <c r="A1933" s="16">
        <v>42949</v>
      </c>
      <c r="B1933" s="13" t="s">
        <v>25</v>
      </c>
      <c r="C1933" s="13">
        <v>44</v>
      </c>
      <c r="D1933" s="13">
        <v>268.55</v>
      </c>
      <c r="E1933" s="13" t="str">
        <f>IF(ISERROR(VLOOKUP(F1933,Magic!H:H,1,0)),IF(ISERROR(VLOOKUP(F1933,Magic!T:T,1,0)),"N","Y"),"Y")</f>
        <v>Y</v>
      </c>
      <c r="F1933" s="13">
        <v>1932</v>
      </c>
    </row>
    <row r="1934" spans="1:6" x14ac:dyDescent="0.25">
      <c r="A1934" s="16">
        <v>42950</v>
      </c>
      <c r="B1934" s="13" t="s">
        <v>29</v>
      </c>
      <c r="C1934" s="13">
        <v>35</v>
      </c>
      <c r="D1934" s="13">
        <v>1200</v>
      </c>
      <c r="E1934" s="13" t="str">
        <f>IF(ISERROR(VLOOKUP(F1934,Magic!H:H,1,0)),IF(ISERROR(VLOOKUP(F1934,Magic!T:T,1,0)),"N","Y"),"Y")</f>
        <v>Y</v>
      </c>
      <c r="F1934" s="13">
        <v>1933</v>
      </c>
    </row>
    <row r="1935" spans="1:6" x14ac:dyDescent="0.25">
      <c r="A1935" s="16">
        <v>42950</v>
      </c>
      <c r="B1935" s="13" t="s">
        <v>82</v>
      </c>
      <c r="C1935" s="13">
        <v>35</v>
      </c>
      <c r="D1935" s="13">
        <v>2.1</v>
      </c>
      <c r="E1935" s="13" t="str">
        <f>IF(ISERROR(VLOOKUP(F1935,Magic!H:H,1,0)),IF(ISERROR(VLOOKUP(F1935,Magic!T:T,1,0)),"N","Y"),"Y")</f>
        <v>Y</v>
      </c>
      <c r="F1935" s="13">
        <v>1934</v>
      </c>
    </row>
    <row r="1936" spans="1:6" x14ac:dyDescent="0.25">
      <c r="A1936" s="16">
        <v>42950</v>
      </c>
      <c r="B1936" s="13" t="s">
        <v>146</v>
      </c>
      <c r="C1936" s="13">
        <v>37</v>
      </c>
      <c r="D1936" s="13">
        <v>999.25</v>
      </c>
      <c r="E1936" s="13" t="str">
        <f>IF(ISERROR(VLOOKUP(F1936,Magic!H:H,1,0)),IF(ISERROR(VLOOKUP(F1936,Magic!T:T,1,0)),"N","Y"),"Y")</f>
        <v>Y</v>
      </c>
      <c r="F1936" s="13">
        <v>1935</v>
      </c>
    </row>
    <row r="1937" spans="1:6" x14ac:dyDescent="0.25">
      <c r="A1937" s="16">
        <v>42950</v>
      </c>
      <c r="B1937" s="13" t="s">
        <v>81</v>
      </c>
      <c r="C1937" s="13">
        <v>41</v>
      </c>
      <c r="D1937" s="13">
        <v>524.35</v>
      </c>
      <c r="E1937" s="13" t="str">
        <f>IF(ISERROR(VLOOKUP(F1937,Magic!H:H,1,0)),IF(ISERROR(VLOOKUP(F1937,Magic!T:T,1,0)),"N","Y"),"Y")</f>
        <v>Y</v>
      </c>
      <c r="F1937" s="13">
        <v>1936</v>
      </c>
    </row>
    <row r="1938" spans="1:6" x14ac:dyDescent="0.25">
      <c r="A1938" s="16">
        <v>42950</v>
      </c>
      <c r="B1938" s="13" t="s">
        <v>24</v>
      </c>
      <c r="C1938" s="13">
        <v>43</v>
      </c>
      <c r="D1938" s="13">
        <v>777.3</v>
      </c>
      <c r="E1938" s="13" t="str">
        <f>IF(ISERROR(VLOOKUP(F1938,Magic!H:H,1,0)),IF(ISERROR(VLOOKUP(F1938,Magic!T:T,1,0)),"N","Y"),"Y")</f>
        <v>Y</v>
      </c>
      <c r="F1938" s="13">
        <v>1937</v>
      </c>
    </row>
    <row r="1939" spans="1:6" x14ac:dyDescent="0.25">
      <c r="A1939" s="16">
        <v>42950</v>
      </c>
      <c r="B1939" s="13" t="s">
        <v>25</v>
      </c>
      <c r="C1939" s="13">
        <v>44</v>
      </c>
      <c r="D1939" s="13">
        <v>530.75</v>
      </c>
      <c r="E1939" s="13" t="str">
        <f>IF(ISERROR(VLOOKUP(F1939,Magic!H:H,1,0)),IF(ISERROR(VLOOKUP(F1939,Magic!T:T,1,0)),"N","Y"),"Y")</f>
        <v>Y</v>
      </c>
      <c r="F1939" s="13">
        <v>1938</v>
      </c>
    </row>
    <row r="1940" spans="1:6" x14ac:dyDescent="0.25">
      <c r="A1940" s="16">
        <v>42950</v>
      </c>
      <c r="B1940" s="13" t="s">
        <v>611</v>
      </c>
      <c r="C1940" s="13">
        <v>201</v>
      </c>
      <c r="D1940" s="13">
        <v>659.5</v>
      </c>
      <c r="E1940" s="13" t="str">
        <f>IF(ISERROR(VLOOKUP(F1940,Magic!H:H,1,0)),IF(ISERROR(VLOOKUP(F1940,Magic!T:T,1,0)),"N","Y"),"Y")</f>
        <v>Y</v>
      </c>
      <c r="F1940" s="13">
        <v>1939</v>
      </c>
    </row>
    <row r="1941" spans="1:6" x14ac:dyDescent="0.25">
      <c r="A1941" s="16">
        <v>42953</v>
      </c>
      <c r="B1941" s="13" t="s">
        <v>29</v>
      </c>
      <c r="C1941" s="13">
        <v>35</v>
      </c>
      <c r="D1941" s="13">
        <v>620</v>
      </c>
      <c r="E1941" s="13" t="str">
        <f>IF(ISERROR(VLOOKUP(F1941,Magic!H:H,1,0)),IF(ISERROR(VLOOKUP(F1941,Magic!T:T,1,0)),"N","Y"),"Y")</f>
        <v>Y</v>
      </c>
      <c r="F1941" s="13">
        <v>1940</v>
      </c>
    </row>
    <row r="1942" spans="1:6" x14ac:dyDescent="0.25">
      <c r="A1942" s="16">
        <v>42951</v>
      </c>
      <c r="B1942" s="13" t="s">
        <v>29</v>
      </c>
      <c r="C1942" s="13">
        <v>35</v>
      </c>
      <c r="D1942" s="13">
        <v>1350</v>
      </c>
      <c r="E1942" s="13" t="str">
        <f>IF(ISERROR(VLOOKUP(F1942,Magic!H:H,1,0)),IF(ISERROR(VLOOKUP(F1942,Magic!T:T,1,0)),"N","Y"),"Y")</f>
        <v>Y</v>
      </c>
      <c r="F1942" s="13">
        <v>1941</v>
      </c>
    </row>
    <row r="1943" spans="1:6" x14ac:dyDescent="0.25">
      <c r="A1943" s="16">
        <v>42951</v>
      </c>
      <c r="B1943" s="13" t="s">
        <v>82</v>
      </c>
      <c r="C1943" s="13">
        <v>35</v>
      </c>
      <c r="D1943" s="13">
        <v>7.45</v>
      </c>
      <c r="E1943" s="13" t="str">
        <f>IF(ISERROR(VLOOKUP(F1943,Magic!H:H,1,0)),IF(ISERROR(VLOOKUP(F1943,Magic!T:T,1,0)),"N","Y"),"Y")</f>
        <v>Y</v>
      </c>
      <c r="F1943" s="13">
        <v>1942</v>
      </c>
    </row>
    <row r="1944" spans="1:6" x14ac:dyDescent="0.25">
      <c r="A1944" s="16">
        <v>42951</v>
      </c>
      <c r="B1944" s="13" t="s">
        <v>31</v>
      </c>
      <c r="C1944" s="13">
        <v>37</v>
      </c>
      <c r="D1944" s="13">
        <v>699.55</v>
      </c>
      <c r="E1944" s="13" t="str">
        <f>IF(ISERROR(VLOOKUP(F1944,Magic!H:H,1,0)),IF(ISERROR(VLOOKUP(F1944,Magic!T:T,1,0)),"N","Y"),"Y")</f>
        <v>Y</v>
      </c>
      <c r="F1944" s="13">
        <v>1943</v>
      </c>
    </row>
    <row r="1945" spans="1:6" x14ac:dyDescent="0.25">
      <c r="A1945" s="16">
        <v>42951</v>
      </c>
      <c r="B1945" s="13" t="s">
        <v>25</v>
      </c>
      <c r="C1945" s="13">
        <v>44</v>
      </c>
      <c r="D1945" s="13">
        <v>337.75</v>
      </c>
      <c r="E1945" s="13" t="str">
        <f>IF(ISERROR(VLOOKUP(F1945,Magic!H:H,1,0)),IF(ISERROR(VLOOKUP(F1945,Magic!T:T,1,0)),"N","Y"),"Y")</f>
        <v>Y</v>
      </c>
      <c r="F1945" s="13">
        <v>1944</v>
      </c>
    </row>
    <row r="1946" spans="1:6" x14ac:dyDescent="0.25">
      <c r="A1946" s="16">
        <v>42951</v>
      </c>
      <c r="B1946" s="13" t="s">
        <v>611</v>
      </c>
      <c r="C1946" s="13">
        <v>201</v>
      </c>
      <c r="D1946" s="13">
        <v>774.3</v>
      </c>
      <c r="E1946" s="13" t="str">
        <f>IF(ISERROR(VLOOKUP(F1946,Magic!H:H,1,0)),IF(ISERROR(VLOOKUP(F1946,Magic!T:T,1,0)),"N","Y"),"Y")</f>
        <v>Y</v>
      </c>
      <c r="F1946" s="13">
        <v>1945</v>
      </c>
    </row>
    <row r="1947" spans="1:6" x14ac:dyDescent="0.25">
      <c r="A1947" s="16">
        <v>42951</v>
      </c>
      <c r="B1947" s="13" t="s">
        <v>1644</v>
      </c>
      <c r="C1947" s="13">
        <v>41</v>
      </c>
      <c r="D1947" s="13">
        <v>885.25</v>
      </c>
      <c r="E1947" s="13" t="str">
        <f>IF(ISERROR(VLOOKUP(F1947,Magic!H:H,1,0)),IF(ISERROR(VLOOKUP(F1947,Magic!T:T,1,0)),"N","Y"),"Y")</f>
        <v>Y</v>
      </c>
      <c r="F1947" s="13">
        <v>1946</v>
      </c>
    </row>
    <row r="1948" spans="1:6" x14ac:dyDescent="0.25">
      <c r="A1948" s="16">
        <v>42952</v>
      </c>
      <c r="B1948" s="13" t="s">
        <v>29</v>
      </c>
      <c r="C1948" s="13">
        <v>35</v>
      </c>
      <c r="D1948" s="13">
        <v>1030</v>
      </c>
      <c r="E1948" s="13" t="str">
        <f>IF(ISERROR(VLOOKUP(F1948,Magic!H:H,1,0)),IF(ISERROR(VLOOKUP(F1948,Magic!T:T,1,0)),"N","Y"),"Y")</f>
        <v>Y</v>
      </c>
      <c r="F1948" s="13">
        <v>1947</v>
      </c>
    </row>
    <row r="1949" spans="1:6" x14ac:dyDescent="0.25">
      <c r="A1949" s="16">
        <v>42952</v>
      </c>
      <c r="B1949" s="13" t="s">
        <v>28</v>
      </c>
      <c r="C1949" s="13">
        <v>103</v>
      </c>
      <c r="D1949" s="13">
        <v>1526.65</v>
      </c>
      <c r="E1949" s="13" t="str">
        <f>IF(ISERROR(VLOOKUP(F1949,Magic!H:H,1,0)),IF(ISERROR(VLOOKUP(F1949,Magic!T:T,1,0)),"N","Y"),"Y")</f>
        <v>Y</v>
      </c>
      <c r="F1949" s="13">
        <v>1948</v>
      </c>
    </row>
    <row r="1950" spans="1:6" x14ac:dyDescent="0.25">
      <c r="A1950" s="16">
        <v>42952</v>
      </c>
      <c r="B1950" s="13" t="s">
        <v>28</v>
      </c>
      <c r="C1950" s="13">
        <v>103</v>
      </c>
      <c r="D1950" s="13">
        <v>1008.4</v>
      </c>
      <c r="E1950" s="13" t="str">
        <f>IF(ISERROR(VLOOKUP(F1950,Magic!H:H,1,0)),IF(ISERROR(VLOOKUP(F1950,Magic!T:T,1,0)),"N","Y"),"Y")</f>
        <v>Y</v>
      </c>
      <c r="F1950" s="13">
        <v>1949</v>
      </c>
    </row>
    <row r="1951" spans="1:6" x14ac:dyDescent="0.25">
      <c r="A1951" s="16">
        <v>42956</v>
      </c>
      <c r="B1951" s="13" t="s">
        <v>29</v>
      </c>
      <c r="C1951" s="13">
        <v>35</v>
      </c>
      <c r="D1951" s="13">
        <v>650</v>
      </c>
      <c r="E1951" s="13" t="str">
        <f>IF(ISERROR(VLOOKUP(F1951,Magic!H:H,1,0)),IF(ISERROR(VLOOKUP(F1951,Magic!T:T,1,0)),"N","Y"),"Y")</f>
        <v>Y</v>
      </c>
      <c r="F1951" s="13">
        <v>1950</v>
      </c>
    </row>
    <row r="1952" spans="1:6" x14ac:dyDescent="0.25">
      <c r="A1952" s="16">
        <v>42955</v>
      </c>
      <c r="B1952" s="13" t="s">
        <v>29</v>
      </c>
      <c r="C1952" s="13">
        <v>35</v>
      </c>
      <c r="D1952" s="13">
        <v>700</v>
      </c>
      <c r="E1952" s="13" t="str">
        <f>IF(ISERROR(VLOOKUP(F1952,Magic!H:H,1,0)),IF(ISERROR(VLOOKUP(F1952,Magic!T:T,1,0)),"N","Y"),"Y")</f>
        <v>Y</v>
      </c>
      <c r="F1952" s="13">
        <v>1951</v>
      </c>
    </row>
    <row r="1953" spans="1:6" x14ac:dyDescent="0.25">
      <c r="A1953" s="16">
        <v>42955</v>
      </c>
      <c r="B1953" s="13" t="s">
        <v>146</v>
      </c>
      <c r="C1953" s="13">
        <v>37</v>
      </c>
      <c r="D1953" s="13">
        <v>50</v>
      </c>
      <c r="E1953" s="13" t="str">
        <f>IF(ISERROR(VLOOKUP(F1953,Magic!H:H,1,0)),IF(ISERROR(VLOOKUP(F1953,Magic!T:T,1,0)),"N","Y"),"Y")</f>
        <v>Y</v>
      </c>
      <c r="F1953" s="13">
        <v>1952</v>
      </c>
    </row>
    <row r="1954" spans="1:6" x14ac:dyDescent="0.25">
      <c r="A1954" s="16">
        <v>42955</v>
      </c>
      <c r="B1954" s="13" t="s">
        <v>146</v>
      </c>
      <c r="C1954" s="13">
        <v>37</v>
      </c>
      <c r="D1954" s="13">
        <v>400</v>
      </c>
      <c r="E1954" s="13" t="str">
        <f>IF(ISERROR(VLOOKUP(F1954,Magic!H:H,1,0)),IF(ISERROR(VLOOKUP(F1954,Magic!T:T,1,0)),"N","Y"),"Y")</f>
        <v>Y</v>
      </c>
      <c r="F1954" s="13">
        <v>1953</v>
      </c>
    </row>
    <row r="1955" spans="1:6" x14ac:dyDescent="0.25">
      <c r="A1955" s="16">
        <v>42955</v>
      </c>
      <c r="B1955" s="13" t="s">
        <v>81</v>
      </c>
      <c r="C1955" s="13">
        <v>41</v>
      </c>
      <c r="D1955" s="13">
        <v>788.85</v>
      </c>
      <c r="E1955" s="13" t="str">
        <f>IF(ISERROR(VLOOKUP(F1955,Magic!H:H,1,0)),IF(ISERROR(VLOOKUP(F1955,Magic!T:T,1,0)),"N","Y"),"Y")</f>
        <v>Y</v>
      </c>
      <c r="F1955" s="13">
        <v>1955</v>
      </c>
    </row>
    <row r="1956" spans="1:6" x14ac:dyDescent="0.25">
      <c r="A1956" s="16">
        <v>42956</v>
      </c>
      <c r="B1956" s="13" t="s">
        <v>82</v>
      </c>
      <c r="C1956" s="13">
        <v>35</v>
      </c>
      <c r="D1956" s="13">
        <v>2.6</v>
      </c>
      <c r="E1956" s="13" t="str">
        <f>IF(ISERROR(VLOOKUP(F1956,Magic!H:H,1,0)),IF(ISERROR(VLOOKUP(F1956,Magic!T:T,1,0)),"N","Y"),"Y")</f>
        <v>Y</v>
      </c>
      <c r="F1956" s="13">
        <v>1956</v>
      </c>
    </row>
    <row r="1957" spans="1:6" x14ac:dyDescent="0.25">
      <c r="A1957" s="16">
        <v>42956</v>
      </c>
      <c r="B1957" s="13" t="s">
        <v>82</v>
      </c>
      <c r="C1957" s="13">
        <v>35</v>
      </c>
      <c r="D1957" s="13">
        <v>10.5</v>
      </c>
      <c r="E1957" s="13" t="str">
        <f>IF(ISERROR(VLOOKUP(F1957,Magic!H:H,1,0)),IF(ISERROR(VLOOKUP(F1957,Magic!T:T,1,0)),"N","Y"),"Y")</f>
        <v>Y</v>
      </c>
      <c r="F1957" s="13">
        <v>1957</v>
      </c>
    </row>
    <row r="1958" spans="1:6" x14ac:dyDescent="0.25">
      <c r="A1958" s="16">
        <v>42956</v>
      </c>
      <c r="B1958" s="13" t="s">
        <v>146</v>
      </c>
      <c r="C1958" s="13">
        <v>37</v>
      </c>
      <c r="D1958" s="13">
        <v>415</v>
      </c>
      <c r="E1958" s="13" t="str">
        <f>IF(ISERROR(VLOOKUP(F1958,Magic!H:H,1,0)),IF(ISERROR(VLOOKUP(F1958,Magic!T:T,1,0)),"N","Y"),"Y")</f>
        <v>Y</v>
      </c>
      <c r="F1958" s="13">
        <v>1958</v>
      </c>
    </row>
    <row r="1959" spans="1:6" x14ac:dyDescent="0.25">
      <c r="A1959" s="16">
        <v>42956</v>
      </c>
      <c r="B1959" s="13" t="s">
        <v>24</v>
      </c>
      <c r="C1959" s="13">
        <v>43</v>
      </c>
      <c r="D1959" s="13">
        <v>847.9</v>
      </c>
      <c r="E1959" s="13" t="str">
        <f>IF(ISERROR(VLOOKUP(F1959,Magic!H:H,1,0)),IF(ISERROR(VLOOKUP(F1959,Magic!T:T,1,0)),"N","Y"),"Y")</f>
        <v>Y</v>
      </c>
      <c r="F1959" s="13">
        <v>1959</v>
      </c>
    </row>
    <row r="1960" spans="1:6" x14ac:dyDescent="0.25">
      <c r="A1960" s="16">
        <v>42956</v>
      </c>
      <c r="B1960" s="13" t="s">
        <v>25</v>
      </c>
      <c r="C1960" s="13">
        <v>44</v>
      </c>
      <c r="D1960" s="13">
        <v>398.8</v>
      </c>
      <c r="E1960" s="13" t="str">
        <f>IF(ISERROR(VLOOKUP(F1960,Magic!H:H,1,0)),IF(ISERROR(VLOOKUP(F1960,Magic!T:T,1,0)),"N","Y"),"Y")</f>
        <v>Y</v>
      </c>
      <c r="F1960" s="13">
        <v>1960</v>
      </c>
    </row>
    <row r="1961" spans="1:6" x14ac:dyDescent="0.25">
      <c r="A1961" s="16">
        <v>42956</v>
      </c>
      <c r="B1961" s="13" t="s">
        <v>25</v>
      </c>
      <c r="C1961" s="13">
        <v>44</v>
      </c>
      <c r="D1961" s="13">
        <v>456.8</v>
      </c>
      <c r="E1961" s="13" t="str">
        <f>IF(ISERROR(VLOOKUP(F1961,Magic!H:H,1,0)),IF(ISERROR(VLOOKUP(F1961,Magic!T:T,1,0)),"N","Y"),"Y")</f>
        <v>Y</v>
      </c>
      <c r="F1961" s="13">
        <v>1961</v>
      </c>
    </row>
    <row r="1962" spans="1:6" x14ac:dyDescent="0.25">
      <c r="A1962" s="16">
        <v>42956</v>
      </c>
      <c r="B1962" s="13" t="s">
        <v>28</v>
      </c>
      <c r="C1962" s="13">
        <v>103</v>
      </c>
      <c r="D1962" s="13">
        <v>1236.3</v>
      </c>
      <c r="E1962" s="13" t="str">
        <f>IF(ISERROR(VLOOKUP(F1962,Magic!H:H,1,0)),IF(ISERROR(VLOOKUP(F1962,Magic!T:T,1,0)),"N","Y"),"Y")</f>
        <v>Y</v>
      </c>
      <c r="F1962" s="13">
        <v>1962</v>
      </c>
    </row>
    <row r="1963" spans="1:6" x14ac:dyDescent="0.25">
      <c r="A1963" s="16">
        <v>42956</v>
      </c>
      <c r="B1963" s="13" t="s">
        <v>394</v>
      </c>
      <c r="C1963" s="13">
        <v>43</v>
      </c>
      <c r="D1963" s="13">
        <v>1202.8499999999999</v>
      </c>
      <c r="E1963" s="13" t="str">
        <f>IF(ISERROR(VLOOKUP(F1963,Magic!H:H,1,0)),IF(ISERROR(VLOOKUP(F1963,Magic!T:T,1,0)),"N","Y"),"Y")</f>
        <v>Y</v>
      </c>
      <c r="F1963" s="13">
        <v>1963</v>
      </c>
    </row>
    <row r="1964" spans="1:6" x14ac:dyDescent="0.25">
      <c r="A1964" s="16">
        <v>42956</v>
      </c>
      <c r="B1964" s="13" t="s">
        <v>1644</v>
      </c>
      <c r="C1964" s="13">
        <v>41</v>
      </c>
      <c r="D1964" s="13">
        <v>374.9</v>
      </c>
      <c r="E1964" s="13" t="str">
        <f>IF(ISERROR(VLOOKUP(F1964,Magic!H:H,1,0)),IF(ISERROR(VLOOKUP(F1964,Magic!T:T,1,0)),"N","Y"),"Y")</f>
        <v>Y</v>
      </c>
      <c r="F1964" s="13">
        <v>1964</v>
      </c>
    </row>
    <row r="1965" spans="1:6" x14ac:dyDescent="0.25">
      <c r="A1965" s="16">
        <v>42954</v>
      </c>
      <c r="B1965" s="13" t="s">
        <v>29</v>
      </c>
      <c r="C1965" s="13">
        <v>35</v>
      </c>
      <c r="D1965" s="13">
        <v>920</v>
      </c>
      <c r="E1965" s="13" t="str">
        <f>IF(ISERROR(VLOOKUP(F1965,Magic!H:H,1,0)),IF(ISERROR(VLOOKUP(F1965,Magic!T:T,1,0)),"N","Y"),"Y")</f>
        <v>Y</v>
      </c>
      <c r="F1965" s="13">
        <v>1965</v>
      </c>
    </row>
    <row r="1966" spans="1:6" x14ac:dyDescent="0.25">
      <c r="A1966" s="16">
        <v>42954</v>
      </c>
      <c r="B1966" s="13" t="s">
        <v>57</v>
      </c>
      <c r="C1966" s="13">
        <v>35</v>
      </c>
      <c r="D1966" s="13">
        <v>16.75</v>
      </c>
      <c r="E1966" s="13" t="str">
        <f>IF(ISERROR(VLOOKUP(F1966,Magic!H:H,1,0)),IF(ISERROR(VLOOKUP(F1966,Magic!T:T,1,0)),"N","Y"),"Y")</f>
        <v>Y</v>
      </c>
      <c r="F1966" s="13">
        <v>1966</v>
      </c>
    </row>
    <row r="1967" spans="1:6" x14ac:dyDescent="0.25">
      <c r="A1967" s="16">
        <v>42954</v>
      </c>
      <c r="B1967" s="13" t="s">
        <v>82</v>
      </c>
      <c r="C1967" s="13">
        <v>35</v>
      </c>
      <c r="D1967" s="13">
        <v>0.9</v>
      </c>
      <c r="E1967" s="13" t="str">
        <f>IF(ISERROR(VLOOKUP(F1967,Magic!H:H,1,0)),IF(ISERROR(VLOOKUP(F1967,Magic!T:T,1,0)),"N","Y"),"Y")</f>
        <v>Y</v>
      </c>
      <c r="F1967" s="13">
        <v>1967</v>
      </c>
    </row>
    <row r="1968" spans="1:6" x14ac:dyDescent="0.25">
      <c r="A1968" s="16">
        <v>42954</v>
      </c>
      <c r="B1968" s="13" t="s">
        <v>82</v>
      </c>
      <c r="C1968" s="13">
        <v>35</v>
      </c>
      <c r="D1968" s="13">
        <v>32.85</v>
      </c>
      <c r="E1968" s="13" t="str">
        <f>IF(ISERROR(VLOOKUP(F1968,Magic!H:H,1,0)),IF(ISERROR(VLOOKUP(F1968,Magic!T:T,1,0)),"N","Y"),"Y")</f>
        <v>Y</v>
      </c>
      <c r="F1968" s="13">
        <v>1968</v>
      </c>
    </row>
    <row r="1969" spans="1:6" x14ac:dyDescent="0.25">
      <c r="A1969" s="16">
        <v>42954</v>
      </c>
      <c r="B1969" s="13" t="s">
        <v>25</v>
      </c>
      <c r="C1969" s="13">
        <v>44</v>
      </c>
      <c r="D1969" s="13">
        <v>592.70000000000005</v>
      </c>
      <c r="E1969" s="13" t="str">
        <f>IF(ISERROR(VLOOKUP(F1969,Magic!H:H,1,0)),IF(ISERROR(VLOOKUP(F1969,Magic!T:T,1,0)),"N","Y"),"Y")</f>
        <v>Y</v>
      </c>
      <c r="F1969" s="13">
        <v>1971</v>
      </c>
    </row>
    <row r="1970" spans="1:6" x14ac:dyDescent="0.25">
      <c r="A1970" s="16">
        <v>42954</v>
      </c>
      <c r="B1970" s="13" t="s">
        <v>25</v>
      </c>
      <c r="C1970" s="13">
        <v>44</v>
      </c>
      <c r="D1970" s="13">
        <v>737.95</v>
      </c>
      <c r="E1970" s="13" t="str">
        <f>IF(ISERROR(VLOOKUP(F1970,Magic!H:H,1,0)),IF(ISERROR(VLOOKUP(F1970,Magic!T:T,1,0)),"N","Y"),"Y")</f>
        <v>Y</v>
      </c>
      <c r="F1970" s="13">
        <v>1972</v>
      </c>
    </row>
    <row r="1971" spans="1:6" x14ac:dyDescent="0.25">
      <c r="A1971" s="16">
        <v>42954</v>
      </c>
      <c r="B1971" s="13" t="s">
        <v>25</v>
      </c>
      <c r="C1971" s="13">
        <v>44</v>
      </c>
      <c r="D1971" s="13">
        <v>252.1</v>
      </c>
      <c r="E1971" s="13" t="str">
        <f>IF(ISERROR(VLOOKUP(F1971,Magic!H:H,1,0)),IF(ISERROR(VLOOKUP(F1971,Magic!T:T,1,0)),"N","Y"),"Y")</f>
        <v>Y</v>
      </c>
      <c r="F1971" s="13">
        <v>1973</v>
      </c>
    </row>
    <row r="1972" spans="1:6" x14ac:dyDescent="0.25">
      <c r="A1972" s="16">
        <v>42954</v>
      </c>
      <c r="B1972" s="13" t="s">
        <v>611</v>
      </c>
      <c r="C1972" s="13">
        <v>201</v>
      </c>
      <c r="D1972" s="13">
        <v>1500</v>
      </c>
      <c r="E1972" s="13" t="str">
        <f>IF(ISERROR(VLOOKUP(F1972,Magic!H:H,1,0)),IF(ISERROR(VLOOKUP(F1972,Magic!T:T,1,0)),"N","Y"),"Y")</f>
        <v>Y</v>
      </c>
      <c r="F1972" s="13">
        <v>1974</v>
      </c>
    </row>
    <row r="1973" spans="1:6" x14ac:dyDescent="0.25">
      <c r="A1973" s="16">
        <v>42954</v>
      </c>
      <c r="B1973" s="13" t="s">
        <v>611</v>
      </c>
      <c r="C1973" s="13">
        <v>201</v>
      </c>
      <c r="D1973" s="13">
        <v>1110</v>
      </c>
      <c r="E1973" s="13" t="str">
        <f>IF(ISERROR(VLOOKUP(F1973,Magic!H:H,1,0)),IF(ISERROR(VLOOKUP(F1973,Magic!T:T,1,0)),"N","Y"),"Y")</f>
        <v>Y</v>
      </c>
      <c r="F1973" s="13">
        <v>1975</v>
      </c>
    </row>
    <row r="1974" spans="1:6" x14ac:dyDescent="0.25">
      <c r="A1974" s="16">
        <v>42954</v>
      </c>
      <c r="B1974" s="13" t="s">
        <v>611</v>
      </c>
      <c r="C1974" s="13">
        <v>201</v>
      </c>
      <c r="D1974" s="13">
        <v>490</v>
      </c>
      <c r="E1974" s="13" t="str">
        <f>IF(ISERROR(VLOOKUP(F1974,Magic!H:H,1,0)),IF(ISERROR(VLOOKUP(F1974,Magic!T:T,1,0)),"N","Y"),"Y")</f>
        <v>Y</v>
      </c>
      <c r="F1974" s="13">
        <v>1976</v>
      </c>
    </row>
    <row r="1975" spans="1:6" x14ac:dyDescent="0.25">
      <c r="A1975" s="16">
        <v>42955</v>
      </c>
      <c r="B1975" s="13" t="s">
        <v>146</v>
      </c>
      <c r="C1975" s="13">
        <v>37</v>
      </c>
      <c r="D1975" s="13">
        <v>35.200000000000003</v>
      </c>
      <c r="E1975" s="13" t="s">
        <v>71</v>
      </c>
      <c r="F1975" s="13">
        <v>1954</v>
      </c>
    </row>
    <row r="1976" spans="1:6" x14ac:dyDescent="0.25">
      <c r="A1976" s="16">
        <v>42954</v>
      </c>
      <c r="B1976" s="13" t="s">
        <v>146</v>
      </c>
      <c r="C1976" s="13">
        <v>37</v>
      </c>
      <c r="D1976" s="13">
        <v>1142.45</v>
      </c>
      <c r="E1976" s="13" t="s">
        <v>71</v>
      </c>
      <c r="F1976" s="13">
        <v>1969</v>
      </c>
    </row>
    <row r="1977" spans="1:6" x14ac:dyDescent="0.25">
      <c r="A1977" s="16">
        <v>42954</v>
      </c>
      <c r="B1977" s="13" t="s">
        <v>146</v>
      </c>
      <c r="C1977" s="13">
        <v>37</v>
      </c>
      <c r="D1977" s="13">
        <v>1104.5</v>
      </c>
      <c r="E1977" s="13" t="s">
        <v>71</v>
      </c>
      <c r="F1977" s="13">
        <v>1970</v>
      </c>
    </row>
    <row r="1978" spans="1:6" x14ac:dyDescent="0.25">
      <c r="A1978" s="16">
        <v>42954</v>
      </c>
      <c r="B1978" s="13" t="s">
        <v>146</v>
      </c>
      <c r="C1978" s="13">
        <v>37</v>
      </c>
      <c r="D1978" s="13">
        <v>950</v>
      </c>
      <c r="E1978" s="13" t="str">
        <f>IF(ISERROR(VLOOKUP(F1978,Magic!H:H,1,0)),IF(ISERROR(VLOOKUP(F1978,Magic!T:T,1,0)),"N","Y"),"Y")</f>
        <v>Y</v>
      </c>
      <c r="F1978" s="13">
        <v>1977</v>
      </c>
    </row>
    <row r="1979" spans="1:6" x14ac:dyDescent="0.25">
      <c r="A1979" s="16">
        <v>42954</v>
      </c>
      <c r="B1979" s="13" t="s">
        <v>146</v>
      </c>
      <c r="C1979" s="13">
        <v>37</v>
      </c>
      <c r="D1979" s="13">
        <v>896.7</v>
      </c>
      <c r="E1979" s="13" t="str">
        <f>IF(ISERROR(VLOOKUP(F1979,Magic!H:H,1,0)),IF(ISERROR(VLOOKUP(F1979,Magic!T:T,1,0)),"N","Y"),"Y")</f>
        <v>Y</v>
      </c>
      <c r="F1979" s="13">
        <v>1978</v>
      </c>
    </row>
    <row r="1980" spans="1:6" x14ac:dyDescent="0.25">
      <c r="A1980" s="16">
        <v>42954</v>
      </c>
      <c r="B1980" s="13" t="s">
        <v>146</v>
      </c>
      <c r="C1980" s="13">
        <v>37</v>
      </c>
      <c r="D1980" s="13">
        <v>439.95</v>
      </c>
      <c r="E1980" s="13" t="str">
        <f>IF(ISERROR(VLOOKUP(F1980,Magic!H:H,1,0)),IF(ISERROR(VLOOKUP(F1980,Magic!T:T,1,0)),"N","Y"),"Y")</f>
        <v>Y</v>
      </c>
      <c r="F1980" s="13">
        <v>1979</v>
      </c>
    </row>
    <row r="1981" spans="1:6" x14ac:dyDescent="0.25">
      <c r="A1981" s="16">
        <v>42957</v>
      </c>
      <c r="B1981" s="13" t="s">
        <v>82</v>
      </c>
      <c r="C1981" s="13">
        <v>35</v>
      </c>
      <c r="D1981" s="13">
        <v>1.75</v>
      </c>
      <c r="E1981" s="13" t="str">
        <f>IF(ISERROR(VLOOKUP(F1981,Magic!H:H,1,0)),IF(ISERROR(VLOOKUP(F1981,Magic!T:T,1,0)),"N","Y"),"Y")</f>
        <v>Y</v>
      </c>
      <c r="F1981" s="13">
        <v>1980</v>
      </c>
    </row>
    <row r="1982" spans="1:6" x14ac:dyDescent="0.25">
      <c r="A1982" s="16">
        <v>42957</v>
      </c>
      <c r="B1982" s="13" t="s">
        <v>146</v>
      </c>
      <c r="C1982" s="13">
        <v>37</v>
      </c>
      <c r="D1982" s="13">
        <v>705</v>
      </c>
      <c r="E1982" s="13" t="str">
        <f>IF(ISERROR(VLOOKUP(F1982,Magic!H:H,1,0)),IF(ISERROR(VLOOKUP(F1982,Magic!T:T,1,0)),"N","Y"),"Y")</f>
        <v>Y</v>
      </c>
      <c r="F1982" s="13">
        <v>1981</v>
      </c>
    </row>
    <row r="1983" spans="1:6" x14ac:dyDescent="0.25">
      <c r="A1983" s="16">
        <v>42957</v>
      </c>
      <c r="B1983" s="13" t="s">
        <v>25</v>
      </c>
      <c r="C1983" s="13">
        <v>44</v>
      </c>
      <c r="D1983" s="13">
        <v>428.85</v>
      </c>
      <c r="E1983" s="13" t="str">
        <f>IF(ISERROR(VLOOKUP(F1983,Magic!H:H,1,0)),IF(ISERROR(VLOOKUP(F1983,Magic!T:T,1,0)),"N","Y"),"Y")</f>
        <v>Y</v>
      </c>
      <c r="F1983" s="13">
        <v>1982</v>
      </c>
    </row>
    <row r="1984" spans="1:6" x14ac:dyDescent="0.25">
      <c r="A1984" s="16">
        <v>42957</v>
      </c>
      <c r="B1984" s="13" t="s">
        <v>611</v>
      </c>
      <c r="C1984" s="13">
        <v>201</v>
      </c>
      <c r="D1984" s="13">
        <v>680</v>
      </c>
      <c r="E1984" s="13" t="str">
        <f>IF(ISERROR(VLOOKUP(F1984,Magic!H:H,1,0)),IF(ISERROR(VLOOKUP(F1984,Magic!T:T,1,0)),"N","Y"),"Y")</f>
        <v>Y</v>
      </c>
      <c r="F1984" s="13">
        <v>1983</v>
      </c>
    </row>
    <row r="1985" spans="1:6" x14ac:dyDescent="0.25">
      <c r="A1985" s="16">
        <v>42955</v>
      </c>
      <c r="B1985" s="13" t="s">
        <v>611</v>
      </c>
      <c r="C1985" s="13">
        <v>201</v>
      </c>
      <c r="D1985" s="13">
        <v>737.95</v>
      </c>
      <c r="E1985" s="13" t="str">
        <f>IF(ISERROR(VLOOKUP(F1985,Magic!H:H,1,0)),IF(ISERROR(VLOOKUP(F1985,Magic!T:T,1,0)),"N","Y"),"Y")</f>
        <v>Y</v>
      </c>
      <c r="F1985" s="13">
        <v>1984</v>
      </c>
    </row>
    <row r="1986" spans="1:6" x14ac:dyDescent="0.25">
      <c r="A1986" s="16">
        <v>42956</v>
      </c>
      <c r="B1986" s="13" t="s">
        <v>611</v>
      </c>
      <c r="C1986" s="13">
        <v>201</v>
      </c>
      <c r="D1986" s="13">
        <v>507.95</v>
      </c>
      <c r="E1986" s="13" t="str">
        <f>IF(ISERROR(VLOOKUP(F1986,Magic!H:H,1,0)),IF(ISERROR(VLOOKUP(F1986,Magic!T:T,1,0)),"N","Y"),"Y")</f>
        <v>Y</v>
      </c>
      <c r="F1986" s="13">
        <v>1985</v>
      </c>
    </row>
    <row r="1987" spans="1:6" x14ac:dyDescent="0.25">
      <c r="A1987" s="16">
        <v>42960</v>
      </c>
      <c r="B1987" s="13" t="s">
        <v>29</v>
      </c>
      <c r="C1987" s="13">
        <v>35</v>
      </c>
      <c r="D1987" s="13">
        <v>360</v>
      </c>
      <c r="E1987" s="13" t="str">
        <f>IF(ISERROR(VLOOKUP(F1987,Magic!H:H,1,0)),IF(ISERROR(VLOOKUP(F1987,Magic!T:T,1,0)),"N","Y"),"Y")</f>
        <v>Y</v>
      </c>
      <c r="F1987" s="13">
        <v>1986</v>
      </c>
    </row>
    <row r="1988" spans="1:6" x14ac:dyDescent="0.25">
      <c r="A1988" s="16">
        <v>42958</v>
      </c>
      <c r="B1988" s="13" t="s">
        <v>82</v>
      </c>
      <c r="C1988" s="13">
        <v>35</v>
      </c>
      <c r="D1988" s="13">
        <v>1142.25</v>
      </c>
      <c r="E1988" s="13" t="str">
        <f>IF(ISERROR(VLOOKUP(F1988,Magic!H:H,1,0)),IF(ISERROR(VLOOKUP(F1988,Magic!T:T,1,0)),"N","Y"),"Y")</f>
        <v>Y</v>
      </c>
      <c r="F1988" s="13">
        <v>1987</v>
      </c>
    </row>
    <row r="1989" spans="1:6" x14ac:dyDescent="0.25">
      <c r="A1989" s="16">
        <v>42958</v>
      </c>
      <c r="B1989" s="13" t="s">
        <v>146</v>
      </c>
      <c r="C1989" s="13">
        <v>37</v>
      </c>
      <c r="D1989" s="13">
        <v>583.75</v>
      </c>
      <c r="E1989" s="13" t="str">
        <f>IF(ISERROR(VLOOKUP(F1989,Magic!H:H,1,0)),IF(ISERROR(VLOOKUP(F1989,Magic!T:T,1,0)),"N","Y"),"Y")</f>
        <v>Y</v>
      </c>
      <c r="F1989" s="13">
        <v>1988</v>
      </c>
    </row>
    <row r="1990" spans="1:6" x14ac:dyDescent="0.25">
      <c r="A1990" s="16">
        <v>42958</v>
      </c>
      <c r="B1990" s="13" t="s">
        <v>24</v>
      </c>
      <c r="C1990" s="13">
        <v>43</v>
      </c>
      <c r="D1990" s="13">
        <v>1203.4000000000001</v>
      </c>
      <c r="E1990" s="13" t="str">
        <f>IF(ISERROR(VLOOKUP(F1990,Magic!H:H,1,0)),IF(ISERROR(VLOOKUP(F1990,Magic!T:T,1,0)),"N","Y"),"Y")</f>
        <v>Y</v>
      </c>
      <c r="F1990" s="13">
        <v>1989</v>
      </c>
    </row>
    <row r="1991" spans="1:6" x14ac:dyDescent="0.25">
      <c r="A1991" s="16">
        <v>42958</v>
      </c>
      <c r="B1991" s="13" t="s">
        <v>25</v>
      </c>
      <c r="C1991" s="13">
        <v>44</v>
      </c>
      <c r="D1991" s="13">
        <v>303</v>
      </c>
      <c r="E1991" s="13" t="str">
        <f>IF(ISERROR(VLOOKUP(F1991,Magic!H:H,1,0)),IF(ISERROR(VLOOKUP(F1991,Magic!T:T,1,0)),"N","Y"),"Y")</f>
        <v>Y</v>
      </c>
      <c r="F1991" s="13">
        <v>1990</v>
      </c>
    </row>
    <row r="1992" spans="1:6" x14ac:dyDescent="0.25">
      <c r="A1992" s="16">
        <v>42958</v>
      </c>
      <c r="B1992" s="13" t="s">
        <v>611</v>
      </c>
      <c r="C1992" s="13">
        <v>201</v>
      </c>
      <c r="D1992" s="13">
        <v>695.9</v>
      </c>
      <c r="E1992" s="13" t="str">
        <f>IF(ISERROR(VLOOKUP(F1992,Magic!H:H,1,0)),IF(ISERROR(VLOOKUP(F1992,Magic!T:T,1,0)),"N","Y"),"Y")</f>
        <v>Y</v>
      </c>
      <c r="F1992" s="13">
        <v>1991</v>
      </c>
    </row>
    <row r="1993" spans="1:6" x14ac:dyDescent="0.25">
      <c r="A1993" s="16">
        <v>42958</v>
      </c>
      <c r="B1993" s="13" t="s">
        <v>1644</v>
      </c>
      <c r="C1993" s="13">
        <v>41</v>
      </c>
      <c r="D1993" s="13">
        <v>350.95</v>
      </c>
      <c r="E1993" s="13" t="str">
        <f>IF(ISERROR(VLOOKUP(F1993,Magic!H:H,1,0)),IF(ISERROR(VLOOKUP(F1993,Magic!T:T,1,0)),"N","Y"),"Y")</f>
        <v>Y</v>
      </c>
      <c r="F1993" s="13">
        <v>1992</v>
      </c>
    </row>
    <row r="1994" spans="1:6" x14ac:dyDescent="0.25">
      <c r="A1994" s="16">
        <v>42958</v>
      </c>
      <c r="B1994" s="13" t="s">
        <v>1644</v>
      </c>
      <c r="C1994" s="13">
        <v>41</v>
      </c>
      <c r="D1994" s="13">
        <v>1118.3</v>
      </c>
      <c r="E1994" s="13" t="str">
        <f>IF(ISERROR(VLOOKUP(F1994,Magic!H:H,1,0)),IF(ISERROR(VLOOKUP(F1994,Magic!T:T,1,0)),"N","Y"),"Y")</f>
        <v>Y</v>
      </c>
      <c r="F1994" s="13">
        <v>1993</v>
      </c>
    </row>
    <row r="1995" spans="1:6" x14ac:dyDescent="0.25">
      <c r="A1995" s="16">
        <v>42959</v>
      </c>
      <c r="B1995" s="13" t="s">
        <v>28</v>
      </c>
      <c r="C1995" s="13">
        <v>103</v>
      </c>
      <c r="D1995" s="13">
        <v>547.9</v>
      </c>
      <c r="E1995" s="13" t="str">
        <f>IF(ISERROR(VLOOKUP(F1995,Magic!H:H,1,0)),IF(ISERROR(VLOOKUP(F1995,Magic!T:T,1,0)),"N","Y"),"Y")</f>
        <v>Y</v>
      </c>
      <c r="F1995" s="13">
        <v>1994</v>
      </c>
    </row>
    <row r="1996" spans="1:6" x14ac:dyDescent="0.25">
      <c r="A1996" s="16">
        <v>42961</v>
      </c>
      <c r="B1996" s="13" t="s">
        <v>29</v>
      </c>
      <c r="C1996" s="13">
        <v>35</v>
      </c>
      <c r="D1996" s="13">
        <v>370</v>
      </c>
      <c r="E1996" s="13" t="str">
        <f>IF(ISERROR(VLOOKUP(F1996,Magic!H:H,1,0)),IF(ISERROR(VLOOKUP(F1996,Magic!T:T,1,0)),"N","Y"),"Y")</f>
        <v>Y</v>
      </c>
      <c r="F1996" s="13">
        <v>1995</v>
      </c>
    </row>
    <row r="1997" spans="1:6" x14ac:dyDescent="0.25">
      <c r="A1997" s="16">
        <v>42961</v>
      </c>
      <c r="B1997" s="13" t="s">
        <v>82</v>
      </c>
      <c r="C1997" s="13">
        <v>35</v>
      </c>
      <c r="D1997" s="13">
        <v>3.8</v>
      </c>
      <c r="E1997" s="13" t="str">
        <f>IF(ISERROR(VLOOKUP(F1997,Magic!H:H,1,0)),IF(ISERROR(VLOOKUP(F1997,Magic!T:T,1,0)),"N","Y"),"Y")</f>
        <v>Y</v>
      </c>
      <c r="F1997" s="13">
        <v>1996</v>
      </c>
    </row>
    <row r="1998" spans="1:6" x14ac:dyDescent="0.25">
      <c r="A1998" s="16">
        <v>42961</v>
      </c>
      <c r="B1998" s="13" t="s">
        <v>82</v>
      </c>
      <c r="C1998" s="13">
        <v>35</v>
      </c>
      <c r="D1998" s="13">
        <v>1013.7</v>
      </c>
      <c r="E1998" s="13" t="str">
        <f>IF(ISERROR(VLOOKUP(F1998,Magic!H:H,1,0)),IF(ISERROR(VLOOKUP(F1998,Magic!T:T,1,0)),"N","Y"),"Y")</f>
        <v>Y</v>
      </c>
      <c r="F1998" s="13">
        <v>1997</v>
      </c>
    </row>
    <row r="1999" spans="1:6" x14ac:dyDescent="0.25">
      <c r="A1999" s="16">
        <v>42961</v>
      </c>
      <c r="B1999" s="13" t="s">
        <v>146</v>
      </c>
      <c r="C1999" s="13">
        <v>37</v>
      </c>
      <c r="D1999" s="13">
        <v>307.95</v>
      </c>
      <c r="E1999" s="13" t="str">
        <f>IF(ISERROR(VLOOKUP(F1999,Magic!H:H,1,0)),IF(ISERROR(VLOOKUP(F1999,Magic!T:T,1,0)),"N","Y"),"Y")</f>
        <v>Y</v>
      </c>
      <c r="F1999" s="13">
        <v>1998</v>
      </c>
    </row>
    <row r="2000" spans="1:6" x14ac:dyDescent="0.25">
      <c r="A2000" s="16">
        <v>42961</v>
      </c>
      <c r="B2000" s="13" t="s">
        <v>146</v>
      </c>
      <c r="C2000" s="13">
        <v>37</v>
      </c>
      <c r="D2000" s="13">
        <v>385.9</v>
      </c>
      <c r="E2000" s="13" t="str">
        <f>IF(ISERROR(VLOOKUP(F2000,Magic!H:H,1,0)),IF(ISERROR(VLOOKUP(F2000,Magic!T:T,1,0)),"N","Y"),"Y")</f>
        <v>Y</v>
      </c>
      <c r="F2000" s="13">
        <v>1999</v>
      </c>
    </row>
    <row r="2001" spans="1:6" x14ac:dyDescent="0.25">
      <c r="A2001" s="16">
        <v>42961</v>
      </c>
      <c r="B2001" s="13" t="s">
        <v>146</v>
      </c>
      <c r="C2001" s="13">
        <v>37</v>
      </c>
      <c r="D2001" s="13">
        <v>435.9</v>
      </c>
      <c r="E2001" s="13" t="str">
        <f>IF(ISERROR(VLOOKUP(F2001,Magic!H:H,1,0)),IF(ISERROR(VLOOKUP(F2001,Magic!T:T,1,0)),"N","Y"),"Y")</f>
        <v>Y</v>
      </c>
      <c r="F2001" s="13">
        <v>2000</v>
      </c>
    </row>
    <row r="2002" spans="1:6" x14ac:dyDescent="0.25">
      <c r="A2002" s="16">
        <v>42961</v>
      </c>
      <c r="B2002" s="13" t="s">
        <v>1644</v>
      </c>
      <c r="C2002" s="13">
        <v>41</v>
      </c>
      <c r="D2002" s="13">
        <v>401.75</v>
      </c>
      <c r="E2002" s="13" t="str">
        <f>IF(ISERROR(VLOOKUP(F2002,Magic!H:H,1,0)),IF(ISERROR(VLOOKUP(F2002,Magic!T:T,1,0)),"N","Y"),"Y")</f>
        <v>Y</v>
      </c>
      <c r="F2002" s="13">
        <v>2001</v>
      </c>
    </row>
    <row r="2003" spans="1:6" x14ac:dyDescent="0.25">
      <c r="A2003" s="16">
        <v>42961</v>
      </c>
      <c r="B2003" s="13" t="s">
        <v>1644</v>
      </c>
      <c r="C2003" s="13">
        <v>41</v>
      </c>
      <c r="D2003" s="13">
        <v>439.5</v>
      </c>
      <c r="E2003" s="13" t="str">
        <f>IF(ISERROR(VLOOKUP(F2003,Magic!H:H,1,0)),IF(ISERROR(VLOOKUP(F2003,Magic!T:T,1,0)),"N","Y"),"Y")</f>
        <v>Y</v>
      </c>
      <c r="F2003" s="13">
        <v>2002</v>
      </c>
    </row>
    <row r="2004" spans="1:6" x14ac:dyDescent="0.25">
      <c r="A2004" s="16">
        <v>42961</v>
      </c>
      <c r="B2004" s="13" t="s">
        <v>24</v>
      </c>
      <c r="C2004" s="13">
        <v>43</v>
      </c>
      <c r="D2004" s="13">
        <v>1311.7</v>
      </c>
      <c r="E2004" s="13" t="str">
        <f>IF(ISERROR(VLOOKUP(F2004,Magic!H:H,1,0)),IF(ISERROR(VLOOKUP(F2004,Magic!T:T,1,0)),"N","Y"),"Y")</f>
        <v>Y</v>
      </c>
      <c r="F2004" s="13">
        <v>2003</v>
      </c>
    </row>
    <row r="2005" spans="1:6" x14ac:dyDescent="0.25">
      <c r="A2005" s="16">
        <v>42961</v>
      </c>
      <c r="B2005" s="13" t="s">
        <v>24</v>
      </c>
      <c r="C2005" s="13">
        <v>43</v>
      </c>
      <c r="D2005" s="13">
        <v>427.9</v>
      </c>
      <c r="E2005" s="13" t="str">
        <f>IF(ISERROR(VLOOKUP(F2005,Magic!H:H,1,0)),IF(ISERROR(VLOOKUP(F2005,Magic!T:T,1,0)),"N","Y"),"Y")</f>
        <v>Y</v>
      </c>
      <c r="F2005" s="13">
        <v>2004</v>
      </c>
    </row>
    <row r="2006" spans="1:6" x14ac:dyDescent="0.25">
      <c r="A2006" s="16">
        <v>42961</v>
      </c>
      <c r="B2006" s="13" t="s">
        <v>25</v>
      </c>
      <c r="C2006" s="13">
        <v>44</v>
      </c>
      <c r="D2006" s="13">
        <v>335</v>
      </c>
      <c r="E2006" s="13" t="str">
        <f>IF(ISERROR(VLOOKUP(F2006,Magic!H:H,1,0)),IF(ISERROR(VLOOKUP(F2006,Magic!T:T,1,0)),"N","Y"),"Y")</f>
        <v>Y</v>
      </c>
      <c r="F2006" s="13">
        <v>2005</v>
      </c>
    </row>
    <row r="2007" spans="1:6" x14ac:dyDescent="0.25">
      <c r="A2007" s="16">
        <v>42961</v>
      </c>
      <c r="B2007" s="13" t="s">
        <v>25</v>
      </c>
      <c r="C2007" s="13">
        <v>44</v>
      </c>
      <c r="D2007" s="13">
        <v>636.75</v>
      </c>
      <c r="E2007" s="13" t="str">
        <f>IF(ISERROR(VLOOKUP(F2007,Magic!H:H,1,0)),IF(ISERROR(VLOOKUP(F2007,Magic!T:T,1,0)),"N","Y"),"Y")</f>
        <v>Y</v>
      </c>
      <c r="F2007" s="13">
        <v>2006</v>
      </c>
    </row>
    <row r="2008" spans="1:6" x14ac:dyDescent="0.25">
      <c r="A2008" s="16">
        <v>42961</v>
      </c>
      <c r="B2008" s="13" t="s">
        <v>25</v>
      </c>
      <c r="C2008" s="13">
        <v>44</v>
      </c>
      <c r="D2008" s="13">
        <v>325</v>
      </c>
      <c r="E2008" s="13" t="str">
        <f>IF(ISERROR(VLOOKUP(F2008,Magic!H:H,1,0)),IF(ISERROR(VLOOKUP(F2008,Magic!T:T,1,0)),"N","Y"),"Y")</f>
        <v>Y</v>
      </c>
      <c r="F2008" s="13">
        <v>2007</v>
      </c>
    </row>
    <row r="2009" spans="1:6" x14ac:dyDescent="0.25">
      <c r="A2009" s="16">
        <v>42961</v>
      </c>
      <c r="B2009" s="13" t="s">
        <v>611</v>
      </c>
      <c r="C2009" s="13">
        <v>201</v>
      </c>
      <c r="D2009" s="13">
        <v>816.8</v>
      </c>
      <c r="E2009" s="13" t="str">
        <f>IF(ISERROR(VLOOKUP(F2009,Magic!H:H,1,0)),IF(ISERROR(VLOOKUP(F2009,Magic!T:T,1,0)),"N","Y"),"Y")</f>
        <v>Y</v>
      </c>
      <c r="F2009" s="13">
        <v>2008</v>
      </c>
    </row>
    <row r="2010" spans="1:6" x14ac:dyDescent="0.25">
      <c r="A2010" s="16">
        <v>42961</v>
      </c>
      <c r="B2010" s="13" t="s">
        <v>611</v>
      </c>
      <c r="C2010" s="13">
        <v>201</v>
      </c>
      <c r="D2010" s="13">
        <v>479.9</v>
      </c>
      <c r="E2010" s="13" t="str">
        <f>IF(ISERROR(VLOOKUP(F2010,Magic!H:H,1,0)),IF(ISERROR(VLOOKUP(F2010,Magic!T:T,1,0)),"N","Y"),"Y")</f>
        <v>Y</v>
      </c>
      <c r="F2010" s="13">
        <v>2009</v>
      </c>
    </row>
    <row r="2011" spans="1:6" x14ac:dyDescent="0.25">
      <c r="A2011" s="16">
        <v>42961</v>
      </c>
      <c r="B2011" s="13" t="s">
        <v>611</v>
      </c>
      <c r="C2011" s="13">
        <v>201</v>
      </c>
      <c r="D2011" s="13">
        <v>298.75</v>
      </c>
      <c r="E2011" s="13" t="str">
        <f>IF(ISERROR(VLOOKUP(F2011,Magic!H:H,1,0)),IF(ISERROR(VLOOKUP(F2011,Magic!T:T,1,0)),"N","Y"),"Y")</f>
        <v>Y</v>
      </c>
      <c r="F2011" s="13">
        <v>2010</v>
      </c>
    </row>
    <row r="2012" spans="1:6" x14ac:dyDescent="0.25">
      <c r="A2012" s="16">
        <v>42961</v>
      </c>
      <c r="B2012" s="13" t="s">
        <v>1951</v>
      </c>
      <c r="C2012" s="13">
        <v>103</v>
      </c>
      <c r="D2012" s="13">
        <v>359.75</v>
      </c>
      <c r="E2012" s="13" t="str">
        <f>IF(ISERROR(VLOOKUP(F2012,Magic!H:H,1,0)),IF(ISERROR(VLOOKUP(F2012,Magic!T:T,1,0)),"N","Y"),"Y")</f>
        <v>Y</v>
      </c>
      <c r="F2012" s="13">
        <v>2011</v>
      </c>
    </row>
    <row r="2013" spans="1:6" x14ac:dyDescent="0.25">
      <c r="A2013" s="16">
        <v>42961</v>
      </c>
      <c r="B2013" s="13" t="s">
        <v>124</v>
      </c>
      <c r="C2013" s="13">
        <v>103</v>
      </c>
      <c r="D2013" s="13">
        <v>758.7</v>
      </c>
      <c r="E2013" s="13" t="str">
        <f>IF(ISERROR(VLOOKUP(F2013,Magic!H:H,1,0)),IF(ISERROR(VLOOKUP(F2013,Magic!T:T,1,0)),"N","Y"),"Y")</f>
        <v>Y</v>
      </c>
      <c r="F2013" s="13">
        <v>2012</v>
      </c>
    </row>
  </sheetData>
  <autoFilter ref="A1:F1985"/>
  <sortState ref="A1997:D2013">
    <sortCondition ref="A1996:A2014"/>
    <sortCondition ref="C1996:C2014"/>
  </sortState>
  <conditionalFormatting sqref="G1184 H1219 H1244 F1:F1474 F1476:F1602 F1604:F1623 F1625:F1984 F1987:F1048576">
    <cfRule type="duplicateValues" dxfId="5" priority="6"/>
  </conditionalFormatting>
  <conditionalFormatting sqref="F1475">
    <cfRule type="duplicateValues" dxfId="4" priority="5"/>
  </conditionalFormatting>
  <conditionalFormatting sqref="F1603">
    <cfRule type="duplicateValues" dxfId="3" priority="4"/>
  </conditionalFormatting>
  <conditionalFormatting sqref="F1624">
    <cfRule type="duplicateValues" dxfId="2" priority="3"/>
  </conditionalFormatting>
  <conditionalFormatting sqref="F1985">
    <cfRule type="duplicateValues" dxfId="1" priority="2"/>
  </conditionalFormatting>
  <conditionalFormatting sqref="F1986">
    <cfRule type="duplicateValues" dxfId="0" priority="1"/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>
    <tabColor theme="7" tint="0.39997558519241921"/>
  </sheetPr>
  <dimension ref="A1:P1793"/>
  <sheetViews>
    <sheetView topLeftCell="A1759" workbookViewId="0">
      <selection activeCell="A1951" sqref="A1951:D1966"/>
    </sheetView>
  </sheetViews>
  <sheetFormatPr defaultRowHeight="15" x14ac:dyDescent="0.25"/>
  <cols>
    <col min="1" max="1" width="15.28515625" style="1" customWidth="1"/>
    <col min="2" max="2" width="22.7109375" customWidth="1"/>
    <col min="3" max="3" width="10.28515625" customWidth="1"/>
    <col min="4" max="4" width="16.140625" customWidth="1"/>
  </cols>
  <sheetData>
    <row r="1" spans="1:6" x14ac:dyDescent="0.25">
      <c r="A1" s="1" t="s">
        <v>32</v>
      </c>
      <c r="B1" t="s">
        <v>33</v>
      </c>
      <c r="C1" t="s">
        <v>16</v>
      </c>
      <c r="D1" t="s">
        <v>34</v>
      </c>
      <c r="E1" t="s">
        <v>43</v>
      </c>
      <c r="F1" t="s">
        <v>19</v>
      </c>
    </row>
    <row r="2" spans="1:6" x14ac:dyDescent="0.25">
      <c r="A2" s="16">
        <v>42739</v>
      </c>
      <c r="B2" s="13" t="s">
        <v>46</v>
      </c>
      <c r="C2" s="13">
        <v>103</v>
      </c>
      <c r="D2" s="13">
        <v>767.66</v>
      </c>
      <c r="E2" s="13" t="s">
        <v>71</v>
      </c>
      <c r="F2" s="13">
        <v>1</v>
      </c>
    </row>
    <row r="3" spans="1:6" hidden="1" x14ac:dyDescent="0.25">
      <c r="A3" s="16">
        <v>42739</v>
      </c>
      <c r="B3" s="13" t="s">
        <v>47</v>
      </c>
      <c r="C3" s="13">
        <v>104</v>
      </c>
      <c r="D3" s="13">
        <v>342.22</v>
      </c>
      <c r="E3" s="13" t="s">
        <v>71</v>
      </c>
      <c r="F3" s="13">
        <v>2</v>
      </c>
    </row>
    <row r="4" spans="1:6" hidden="1" x14ac:dyDescent="0.25">
      <c r="A4" s="16">
        <v>42739</v>
      </c>
      <c r="B4" s="13" t="s">
        <v>48</v>
      </c>
      <c r="C4" s="13">
        <v>35</v>
      </c>
      <c r="D4" s="13">
        <v>890.36</v>
      </c>
      <c r="E4" s="13" t="s">
        <v>71</v>
      </c>
      <c r="F4" s="13">
        <v>3</v>
      </c>
    </row>
    <row r="5" spans="1:6" hidden="1" x14ac:dyDescent="0.25">
      <c r="A5" s="16">
        <v>42739</v>
      </c>
      <c r="B5" s="13" t="s">
        <v>49</v>
      </c>
      <c r="C5" s="13">
        <v>38</v>
      </c>
      <c r="D5" s="13">
        <v>1238.81</v>
      </c>
      <c r="E5" s="13" t="s">
        <v>71</v>
      </c>
      <c r="F5" s="13">
        <v>4</v>
      </c>
    </row>
    <row r="6" spans="1:6" hidden="1" x14ac:dyDescent="0.25">
      <c r="A6" s="16">
        <v>42739</v>
      </c>
      <c r="B6" s="13" t="s">
        <v>50</v>
      </c>
      <c r="C6" s="13">
        <v>44</v>
      </c>
      <c r="D6" s="13">
        <v>701.62</v>
      </c>
      <c r="E6" s="13" t="s">
        <v>71</v>
      </c>
      <c r="F6" s="13">
        <v>5</v>
      </c>
    </row>
    <row r="7" spans="1:6" hidden="1" x14ac:dyDescent="0.25">
      <c r="A7" s="16">
        <v>42739</v>
      </c>
      <c r="B7" s="13" t="s">
        <v>51</v>
      </c>
      <c r="C7" s="13">
        <v>41</v>
      </c>
      <c r="D7" s="13">
        <v>577.94000000000005</v>
      </c>
      <c r="E7" s="13" t="s">
        <v>71</v>
      </c>
      <c r="F7" s="13">
        <v>6</v>
      </c>
    </row>
    <row r="8" spans="1:6" hidden="1" x14ac:dyDescent="0.25">
      <c r="A8" s="16">
        <v>42739</v>
      </c>
      <c r="B8" s="13" t="s">
        <v>52</v>
      </c>
      <c r="C8" s="13">
        <v>45</v>
      </c>
      <c r="D8" s="13">
        <v>564.82000000000005</v>
      </c>
      <c r="E8" s="13" t="s">
        <v>71</v>
      </c>
      <c r="F8" s="13">
        <v>7</v>
      </c>
    </row>
    <row r="9" spans="1:6" hidden="1" x14ac:dyDescent="0.25">
      <c r="A9" s="16">
        <v>42739</v>
      </c>
      <c r="B9" s="13" t="s">
        <v>53</v>
      </c>
      <c r="C9" s="13">
        <v>101</v>
      </c>
      <c r="D9" s="13">
        <v>630.61</v>
      </c>
      <c r="E9" s="13" t="s">
        <v>71</v>
      </c>
      <c r="F9" s="13">
        <v>8</v>
      </c>
    </row>
    <row r="10" spans="1:6" hidden="1" x14ac:dyDescent="0.25">
      <c r="A10" s="16">
        <v>42739</v>
      </c>
      <c r="B10" s="13" t="s">
        <v>54</v>
      </c>
      <c r="C10" s="13">
        <v>43</v>
      </c>
      <c r="D10" s="13">
        <v>258.60000000000002</v>
      </c>
      <c r="E10" s="13" t="s">
        <v>71</v>
      </c>
      <c r="F10" s="13">
        <v>9</v>
      </c>
    </row>
    <row r="11" spans="1:6" hidden="1" x14ac:dyDescent="0.25">
      <c r="A11" s="16">
        <v>42739</v>
      </c>
      <c r="B11" s="13" t="s">
        <v>58</v>
      </c>
      <c r="C11" s="13">
        <v>37</v>
      </c>
      <c r="D11" s="13">
        <v>568.54999999999995</v>
      </c>
      <c r="E11" s="13" t="s">
        <v>71</v>
      </c>
      <c r="F11" s="13">
        <v>10</v>
      </c>
    </row>
    <row r="12" spans="1:6" hidden="1" x14ac:dyDescent="0.25">
      <c r="A12" s="16">
        <v>42739</v>
      </c>
      <c r="B12" s="13" t="s">
        <v>59</v>
      </c>
      <c r="C12" s="13">
        <v>201</v>
      </c>
      <c r="D12" s="13">
        <v>469.06</v>
      </c>
      <c r="E12" s="13" t="s">
        <v>71</v>
      </c>
      <c r="F12" s="13">
        <v>11</v>
      </c>
    </row>
    <row r="13" spans="1:6" hidden="1" x14ac:dyDescent="0.25">
      <c r="A13" s="16">
        <v>42740</v>
      </c>
      <c r="B13" s="13" t="s">
        <v>72</v>
      </c>
      <c r="C13" s="13">
        <v>104</v>
      </c>
      <c r="D13" s="13">
        <v>658.08</v>
      </c>
      <c r="E13" s="13" t="s">
        <v>71</v>
      </c>
      <c r="F13" s="13">
        <v>12</v>
      </c>
    </row>
    <row r="14" spans="1:6" hidden="1" x14ac:dyDescent="0.25">
      <c r="A14" s="16">
        <v>42740</v>
      </c>
      <c r="B14" s="13" t="s">
        <v>73</v>
      </c>
      <c r="C14" s="13">
        <v>44</v>
      </c>
      <c r="D14" s="13">
        <v>867.81</v>
      </c>
      <c r="E14" s="13" t="s">
        <v>71</v>
      </c>
      <c r="F14" s="13">
        <v>13</v>
      </c>
    </row>
    <row r="15" spans="1:6" x14ac:dyDescent="0.25">
      <c r="A15" s="16">
        <v>42740</v>
      </c>
      <c r="B15" s="13" t="s">
        <v>74</v>
      </c>
      <c r="C15" s="13">
        <v>103</v>
      </c>
      <c r="D15" s="13">
        <v>1318.54</v>
      </c>
      <c r="E15" s="13" t="s">
        <v>71</v>
      </c>
      <c r="F15" s="13">
        <v>14</v>
      </c>
    </row>
    <row r="16" spans="1:6" hidden="1" x14ac:dyDescent="0.25">
      <c r="A16" s="16">
        <v>42740</v>
      </c>
      <c r="B16" s="13" t="s">
        <v>75</v>
      </c>
      <c r="C16" s="13">
        <v>38</v>
      </c>
      <c r="D16" s="13">
        <v>1677.35</v>
      </c>
      <c r="E16" s="13" t="s">
        <v>71</v>
      </c>
      <c r="F16" s="13">
        <v>15</v>
      </c>
    </row>
    <row r="17" spans="1:6" hidden="1" x14ac:dyDescent="0.25">
      <c r="A17" s="16">
        <v>42740</v>
      </c>
      <c r="B17" s="13" t="s">
        <v>76</v>
      </c>
      <c r="C17" s="13">
        <v>35</v>
      </c>
      <c r="D17" s="13">
        <v>949.37</v>
      </c>
      <c r="E17" s="13" t="s">
        <v>71</v>
      </c>
      <c r="F17" s="13">
        <v>16</v>
      </c>
    </row>
    <row r="18" spans="1:6" hidden="1" x14ac:dyDescent="0.25">
      <c r="A18" s="16">
        <v>42740</v>
      </c>
      <c r="B18" s="13" t="s">
        <v>77</v>
      </c>
      <c r="C18" s="13">
        <v>41</v>
      </c>
      <c r="D18" s="13">
        <v>1473.73</v>
      </c>
      <c r="E18" s="13" t="s">
        <v>71</v>
      </c>
      <c r="F18" s="13">
        <v>17</v>
      </c>
    </row>
    <row r="19" spans="1:6" hidden="1" x14ac:dyDescent="0.25">
      <c r="A19" s="16">
        <v>42740</v>
      </c>
      <c r="B19" s="13" t="s">
        <v>78</v>
      </c>
      <c r="C19" s="13">
        <v>101</v>
      </c>
      <c r="D19" s="13">
        <v>480.02</v>
      </c>
      <c r="E19" s="13" t="s">
        <v>71</v>
      </c>
      <c r="F19" s="13">
        <v>18</v>
      </c>
    </row>
    <row r="20" spans="1:6" hidden="1" x14ac:dyDescent="0.25">
      <c r="A20" s="16">
        <v>42740</v>
      </c>
      <c r="B20" s="13" t="s">
        <v>79</v>
      </c>
      <c r="C20" s="13">
        <v>43</v>
      </c>
      <c r="D20" s="13">
        <v>444.28</v>
      </c>
      <c r="E20" s="13" t="s">
        <v>71</v>
      </c>
      <c r="F20" s="13">
        <v>19</v>
      </c>
    </row>
    <row r="21" spans="1:6" hidden="1" x14ac:dyDescent="0.25">
      <c r="A21" s="16">
        <v>42740</v>
      </c>
      <c r="B21" s="13" t="s">
        <v>80</v>
      </c>
      <c r="C21" s="13">
        <v>45</v>
      </c>
      <c r="D21" s="13">
        <v>779.43</v>
      </c>
      <c r="E21" s="13" t="s">
        <v>71</v>
      </c>
      <c r="F21" s="13">
        <v>20</v>
      </c>
    </row>
    <row r="22" spans="1:6" hidden="1" x14ac:dyDescent="0.25">
      <c r="A22" s="16">
        <v>42740</v>
      </c>
      <c r="B22" s="13" t="s">
        <v>85</v>
      </c>
      <c r="C22" s="13">
        <v>201</v>
      </c>
      <c r="D22" s="13">
        <v>629.41999999999996</v>
      </c>
      <c r="E22" s="13" t="s">
        <v>71</v>
      </c>
      <c r="F22" s="13">
        <v>21</v>
      </c>
    </row>
    <row r="23" spans="1:6" hidden="1" x14ac:dyDescent="0.25">
      <c r="A23" s="16">
        <v>42740</v>
      </c>
      <c r="B23" s="13" t="s">
        <v>86</v>
      </c>
      <c r="C23" s="13">
        <v>37</v>
      </c>
      <c r="D23" s="13">
        <v>1147.93</v>
      </c>
      <c r="E23" s="13" t="s">
        <v>71</v>
      </c>
      <c r="F23" s="13">
        <v>22</v>
      </c>
    </row>
    <row r="24" spans="1:6" x14ac:dyDescent="0.25">
      <c r="A24" s="16">
        <v>42743</v>
      </c>
      <c r="B24" s="13" t="s">
        <v>95</v>
      </c>
      <c r="C24" s="13">
        <v>103</v>
      </c>
      <c r="D24" s="13">
        <v>260.56</v>
      </c>
      <c r="E24" s="13" t="s">
        <v>71</v>
      </c>
      <c r="F24" s="13">
        <v>23</v>
      </c>
    </row>
    <row r="25" spans="1:6" hidden="1" x14ac:dyDescent="0.25">
      <c r="A25" s="16">
        <v>42743</v>
      </c>
      <c r="B25" s="13" t="s">
        <v>96</v>
      </c>
      <c r="C25" s="13">
        <v>35</v>
      </c>
      <c r="D25" s="13">
        <v>339.51</v>
      </c>
      <c r="E25" s="13" t="s">
        <v>71</v>
      </c>
      <c r="F25" s="13">
        <v>24</v>
      </c>
    </row>
    <row r="26" spans="1:6" hidden="1" x14ac:dyDescent="0.25">
      <c r="A26" s="16">
        <v>42743</v>
      </c>
      <c r="B26" s="13" t="s">
        <v>97</v>
      </c>
      <c r="C26" s="13">
        <v>44</v>
      </c>
      <c r="D26" s="13">
        <v>452.7</v>
      </c>
      <c r="E26" s="13" t="s">
        <v>71</v>
      </c>
      <c r="F26" s="13">
        <v>25</v>
      </c>
    </row>
    <row r="27" spans="1:6" hidden="1" x14ac:dyDescent="0.25">
      <c r="A27" s="16">
        <v>42743</v>
      </c>
      <c r="B27" s="13" t="s">
        <v>98</v>
      </c>
      <c r="C27" s="13">
        <v>101</v>
      </c>
      <c r="D27" s="13">
        <v>362.48</v>
      </c>
      <c r="E27" s="13" t="s">
        <v>71</v>
      </c>
      <c r="F27" s="13">
        <v>26</v>
      </c>
    </row>
    <row r="28" spans="1:6" hidden="1" x14ac:dyDescent="0.25">
      <c r="A28" s="16">
        <v>42743</v>
      </c>
      <c r="B28" s="13" t="s">
        <v>99</v>
      </c>
      <c r="C28" s="13">
        <v>38</v>
      </c>
      <c r="D28" s="13">
        <v>735.45</v>
      </c>
      <c r="E28" s="13" t="s">
        <v>71</v>
      </c>
      <c r="F28" s="13">
        <v>27</v>
      </c>
    </row>
    <row r="29" spans="1:6" hidden="1" x14ac:dyDescent="0.25">
      <c r="A29" s="16">
        <v>42743</v>
      </c>
      <c r="B29" s="13" t="s">
        <v>100</v>
      </c>
      <c r="C29" s="13">
        <v>43</v>
      </c>
      <c r="D29" s="13">
        <v>339.55</v>
      </c>
      <c r="E29" s="13" t="s">
        <v>71</v>
      </c>
      <c r="F29" s="13">
        <v>28</v>
      </c>
    </row>
    <row r="30" spans="1:6" hidden="1" x14ac:dyDescent="0.25">
      <c r="A30" s="16">
        <v>42743</v>
      </c>
      <c r="B30" s="13" t="s">
        <v>101</v>
      </c>
      <c r="C30" s="13">
        <v>45</v>
      </c>
      <c r="D30" s="13">
        <v>112.81</v>
      </c>
      <c r="E30" s="13" t="s">
        <v>71</v>
      </c>
      <c r="F30" s="13">
        <v>29</v>
      </c>
    </row>
    <row r="31" spans="1:6" hidden="1" x14ac:dyDescent="0.25">
      <c r="A31" s="16">
        <v>42743</v>
      </c>
      <c r="B31" s="13" t="s">
        <v>102</v>
      </c>
      <c r="C31" s="13">
        <v>41</v>
      </c>
      <c r="D31" s="13">
        <v>404.17</v>
      </c>
      <c r="E31" s="13" t="s">
        <v>71</v>
      </c>
      <c r="F31" s="13">
        <v>30</v>
      </c>
    </row>
    <row r="32" spans="1:6" hidden="1" x14ac:dyDescent="0.25">
      <c r="A32" s="16">
        <v>42743</v>
      </c>
      <c r="B32" s="13" t="s">
        <v>103</v>
      </c>
      <c r="C32" s="13">
        <v>104</v>
      </c>
      <c r="D32" s="13">
        <v>222.6</v>
      </c>
      <c r="E32" s="13" t="s">
        <v>71</v>
      </c>
      <c r="F32" s="13">
        <v>31</v>
      </c>
    </row>
    <row r="33" spans="1:6" hidden="1" x14ac:dyDescent="0.25">
      <c r="A33" s="16">
        <v>42742</v>
      </c>
      <c r="B33" s="13" t="s">
        <v>104</v>
      </c>
      <c r="C33" s="13">
        <v>43</v>
      </c>
      <c r="D33" s="13">
        <v>399.88</v>
      </c>
      <c r="E33" s="13" t="s">
        <v>71</v>
      </c>
      <c r="F33" s="13">
        <v>32</v>
      </c>
    </row>
    <row r="34" spans="1:6" hidden="1" x14ac:dyDescent="0.25">
      <c r="A34" s="16">
        <v>42742</v>
      </c>
      <c r="B34" s="13" t="s">
        <v>105</v>
      </c>
      <c r="C34" s="13">
        <v>104</v>
      </c>
      <c r="D34" s="13">
        <v>305</v>
      </c>
      <c r="E34" s="13" t="s">
        <v>71</v>
      </c>
      <c r="F34" s="13">
        <v>33</v>
      </c>
    </row>
    <row r="35" spans="1:6" hidden="1" x14ac:dyDescent="0.25">
      <c r="A35" s="16">
        <v>42742</v>
      </c>
      <c r="B35" s="13" t="s">
        <v>106</v>
      </c>
      <c r="C35" s="13">
        <v>35</v>
      </c>
      <c r="D35" s="13">
        <v>999.05</v>
      </c>
      <c r="E35" s="13" t="s">
        <v>71</v>
      </c>
      <c r="F35" s="13">
        <v>34</v>
      </c>
    </row>
    <row r="36" spans="1:6" hidden="1" x14ac:dyDescent="0.25">
      <c r="A36" s="16">
        <v>42742</v>
      </c>
      <c r="B36" s="13" t="s">
        <v>107</v>
      </c>
      <c r="C36" s="13">
        <v>45</v>
      </c>
      <c r="D36" s="13">
        <v>254.3</v>
      </c>
      <c r="E36" s="13" t="s">
        <v>71</v>
      </c>
      <c r="F36" s="13">
        <v>35</v>
      </c>
    </row>
    <row r="37" spans="1:6" hidden="1" x14ac:dyDescent="0.25">
      <c r="A37" s="16">
        <v>42742</v>
      </c>
      <c r="B37" s="13" t="s">
        <v>108</v>
      </c>
      <c r="C37" s="13">
        <v>101</v>
      </c>
      <c r="D37" s="13">
        <v>504.2</v>
      </c>
      <c r="E37" s="13" t="s">
        <v>71</v>
      </c>
      <c r="F37" s="13">
        <v>36</v>
      </c>
    </row>
    <row r="38" spans="1:6" hidden="1" x14ac:dyDescent="0.25">
      <c r="A38" s="16">
        <v>42742</v>
      </c>
      <c r="B38" s="13" t="s">
        <v>109</v>
      </c>
      <c r="C38" s="13">
        <v>41</v>
      </c>
      <c r="D38" s="13">
        <v>698.65</v>
      </c>
      <c r="E38" s="13" t="s">
        <v>71</v>
      </c>
      <c r="F38" s="13">
        <v>37</v>
      </c>
    </row>
    <row r="39" spans="1:6" hidden="1" x14ac:dyDescent="0.25">
      <c r="A39" s="16">
        <v>42742</v>
      </c>
      <c r="B39" s="13" t="s">
        <v>110</v>
      </c>
      <c r="C39" s="13">
        <v>38</v>
      </c>
      <c r="D39" s="13">
        <v>1227.53</v>
      </c>
      <c r="E39" s="13" t="s">
        <v>71</v>
      </c>
      <c r="F39" s="13">
        <v>38</v>
      </c>
    </row>
    <row r="40" spans="1:6" hidden="1" x14ac:dyDescent="0.25">
      <c r="A40" s="16">
        <v>42742</v>
      </c>
      <c r="B40" s="13" t="s">
        <v>111</v>
      </c>
      <c r="C40" s="13">
        <v>44</v>
      </c>
      <c r="D40" s="13">
        <v>771.5</v>
      </c>
      <c r="E40" s="13" t="s">
        <v>71</v>
      </c>
      <c r="F40" s="13">
        <v>39</v>
      </c>
    </row>
    <row r="41" spans="1:6" x14ac:dyDescent="0.25">
      <c r="A41" s="16">
        <v>42742</v>
      </c>
      <c r="B41" s="13" t="s">
        <v>112</v>
      </c>
      <c r="C41" s="13">
        <v>103</v>
      </c>
      <c r="D41" s="13">
        <v>787.23</v>
      </c>
      <c r="E41" s="13" t="s">
        <v>71</v>
      </c>
      <c r="F41" s="13">
        <v>40</v>
      </c>
    </row>
    <row r="42" spans="1:6" hidden="1" x14ac:dyDescent="0.25">
      <c r="A42" s="16">
        <v>42741</v>
      </c>
      <c r="B42" s="13" t="s">
        <v>114</v>
      </c>
      <c r="C42" s="13">
        <v>44</v>
      </c>
      <c r="D42" s="13">
        <v>711.34</v>
      </c>
      <c r="E42" s="13" t="s">
        <v>71</v>
      </c>
      <c r="F42" s="13">
        <v>41</v>
      </c>
    </row>
    <row r="43" spans="1:6" hidden="1" x14ac:dyDescent="0.25">
      <c r="A43" s="16">
        <v>42741</v>
      </c>
      <c r="B43" s="13" t="s">
        <v>115</v>
      </c>
      <c r="C43" s="13">
        <v>104</v>
      </c>
      <c r="D43" s="13">
        <v>284.52999999999997</v>
      </c>
      <c r="E43" s="13" t="s">
        <v>71</v>
      </c>
      <c r="F43" s="13">
        <v>42</v>
      </c>
    </row>
    <row r="44" spans="1:6" hidden="1" x14ac:dyDescent="0.25">
      <c r="A44" s="16">
        <v>42741</v>
      </c>
      <c r="B44" s="13" t="s">
        <v>116</v>
      </c>
      <c r="C44" s="13">
        <v>41</v>
      </c>
      <c r="D44" s="13">
        <v>879.91</v>
      </c>
      <c r="E44" s="13" t="s">
        <v>71</v>
      </c>
      <c r="F44" s="13">
        <v>43</v>
      </c>
    </row>
    <row r="45" spans="1:6" hidden="1" x14ac:dyDescent="0.25">
      <c r="A45" s="16">
        <v>42741</v>
      </c>
      <c r="B45" s="13" t="s">
        <v>117</v>
      </c>
      <c r="C45" s="13">
        <v>35</v>
      </c>
      <c r="D45" s="13">
        <v>881.61</v>
      </c>
      <c r="E45" s="13" t="s">
        <v>71</v>
      </c>
      <c r="F45" s="13">
        <v>44</v>
      </c>
    </row>
    <row r="46" spans="1:6" x14ac:dyDescent="0.25">
      <c r="A46" s="16">
        <v>42741</v>
      </c>
      <c r="B46" s="13" t="s">
        <v>118</v>
      </c>
      <c r="C46" s="13">
        <v>103</v>
      </c>
      <c r="D46" s="13">
        <v>528.69000000000005</v>
      </c>
      <c r="E46" s="13" t="s">
        <v>71</v>
      </c>
      <c r="F46" s="13">
        <v>45</v>
      </c>
    </row>
    <row r="47" spans="1:6" hidden="1" x14ac:dyDescent="0.25">
      <c r="A47" s="16">
        <v>42741</v>
      </c>
      <c r="B47" s="13" t="s">
        <v>119</v>
      </c>
      <c r="C47" s="13">
        <v>101</v>
      </c>
      <c r="D47" s="13">
        <v>570.05999999999995</v>
      </c>
      <c r="E47" s="13" t="s">
        <v>71</v>
      </c>
      <c r="F47" s="13">
        <v>46</v>
      </c>
    </row>
    <row r="48" spans="1:6" hidden="1" x14ac:dyDescent="0.25">
      <c r="A48" s="16">
        <v>42741</v>
      </c>
      <c r="B48" s="13" t="s">
        <v>120</v>
      </c>
      <c r="C48" s="13">
        <v>43</v>
      </c>
      <c r="D48" s="13">
        <v>519.91</v>
      </c>
      <c r="E48" s="13" t="s">
        <v>71</v>
      </c>
      <c r="F48" s="13">
        <v>47</v>
      </c>
    </row>
    <row r="49" spans="1:6" hidden="1" x14ac:dyDescent="0.25">
      <c r="A49" s="16">
        <v>42741</v>
      </c>
      <c r="B49" s="13" t="s">
        <v>121</v>
      </c>
      <c r="C49" s="13">
        <v>38</v>
      </c>
      <c r="D49" s="13">
        <v>536.27</v>
      </c>
      <c r="E49" s="13" t="s">
        <v>71</v>
      </c>
      <c r="F49" s="13">
        <v>48</v>
      </c>
    </row>
    <row r="50" spans="1:6" hidden="1" x14ac:dyDescent="0.25">
      <c r="A50" s="16">
        <v>42741</v>
      </c>
      <c r="B50" s="13" t="s">
        <v>122</v>
      </c>
      <c r="C50" s="13">
        <v>45</v>
      </c>
      <c r="D50" s="13">
        <v>482.95</v>
      </c>
      <c r="E50" s="13" t="s">
        <v>71</v>
      </c>
      <c r="F50" s="13">
        <v>49</v>
      </c>
    </row>
    <row r="51" spans="1:6" hidden="1" x14ac:dyDescent="0.25">
      <c r="A51" s="16">
        <v>42743</v>
      </c>
      <c r="B51" s="13" t="s">
        <v>125</v>
      </c>
      <c r="C51" s="13">
        <v>37</v>
      </c>
      <c r="D51" s="13">
        <v>548.67999999999995</v>
      </c>
      <c r="E51" s="13" t="s">
        <v>71</v>
      </c>
      <c r="F51" s="13">
        <v>50</v>
      </c>
    </row>
    <row r="52" spans="1:6" hidden="1" x14ac:dyDescent="0.25">
      <c r="A52" s="16">
        <v>42743</v>
      </c>
      <c r="B52" s="13" t="s">
        <v>126</v>
      </c>
      <c r="C52" s="13">
        <v>201</v>
      </c>
      <c r="D52" s="13">
        <v>364.92</v>
      </c>
      <c r="E52" s="13" t="s">
        <v>71</v>
      </c>
      <c r="F52" s="13">
        <v>51</v>
      </c>
    </row>
    <row r="53" spans="1:6" hidden="1" x14ac:dyDescent="0.25">
      <c r="A53" s="16">
        <v>42742</v>
      </c>
      <c r="B53" s="13" t="s">
        <v>127</v>
      </c>
      <c r="C53" s="13">
        <v>37</v>
      </c>
      <c r="D53" s="13">
        <v>1017.95</v>
      </c>
      <c r="E53" s="13" t="s">
        <v>71</v>
      </c>
      <c r="F53" s="13">
        <v>52</v>
      </c>
    </row>
    <row r="54" spans="1:6" hidden="1" x14ac:dyDescent="0.25">
      <c r="A54" s="16">
        <v>42742</v>
      </c>
      <c r="B54" s="13" t="s">
        <v>128</v>
      </c>
      <c r="C54" s="13">
        <v>201</v>
      </c>
      <c r="D54" s="13">
        <v>438.81</v>
      </c>
      <c r="E54" s="13" t="s">
        <v>71</v>
      </c>
      <c r="F54" s="13">
        <v>53</v>
      </c>
    </row>
    <row r="55" spans="1:6" hidden="1" x14ac:dyDescent="0.25">
      <c r="A55" s="16">
        <v>42741</v>
      </c>
      <c r="B55" s="13" t="s">
        <v>129</v>
      </c>
      <c r="C55" s="13">
        <v>201</v>
      </c>
      <c r="D55" s="13">
        <v>831.85</v>
      </c>
      <c r="E55" s="13" t="s">
        <v>71</v>
      </c>
      <c r="F55" s="13">
        <v>54</v>
      </c>
    </row>
    <row r="56" spans="1:6" hidden="1" x14ac:dyDescent="0.25">
      <c r="A56" s="16">
        <v>42741</v>
      </c>
      <c r="B56" s="13" t="s">
        <v>130</v>
      </c>
      <c r="C56" s="13">
        <v>37</v>
      </c>
      <c r="D56" s="13">
        <v>1113.6500000000001</v>
      </c>
      <c r="E56" s="13" t="s">
        <v>71</v>
      </c>
      <c r="F56" s="13">
        <v>55</v>
      </c>
    </row>
    <row r="57" spans="1:6" hidden="1" x14ac:dyDescent="0.25">
      <c r="A57" s="16">
        <v>42744</v>
      </c>
      <c r="B57" s="13" t="s">
        <v>133</v>
      </c>
      <c r="C57" s="13">
        <v>35</v>
      </c>
      <c r="D57" s="13">
        <v>444.66</v>
      </c>
      <c r="E57" s="13" t="s">
        <v>71</v>
      </c>
      <c r="F57" s="13">
        <v>56</v>
      </c>
    </row>
    <row r="58" spans="1:6" hidden="1" x14ac:dyDescent="0.25">
      <c r="A58" s="16">
        <v>42744</v>
      </c>
      <c r="B58" s="13" t="s">
        <v>134</v>
      </c>
      <c r="C58" s="13">
        <v>38</v>
      </c>
      <c r="D58" s="13">
        <v>403.49</v>
      </c>
      <c r="E58" s="13" t="s">
        <v>71</v>
      </c>
      <c r="F58" s="13">
        <v>57</v>
      </c>
    </row>
    <row r="59" spans="1:6" hidden="1" x14ac:dyDescent="0.25">
      <c r="A59" s="16">
        <v>42744</v>
      </c>
      <c r="B59" s="13" t="s">
        <v>135</v>
      </c>
      <c r="C59" s="13">
        <v>101</v>
      </c>
      <c r="D59" s="13">
        <v>209.62</v>
      </c>
      <c r="E59" s="13" t="s">
        <v>71</v>
      </c>
      <c r="F59" s="13">
        <v>58</v>
      </c>
    </row>
    <row r="60" spans="1:6" hidden="1" x14ac:dyDescent="0.25">
      <c r="A60" s="16">
        <v>42744</v>
      </c>
      <c r="B60" s="13" t="s">
        <v>136</v>
      </c>
      <c r="C60" s="13">
        <v>104</v>
      </c>
      <c r="D60" s="13">
        <v>210.85</v>
      </c>
      <c r="E60" s="13" t="s">
        <v>71</v>
      </c>
      <c r="F60" s="13">
        <v>59</v>
      </c>
    </row>
    <row r="61" spans="1:6" hidden="1" x14ac:dyDescent="0.25">
      <c r="A61" s="16">
        <v>42744</v>
      </c>
      <c r="B61" s="13" t="s">
        <v>137</v>
      </c>
      <c r="C61" s="13">
        <v>44</v>
      </c>
      <c r="D61" s="13">
        <v>404.32</v>
      </c>
      <c r="E61" s="13" t="s">
        <v>71</v>
      </c>
      <c r="F61" s="13">
        <v>60</v>
      </c>
    </row>
    <row r="62" spans="1:6" x14ac:dyDescent="0.25">
      <c r="A62" s="16">
        <v>42744</v>
      </c>
      <c r="B62" s="13" t="s">
        <v>138</v>
      </c>
      <c r="C62" s="13">
        <v>103</v>
      </c>
      <c r="D62" s="13">
        <v>1011.73</v>
      </c>
      <c r="E62" s="13" t="s">
        <v>71</v>
      </c>
      <c r="F62" s="13">
        <v>61</v>
      </c>
    </row>
    <row r="63" spans="1:6" hidden="1" x14ac:dyDescent="0.25">
      <c r="A63" s="16">
        <v>42744</v>
      </c>
      <c r="B63" s="13" t="s">
        <v>139</v>
      </c>
      <c r="C63" s="13">
        <v>41</v>
      </c>
      <c r="D63" s="13">
        <v>696.81</v>
      </c>
      <c r="E63" s="13" t="s">
        <v>71</v>
      </c>
      <c r="F63" s="13">
        <v>62</v>
      </c>
    </row>
    <row r="64" spans="1:6" hidden="1" x14ac:dyDescent="0.25">
      <c r="A64" s="16">
        <v>42744</v>
      </c>
      <c r="B64" s="13" t="s">
        <v>140</v>
      </c>
      <c r="C64" s="13">
        <v>45</v>
      </c>
      <c r="D64" s="13">
        <v>431.16</v>
      </c>
      <c r="E64" s="13" t="s">
        <v>71</v>
      </c>
      <c r="F64" s="13">
        <v>63</v>
      </c>
    </row>
    <row r="65" spans="1:6" hidden="1" x14ac:dyDescent="0.25">
      <c r="A65" s="16">
        <v>42744</v>
      </c>
      <c r="B65" s="13" t="s">
        <v>141</v>
      </c>
      <c r="C65" s="13">
        <v>43</v>
      </c>
      <c r="D65" s="13">
        <v>355.67</v>
      </c>
      <c r="E65" s="13" t="s">
        <v>71</v>
      </c>
      <c r="F65" s="13">
        <v>64</v>
      </c>
    </row>
    <row r="66" spans="1:6" hidden="1" x14ac:dyDescent="0.25">
      <c r="A66" s="16">
        <v>42744</v>
      </c>
      <c r="B66" s="13" t="s">
        <v>148</v>
      </c>
      <c r="C66" s="13">
        <v>201</v>
      </c>
      <c r="D66" s="13">
        <v>505.49</v>
      </c>
      <c r="E66" s="13" t="s">
        <v>71</v>
      </c>
      <c r="F66" s="13">
        <v>65</v>
      </c>
    </row>
    <row r="67" spans="1:6" hidden="1" x14ac:dyDescent="0.25">
      <c r="A67" s="16">
        <v>42744</v>
      </c>
      <c r="B67" s="13" t="s">
        <v>149</v>
      </c>
      <c r="C67" s="13">
        <v>37</v>
      </c>
      <c r="D67" s="13">
        <v>374.11</v>
      </c>
      <c r="E67" s="13" t="s">
        <v>71</v>
      </c>
      <c r="F67" s="13">
        <v>66</v>
      </c>
    </row>
    <row r="68" spans="1:6" x14ac:dyDescent="0.25">
      <c r="A68" s="16">
        <v>42745</v>
      </c>
      <c r="B68" s="13" t="s">
        <v>151</v>
      </c>
      <c r="C68" s="13">
        <v>103</v>
      </c>
      <c r="D68" s="13">
        <v>790.99</v>
      </c>
      <c r="E68" s="13" t="s">
        <v>71</v>
      </c>
      <c r="F68" s="13">
        <v>67</v>
      </c>
    </row>
    <row r="69" spans="1:6" hidden="1" x14ac:dyDescent="0.25">
      <c r="A69" s="16">
        <v>42745</v>
      </c>
      <c r="B69" s="13" t="s">
        <v>152</v>
      </c>
      <c r="C69" s="13">
        <v>44</v>
      </c>
      <c r="D69" s="13">
        <v>420.1</v>
      </c>
      <c r="E69" s="13" t="s">
        <v>71</v>
      </c>
      <c r="F69" s="13">
        <v>68</v>
      </c>
    </row>
    <row r="70" spans="1:6" hidden="1" x14ac:dyDescent="0.25">
      <c r="A70" s="16">
        <v>42745</v>
      </c>
      <c r="B70" s="13" t="s">
        <v>153</v>
      </c>
      <c r="C70" s="13">
        <v>104</v>
      </c>
      <c r="D70" s="13">
        <v>243.15</v>
      </c>
      <c r="E70" s="13" t="s">
        <v>71</v>
      </c>
      <c r="F70" s="13">
        <v>69</v>
      </c>
    </row>
    <row r="71" spans="1:6" hidden="1" x14ac:dyDescent="0.25">
      <c r="A71" s="16">
        <v>42745</v>
      </c>
      <c r="B71" s="13" t="s">
        <v>154</v>
      </c>
      <c r="C71" s="13">
        <v>38</v>
      </c>
      <c r="D71" s="13">
        <v>322.7</v>
      </c>
      <c r="E71" s="13" t="s">
        <v>71</v>
      </c>
      <c r="F71" s="13">
        <v>70</v>
      </c>
    </row>
    <row r="72" spans="1:6" hidden="1" x14ac:dyDescent="0.25">
      <c r="A72" s="16">
        <v>42745</v>
      </c>
      <c r="B72" s="13" t="s">
        <v>155</v>
      </c>
      <c r="C72" s="13">
        <v>43</v>
      </c>
      <c r="D72" s="13">
        <v>137.83000000000001</v>
      </c>
      <c r="E72" s="13" t="s">
        <v>71</v>
      </c>
      <c r="F72" s="13">
        <v>71</v>
      </c>
    </row>
    <row r="73" spans="1:6" hidden="1" x14ac:dyDescent="0.25">
      <c r="A73" s="16">
        <v>42745</v>
      </c>
      <c r="B73" s="13" t="s">
        <v>156</v>
      </c>
      <c r="C73" s="13">
        <v>45</v>
      </c>
      <c r="D73" s="13">
        <v>309.64</v>
      </c>
      <c r="E73" s="13" t="s">
        <v>71</v>
      </c>
      <c r="F73" s="13">
        <v>72</v>
      </c>
    </row>
    <row r="74" spans="1:6" hidden="1" x14ac:dyDescent="0.25">
      <c r="A74" s="16">
        <v>42745</v>
      </c>
      <c r="B74" s="13" t="s">
        <v>157</v>
      </c>
      <c r="C74" s="13">
        <v>101</v>
      </c>
      <c r="D74" s="13">
        <v>892.16</v>
      </c>
      <c r="E74" s="13" t="s">
        <v>71</v>
      </c>
      <c r="F74" s="13">
        <v>73</v>
      </c>
    </row>
    <row r="75" spans="1:6" hidden="1" x14ac:dyDescent="0.25">
      <c r="A75" s="16">
        <v>42745</v>
      </c>
      <c r="B75" s="13" t="s">
        <v>158</v>
      </c>
      <c r="C75" s="13">
        <v>41</v>
      </c>
      <c r="D75" s="13">
        <v>464.33</v>
      </c>
      <c r="E75" s="13" t="s">
        <v>71</v>
      </c>
      <c r="F75" s="13">
        <v>74</v>
      </c>
    </row>
    <row r="76" spans="1:6" hidden="1" x14ac:dyDescent="0.25">
      <c r="A76" s="16">
        <v>42745</v>
      </c>
      <c r="B76" s="13" t="s">
        <v>159</v>
      </c>
      <c r="C76" s="13">
        <v>35</v>
      </c>
      <c r="D76" s="13">
        <v>822.17</v>
      </c>
      <c r="E76" s="13" t="s">
        <v>71</v>
      </c>
      <c r="F76" s="13">
        <v>75</v>
      </c>
    </row>
    <row r="77" spans="1:6" hidden="1" x14ac:dyDescent="0.25">
      <c r="A77" s="16">
        <v>42745</v>
      </c>
      <c r="B77" s="13" t="s">
        <v>160</v>
      </c>
      <c r="C77" s="13">
        <v>37</v>
      </c>
      <c r="D77" s="13">
        <v>359.13</v>
      </c>
      <c r="E77" s="13" t="s">
        <v>71</v>
      </c>
      <c r="F77" s="13">
        <v>76</v>
      </c>
    </row>
    <row r="78" spans="1:6" hidden="1" x14ac:dyDescent="0.25">
      <c r="A78" s="16">
        <v>42745</v>
      </c>
      <c r="B78" s="13" t="s">
        <v>161</v>
      </c>
      <c r="C78" s="13">
        <v>201</v>
      </c>
      <c r="D78" s="13">
        <v>357.41</v>
      </c>
      <c r="E78" s="13" t="s">
        <v>71</v>
      </c>
      <c r="F78" s="13">
        <v>77</v>
      </c>
    </row>
    <row r="79" spans="1:6" hidden="1" x14ac:dyDescent="0.25">
      <c r="A79" s="16">
        <v>42746</v>
      </c>
      <c r="B79" s="13" t="s">
        <v>162</v>
      </c>
      <c r="C79" s="13">
        <v>104</v>
      </c>
      <c r="D79" s="13">
        <v>274.3</v>
      </c>
      <c r="E79" s="13" t="s">
        <v>71</v>
      </c>
      <c r="F79" s="13">
        <v>78</v>
      </c>
    </row>
    <row r="80" spans="1:6" hidden="1" x14ac:dyDescent="0.25">
      <c r="A80" s="16">
        <v>42746</v>
      </c>
      <c r="B80" s="13" t="s">
        <v>163</v>
      </c>
      <c r="C80" s="13">
        <v>38</v>
      </c>
      <c r="D80" s="13">
        <v>490.34</v>
      </c>
      <c r="E80" s="13" t="s">
        <v>71</v>
      </c>
      <c r="F80" s="13">
        <v>79</v>
      </c>
    </row>
    <row r="81" spans="1:6" hidden="1" x14ac:dyDescent="0.25">
      <c r="A81" s="16">
        <v>42746</v>
      </c>
      <c r="B81" s="13" t="s">
        <v>164</v>
      </c>
      <c r="C81" s="13">
        <v>101</v>
      </c>
      <c r="D81" s="13">
        <v>857.58</v>
      </c>
      <c r="E81" s="13" t="s">
        <v>71</v>
      </c>
      <c r="F81" s="13">
        <v>80</v>
      </c>
    </row>
    <row r="82" spans="1:6" x14ac:dyDescent="0.25">
      <c r="A82" s="16">
        <v>42746</v>
      </c>
      <c r="B82" s="13" t="s">
        <v>165</v>
      </c>
      <c r="C82" s="13">
        <v>103</v>
      </c>
      <c r="D82" s="13">
        <v>716</v>
      </c>
      <c r="E82" s="13" t="s">
        <v>71</v>
      </c>
      <c r="F82" s="13">
        <v>81</v>
      </c>
    </row>
    <row r="83" spans="1:6" hidden="1" x14ac:dyDescent="0.25">
      <c r="A83" s="16">
        <v>42746</v>
      </c>
      <c r="B83" s="13" t="s">
        <v>166</v>
      </c>
      <c r="C83" s="13">
        <v>35</v>
      </c>
      <c r="D83" s="13">
        <v>792.22</v>
      </c>
      <c r="E83" s="13" t="s">
        <v>71</v>
      </c>
      <c r="F83" s="13">
        <v>82</v>
      </c>
    </row>
    <row r="84" spans="1:6" hidden="1" x14ac:dyDescent="0.25">
      <c r="A84" s="16">
        <v>42746</v>
      </c>
      <c r="B84" s="13" t="s">
        <v>167</v>
      </c>
      <c r="C84" s="13">
        <v>45</v>
      </c>
      <c r="D84" s="13">
        <v>274.44</v>
      </c>
      <c r="E84" s="13" t="s">
        <v>71</v>
      </c>
      <c r="F84" s="13">
        <v>83</v>
      </c>
    </row>
    <row r="85" spans="1:6" hidden="1" x14ac:dyDescent="0.25">
      <c r="A85" s="16">
        <v>42746</v>
      </c>
      <c r="B85" s="13" t="s">
        <v>168</v>
      </c>
      <c r="C85" s="13">
        <v>43</v>
      </c>
      <c r="D85" s="13">
        <v>209.58</v>
      </c>
      <c r="E85" s="13" t="s">
        <v>71</v>
      </c>
      <c r="F85" s="13">
        <v>84</v>
      </c>
    </row>
    <row r="86" spans="1:6" hidden="1" x14ac:dyDescent="0.25">
      <c r="A86" s="16">
        <v>42746</v>
      </c>
      <c r="B86" s="13" t="s">
        <v>169</v>
      </c>
      <c r="C86" s="13">
        <v>41</v>
      </c>
      <c r="D86" s="13">
        <v>473.92</v>
      </c>
      <c r="E86" s="13" t="s">
        <v>71</v>
      </c>
      <c r="F86" s="13">
        <v>85</v>
      </c>
    </row>
    <row r="87" spans="1:6" hidden="1" x14ac:dyDescent="0.25">
      <c r="A87" s="16">
        <v>42746</v>
      </c>
      <c r="B87" s="13" t="s">
        <v>170</v>
      </c>
      <c r="C87" s="13">
        <v>44</v>
      </c>
      <c r="D87" s="13">
        <v>777.62</v>
      </c>
      <c r="E87" s="13" t="s">
        <v>71</v>
      </c>
      <c r="F87" s="13">
        <v>86</v>
      </c>
    </row>
    <row r="88" spans="1:6" hidden="1" x14ac:dyDescent="0.25">
      <c r="A88" s="16">
        <v>42746</v>
      </c>
      <c r="B88" s="13" t="s">
        <v>172</v>
      </c>
      <c r="C88" s="13">
        <v>37</v>
      </c>
      <c r="D88" s="13">
        <v>773.6</v>
      </c>
      <c r="E88" s="13" t="s">
        <v>71</v>
      </c>
      <c r="F88" s="13">
        <v>87</v>
      </c>
    </row>
    <row r="89" spans="1:6" hidden="1" x14ac:dyDescent="0.25">
      <c r="A89" s="16">
        <v>42746</v>
      </c>
      <c r="B89" s="13" t="s">
        <v>173</v>
      </c>
      <c r="C89" s="13">
        <v>201</v>
      </c>
      <c r="D89" s="13">
        <v>494.39</v>
      </c>
      <c r="E89" s="13" t="s">
        <v>71</v>
      </c>
      <c r="F89" s="13">
        <v>88</v>
      </c>
    </row>
    <row r="90" spans="1:6" x14ac:dyDescent="0.25">
      <c r="A90" s="16">
        <v>42747</v>
      </c>
      <c r="B90" s="13" t="s">
        <v>174</v>
      </c>
      <c r="C90" s="13">
        <v>103</v>
      </c>
      <c r="D90" s="13">
        <v>1416.65</v>
      </c>
      <c r="E90" s="13" t="s">
        <v>71</v>
      </c>
      <c r="F90" s="13">
        <v>89</v>
      </c>
    </row>
    <row r="91" spans="1:6" hidden="1" x14ac:dyDescent="0.25">
      <c r="A91" s="16">
        <v>42747</v>
      </c>
      <c r="B91" s="13" t="s">
        <v>175</v>
      </c>
      <c r="C91" s="13">
        <v>35</v>
      </c>
      <c r="D91" s="13">
        <v>1449.22</v>
      </c>
      <c r="E91" s="13" t="s">
        <v>71</v>
      </c>
      <c r="F91" s="13">
        <v>90</v>
      </c>
    </row>
    <row r="92" spans="1:6" hidden="1" x14ac:dyDescent="0.25">
      <c r="A92" s="16">
        <v>42747</v>
      </c>
      <c r="B92" s="13" t="s">
        <v>176</v>
      </c>
      <c r="C92" s="13">
        <v>45</v>
      </c>
      <c r="D92" s="13">
        <v>653.91</v>
      </c>
      <c r="E92" s="13" t="s">
        <v>71</v>
      </c>
      <c r="F92" s="13">
        <v>91</v>
      </c>
    </row>
    <row r="93" spans="1:6" hidden="1" x14ac:dyDescent="0.25">
      <c r="A93" s="16">
        <v>42747</v>
      </c>
      <c r="B93" s="13" t="s">
        <v>177</v>
      </c>
      <c r="C93" s="13">
        <v>41</v>
      </c>
      <c r="D93" s="13">
        <v>1353.33</v>
      </c>
      <c r="E93" s="13" t="s">
        <v>71</v>
      </c>
      <c r="F93" s="13">
        <v>92</v>
      </c>
    </row>
    <row r="94" spans="1:6" hidden="1" x14ac:dyDescent="0.25">
      <c r="A94" s="16">
        <v>42747</v>
      </c>
      <c r="B94" s="13" t="s">
        <v>178</v>
      </c>
      <c r="C94" s="13">
        <v>43</v>
      </c>
      <c r="D94" s="13">
        <v>169.72</v>
      </c>
      <c r="E94" s="13" t="s">
        <v>71</v>
      </c>
      <c r="F94" s="13">
        <v>93</v>
      </c>
    </row>
    <row r="95" spans="1:6" hidden="1" x14ac:dyDescent="0.25">
      <c r="A95" s="16">
        <v>42747</v>
      </c>
      <c r="B95" s="13" t="s">
        <v>179</v>
      </c>
      <c r="C95" s="13">
        <v>101</v>
      </c>
      <c r="D95" s="13">
        <v>790.54</v>
      </c>
      <c r="E95" s="13" t="s">
        <v>71</v>
      </c>
      <c r="F95" s="13">
        <v>94</v>
      </c>
    </row>
    <row r="96" spans="1:6" hidden="1" x14ac:dyDescent="0.25">
      <c r="A96" s="16">
        <v>42747</v>
      </c>
      <c r="B96" s="13" t="s">
        <v>180</v>
      </c>
      <c r="C96" s="13">
        <v>38</v>
      </c>
      <c r="D96" s="13">
        <v>1132.19</v>
      </c>
      <c r="E96" s="13" t="s">
        <v>71</v>
      </c>
      <c r="F96" s="13">
        <v>95</v>
      </c>
    </row>
    <row r="97" spans="1:6" hidden="1" x14ac:dyDescent="0.25">
      <c r="A97" s="16">
        <v>42747</v>
      </c>
      <c r="B97" s="13" t="s">
        <v>181</v>
      </c>
      <c r="C97" s="13">
        <v>44</v>
      </c>
      <c r="D97" s="13">
        <v>907.97</v>
      </c>
      <c r="E97" s="13" t="s">
        <v>71</v>
      </c>
      <c r="F97" s="13">
        <v>96</v>
      </c>
    </row>
    <row r="98" spans="1:6" hidden="1" x14ac:dyDescent="0.25">
      <c r="A98" s="16">
        <v>42747</v>
      </c>
      <c r="B98" s="13" t="s">
        <v>182</v>
      </c>
      <c r="C98" s="13">
        <v>104</v>
      </c>
      <c r="D98" s="13">
        <v>633.66999999999996</v>
      </c>
      <c r="E98" s="13" t="s">
        <v>71</v>
      </c>
      <c r="F98" s="13">
        <v>97</v>
      </c>
    </row>
    <row r="99" spans="1:6" hidden="1" x14ac:dyDescent="0.25">
      <c r="A99" s="16">
        <v>42747</v>
      </c>
      <c r="B99" s="13" t="s">
        <v>183</v>
      </c>
      <c r="C99" s="13">
        <v>201</v>
      </c>
      <c r="D99" s="13">
        <v>179.7</v>
      </c>
      <c r="E99" s="13" t="s">
        <v>71</v>
      </c>
      <c r="F99" s="13">
        <v>98</v>
      </c>
    </row>
    <row r="100" spans="1:6" hidden="1" x14ac:dyDescent="0.25">
      <c r="A100" s="16">
        <v>42747</v>
      </c>
      <c r="B100" s="13" t="s">
        <v>184</v>
      </c>
      <c r="C100" s="13">
        <v>37</v>
      </c>
      <c r="D100" s="13">
        <v>1393.65</v>
      </c>
      <c r="E100" s="13" t="s">
        <v>71</v>
      </c>
      <c r="F100" s="13">
        <v>99</v>
      </c>
    </row>
    <row r="101" spans="1:6" hidden="1" x14ac:dyDescent="0.25">
      <c r="A101" s="16">
        <v>42750</v>
      </c>
      <c r="B101" s="13" t="s">
        <v>185</v>
      </c>
      <c r="C101" s="13">
        <v>38</v>
      </c>
      <c r="D101" s="13">
        <v>705.96</v>
      </c>
      <c r="E101" s="13" t="s">
        <v>71</v>
      </c>
      <c r="F101" s="13">
        <v>100</v>
      </c>
    </row>
    <row r="102" spans="1:6" hidden="1" x14ac:dyDescent="0.25">
      <c r="A102" s="16">
        <v>42750</v>
      </c>
      <c r="B102" s="13" t="s">
        <v>186</v>
      </c>
      <c r="C102" s="13">
        <v>101</v>
      </c>
      <c r="D102" s="13">
        <v>174.8</v>
      </c>
      <c r="E102" s="13" t="s">
        <v>71</v>
      </c>
      <c r="F102" s="13">
        <v>101</v>
      </c>
    </row>
    <row r="103" spans="1:6" hidden="1" x14ac:dyDescent="0.25">
      <c r="A103" s="16">
        <v>42750</v>
      </c>
      <c r="B103" s="13" t="s">
        <v>187</v>
      </c>
      <c r="C103" s="13">
        <v>45</v>
      </c>
      <c r="D103" s="13">
        <v>542.58000000000004</v>
      </c>
      <c r="E103" s="13" t="s">
        <v>71</v>
      </c>
      <c r="F103" s="13">
        <v>102</v>
      </c>
    </row>
    <row r="104" spans="1:6" hidden="1" x14ac:dyDescent="0.25">
      <c r="A104" s="16">
        <v>42750</v>
      </c>
      <c r="B104" s="13" t="s">
        <v>188</v>
      </c>
      <c r="C104" s="13">
        <v>43</v>
      </c>
      <c r="D104" s="13">
        <v>277.27999999999997</v>
      </c>
      <c r="E104" s="13" t="s">
        <v>71</v>
      </c>
      <c r="F104" s="13">
        <v>103</v>
      </c>
    </row>
    <row r="105" spans="1:6" hidden="1" x14ac:dyDescent="0.25">
      <c r="A105" s="16">
        <v>42750</v>
      </c>
      <c r="B105" s="13" t="s">
        <v>189</v>
      </c>
      <c r="C105" s="13">
        <v>35</v>
      </c>
      <c r="D105" s="13">
        <v>589.29999999999995</v>
      </c>
      <c r="E105" s="13" t="s">
        <v>71</v>
      </c>
      <c r="F105" s="13">
        <v>104</v>
      </c>
    </row>
    <row r="106" spans="1:6" hidden="1" x14ac:dyDescent="0.25">
      <c r="A106" s="16">
        <v>42750</v>
      </c>
      <c r="B106" s="13" t="s">
        <v>190</v>
      </c>
      <c r="C106" s="13">
        <v>41</v>
      </c>
      <c r="D106" s="13">
        <v>598.73</v>
      </c>
      <c r="E106" s="13" t="s">
        <v>71</v>
      </c>
      <c r="F106" s="13">
        <v>105</v>
      </c>
    </row>
    <row r="107" spans="1:6" hidden="1" x14ac:dyDescent="0.25">
      <c r="A107" s="16">
        <v>42750</v>
      </c>
      <c r="B107" s="13" t="s">
        <v>191</v>
      </c>
      <c r="C107" s="13">
        <v>104</v>
      </c>
      <c r="D107" s="13">
        <v>169.75</v>
      </c>
      <c r="E107" s="13" t="s">
        <v>71</v>
      </c>
      <c r="F107" s="13">
        <v>106</v>
      </c>
    </row>
    <row r="108" spans="1:6" hidden="1" x14ac:dyDescent="0.25">
      <c r="A108" s="16">
        <v>42750</v>
      </c>
      <c r="B108" s="13" t="s">
        <v>192</v>
      </c>
      <c r="C108" s="13">
        <v>44</v>
      </c>
      <c r="D108" s="13">
        <v>591.9</v>
      </c>
      <c r="E108" s="13" t="s">
        <v>71</v>
      </c>
      <c r="F108" s="13">
        <v>107</v>
      </c>
    </row>
    <row r="109" spans="1:6" hidden="1" x14ac:dyDescent="0.25">
      <c r="A109" s="16">
        <v>42749</v>
      </c>
      <c r="B109" s="13" t="s">
        <v>193</v>
      </c>
      <c r="C109" s="13">
        <v>38</v>
      </c>
      <c r="D109" s="13">
        <v>747.23</v>
      </c>
      <c r="E109" s="13" t="s">
        <v>71</v>
      </c>
      <c r="F109" s="13">
        <v>108</v>
      </c>
    </row>
    <row r="110" spans="1:6" hidden="1" x14ac:dyDescent="0.25">
      <c r="A110" s="16">
        <v>42749</v>
      </c>
      <c r="B110" s="13" t="s">
        <v>194</v>
      </c>
      <c r="C110" s="13">
        <v>41</v>
      </c>
      <c r="D110" s="13">
        <v>287.77999999999997</v>
      </c>
      <c r="E110" s="13" t="s">
        <v>71</v>
      </c>
      <c r="F110" s="13">
        <v>109</v>
      </c>
    </row>
    <row r="111" spans="1:6" x14ac:dyDescent="0.25">
      <c r="A111" s="16">
        <v>42749</v>
      </c>
      <c r="B111" s="13" t="s">
        <v>195</v>
      </c>
      <c r="C111" s="13">
        <v>103</v>
      </c>
      <c r="D111" s="13">
        <v>777.86</v>
      </c>
      <c r="E111" s="13" t="s">
        <v>71</v>
      </c>
      <c r="F111" s="13">
        <v>110</v>
      </c>
    </row>
    <row r="112" spans="1:6" hidden="1" x14ac:dyDescent="0.25">
      <c r="A112" s="16">
        <v>42749</v>
      </c>
      <c r="B112" s="13" t="s">
        <v>196</v>
      </c>
      <c r="C112" s="13">
        <v>44</v>
      </c>
      <c r="D112" s="13">
        <v>439.27</v>
      </c>
      <c r="E112" s="13" t="s">
        <v>71</v>
      </c>
      <c r="F112" s="13">
        <v>111</v>
      </c>
    </row>
    <row r="113" spans="1:6" hidden="1" x14ac:dyDescent="0.25">
      <c r="A113" s="16">
        <v>42749</v>
      </c>
      <c r="B113" s="13" t="s">
        <v>197</v>
      </c>
      <c r="C113" s="13">
        <v>35</v>
      </c>
      <c r="D113" s="13">
        <v>1418.49</v>
      </c>
      <c r="E113" s="13" t="s">
        <v>71</v>
      </c>
      <c r="F113" s="13">
        <v>112</v>
      </c>
    </row>
    <row r="114" spans="1:6" hidden="1" x14ac:dyDescent="0.25">
      <c r="A114" s="16">
        <v>42749</v>
      </c>
      <c r="B114" s="13" t="s">
        <v>198</v>
      </c>
      <c r="C114" s="13">
        <v>101</v>
      </c>
      <c r="D114" s="13">
        <v>581.85</v>
      </c>
      <c r="E114" s="13" t="s">
        <v>71</v>
      </c>
      <c r="F114" s="13">
        <v>113</v>
      </c>
    </row>
    <row r="115" spans="1:6" hidden="1" x14ac:dyDescent="0.25">
      <c r="A115" s="16">
        <v>42749</v>
      </c>
      <c r="B115" s="13" t="s">
        <v>199</v>
      </c>
      <c r="C115" s="13">
        <v>43</v>
      </c>
      <c r="D115" s="13">
        <v>285.35000000000002</v>
      </c>
      <c r="E115" s="13" t="s">
        <v>71</v>
      </c>
      <c r="F115" s="13">
        <v>114</v>
      </c>
    </row>
    <row r="116" spans="1:6" hidden="1" x14ac:dyDescent="0.25">
      <c r="A116" s="16">
        <v>42749</v>
      </c>
      <c r="B116" s="13" t="s">
        <v>200</v>
      </c>
      <c r="C116" s="13">
        <v>45</v>
      </c>
      <c r="D116" s="13">
        <v>924.07</v>
      </c>
      <c r="E116" s="13" t="s">
        <v>71</v>
      </c>
      <c r="F116" s="13">
        <v>115</v>
      </c>
    </row>
    <row r="117" spans="1:6" hidden="1" x14ac:dyDescent="0.25">
      <c r="A117" s="16">
        <v>42749</v>
      </c>
      <c r="B117" s="13" t="s">
        <v>201</v>
      </c>
      <c r="C117" s="13">
        <v>104</v>
      </c>
      <c r="D117" s="13">
        <v>199.6</v>
      </c>
      <c r="E117" s="13" t="s">
        <v>71</v>
      </c>
      <c r="F117" s="13">
        <v>116</v>
      </c>
    </row>
    <row r="118" spans="1:6" hidden="1" x14ac:dyDescent="0.25">
      <c r="A118" s="16">
        <v>42748</v>
      </c>
      <c r="B118" s="13" t="s">
        <v>203</v>
      </c>
      <c r="C118" s="13">
        <v>35</v>
      </c>
      <c r="D118" s="13">
        <v>762.39</v>
      </c>
      <c r="E118" s="13" t="s">
        <v>71</v>
      </c>
      <c r="F118" s="13">
        <v>117</v>
      </c>
    </row>
    <row r="119" spans="1:6" hidden="1" x14ac:dyDescent="0.25">
      <c r="A119" s="16">
        <v>42748</v>
      </c>
      <c r="B119" s="13" t="s">
        <v>204</v>
      </c>
      <c r="C119" s="13">
        <v>45</v>
      </c>
      <c r="D119" s="13">
        <v>599.92999999999995</v>
      </c>
      <c r="E119" s="13" t="s">
        <v>71</v>
      </c>
      <c r="F119" s="13">
        <v>118</v>
      </c>
    </row>
    <row r="120" spans="1:6" hidden="1" x14ac:dyDescent="0.25">
      <c r="A120" s="16">
        <v>42748</v>
      </c>
      <c r="B120" s="13" t="s">
        <v>205</v>
      </c>
      <c r="C120" s="13">
        <v>44</v>
      </c>
      <c r="D120" s="13">
        <v>576.63</v>
      </c>
      <c r="E120" s="13" t="s">
        <v>71</v>
      </c>
      <c r="F120" s="13">
        <v>119</v>
      </c>
    </row>
    <row r="121" spans="1:6" hidden="1" x14ac:dyDescent="0.25">
      <c r="A121" s="16">
        <v>42748</v>
      </c>
      <c r="B121" s="13" t="s">
        <v>206</v>
      </c>
      <c r="C121" s="13">
        <v>104</v>
      </c>
      <c r="D121" s="13">
        <v>89.7</v>
      </c>
      <c r="E121" s="13" t="s">
        <v>71</v>
      </c>
      <c r="F121" s="13">
        <v>120</v>
      </c>
    </row>
    <row r="122" spans="1:6" hidden="1" x14ac:dyDescent="0.25">
      <c r="A122" s="16">
        <v>42748</v>
      </c>
      <c r="B122" s="13" t="s">
        <v>207</v>
      </c>
      <c r="C122" s="13">
        <v>101</v>
      </c>
      <c r="D122" s="13">
        <v>560.79999999999995</v>
      </c>
      <c r="E122" s="13" t="s">
        <v>71</v>
      </c>
      <c r="F122" s="13">
        <v>121</v>
      </c>
    </row>
    <row r="123" spans="1:6" hidden="1" x14ac:dyDescent="0.25">
      <c r="A123" s="16">
        <v>42748</v>
      </c>
      <c r="B123" s="13" t="s">
        <v>208</v>
      </c>
      <c r="C123" s="13">
        <v>43</v>
      </c>
      <c r="D123" s="13">
        <v>164.83</v>
      </c>
      <c r="E123" s="13" t="s">
        <v>71</v>
      </c>
      <c r="F123" s="13">
        <v>122</v>
      </c>
    </row>
    <row r="124" spans="1:6" x14ac:dyDescent="0.25">
      <c r="A124" s="16">
        <v>42748</v>
      </c>
      <c r="B124" s="13" t="s">
        <v>209</v>
      </c>
      <c r="C124" s="13">
        <v>103</v>
      </c>
      <c r="D124" s="13">
        <v>692.3</v>
      </c>
      <c r="E124" s="13" t="s">
        <v>71</v>
      </c>
      <c r="F124" s="13">
        <v>123</v>
      </c>
    </row>
    <row r="125" spans="1:6" hidden="1" x14ac:dyDescent="0.25">
      <c r="A125" s="16">
        <v>42748</v>
      </c>
      <c r="B125" s="13" t="s">
        <v>210</v>
      </c>
      <c r="C125" s="13">
        <v>41</v>
      </c>
      <c r="D125" s="13">
        <v>769.43</v>
      </c>
      <c r="E125" s="13" t="s">
        <v>71</v>
      </c>
      <c r="F125" s="13">
        <v>124</v>
      </c>
    </row>
    <row r="126" spans="1:6" hidden="1" x14ac:dyDescent="0.25">
      <c r="A126" s="16">
        <v>42748</v>
      </c>
      <c r="B126" s="13" t="s">
        <v>211</v>
      </c>
      <c r="C126" s="13">
        <v>38</v>
      </c>
      <c r="D126" s="13">
        <v>674.43</v>
      </c>
      <c r="E126" s="13" t="s">
        <v>71</v>
      </c>
      <c r="F126" s="13">
        <v>125</v>
      </c>
    </row>
    <row r="127" spans="1:6" hidden="1" x14ac:dyDescent="0.25">
      <c r="A127" s="16">
        <v>42750</v>
      </c>
      <c r="B127" s="13" t="s">
        <v>214</v>
      </c>
      <c r="C127" s="13">
        <v>201</v>
      </c>
      <c r="D127" s="13">
        <v>79.8</v>
      </c>
      <c r="E127" s="13" t="s">
        <v>71</v>
      </c>
      <c r="F127" s="13">
        <v>126</v>
      </c>
    </row>
    <row r="128" spans="1:6" hidden="1" x14ac:dyDescent="0.25">
      <c r="A128" s="16">
        <v>42750</v>
      </c>
      <c r="B128" s="13" t="s">
        <v>215</v>
      </c>
      <c r="C128" s="13">
        <v>37</v>
      </c>
      <c r="D128" s="13">
        <v>783.14</v>
      </c>
      <c r="E128" s="13" t="s">
        <v>71</v>
      </c>
      <c r="F128" s="13">
        <v>127</v>
      </c>
    </row>
    <row r="129" spans="1:6" hidden="1" x14ac:dyDescent="0.25">
      <c r="A129" s="16">
        <v>42749</v>
      </c>
      <c r="B129" s="13" t="s">
        <v>216</v>
      </c>
      <c r="C129" s="13">
        <v>201</v>
      </c>
      <c r="D129" s="13">
        <v>582.20000000000005</v>
      </c>
      <c r="E129" s="13" t="s">
        <v>71</v>
      </c>
      <c r="F129" s="13">
        <v>128</v>
      </c>
    </row>
    <row r="130" spans="1:6" hidden="1" x14ac:dyDescent="0.25">
      <c r="A130" s="16">
        <v>42749</v>
      </c>
      <c r="B130" s="13" t="s">
        <v>217</v>
      </c>
      <c r="C130" s="13">
        <v>37</v>
      </c>
      <c r="D130" s="13">
        <v>1060.77</v>
      </c>
      <c r="E130" s="13" t="s">
        <v>71</v>
      </c>
      <c r="F130" s="13">
        <v>129</v>
      </c>
    </row>
    <row r="131" spans="1:6" hidden="1" x14ac:dyDescent="0.25">
      <c r="A131" s="16">
        <v>42748</v>
      </c>
      <c r="B131" s="13" t="s">
        <v>218</v>
      </c>
      <c r="C131" s="13">
        <v>37</v>
      </c>
      <c r="D131" s="13">
        <v>1088.55</v>
      </c>
      <c r="E131" s="13" t="s">
        <v>71</v>
      </c>
      <c r="F131" s="13">
        <v>130</v>
      </c>
    </row>
    <row r="132" spans="1:6" hidden="1" x14ac:dyDescent="0.25">
      <c r="A132" s="16">
        <v>42748</v>
      </c>
      <c r="B132" s="13" t="s">
        <v>219</v>
      </c>
      <c r="C132" s="13">
        <v>201</v>
      </c>
      <c r="D132" s="13">
        <v>467.76</v>
      </c>
      <c r="E132" s="13" t="s">
        <v>71</v>
      </c>
      <c r="F132" s="13">
        <v>131</v>
      </c>
    </row>
    <row r="133" spans="1:6" hidden="1" x14ac:dyDescent="0.25">
      <c r="A133" s="16">
        <v>42751</v>
      </c>
      <c r="B133" s="13" t="s">
        <v>220</v>
      </c>
      <c r="C133" s="13">
        <v>104</v>
      </c>
      <c r="D133" s="13">
        <v>115.5</v>
      </c>
      <c r="E133" s="13" t="s">
        <v>71</v>
      </c>
      <c r="F133" s="13">
        <v>132</v>
      </c>
    </row>
    <row r="134" spans="1:6" hidden="1" x14ac:dyDescent="0.25">
      <c r="A134" s="16">
        <v>42751</v>
      </c>
      <c r="B134" s="13" t="s">
        <v>221</v>
      </c>
      <c r="C134" s="13">
        <v>35</v>
      </c>
      <c r="D134" s="13">
        <v>649.19000000000005</v>
      </c>
      <c r="E134" s="13" t="s">
        <v>71</v>
      </c>
      <c r="F134" s="13">
        <v>133</v>
      </c>
    </row>
    <row r="135" spans="1:6" hidden="1" x14ac:dyDescent="0.25">
      <c r="A135" s="16">
        <v>42751</v>
      </c>
      <c r="B135" s="13" t="s">
        <v>222</v>
      </c>
      <c r="C135" s="13">
        <v>43</v>
      </c>
      <c r="D135" s="13">
        <v>224.66</v>
      </c>
      <c r="E135" s="13" t="s">
        <v>71</v>
      </c>
      <c r="F135" s="13">
        <v>134</v>
      </c>
    </row>
    <row r="136" spans="1:6" hidden="1" x14ac:dyDescent="0.25">
      <c r="A136" s="16">
        <v>42751</v>
      </c>
      <c r="B136" s="13" t="s">
        <v>223</v>
      </c>
      <c r="C136" s="13">
        <v>38</v>
      </c>
      <c r="D136" s="13">
        <v>263.39999999999998</v>
      </c>
      <c r="E136" s="13" t="s">
        <v>71</v>
      </c>
      <c r="F136" s="13">
        <v>135</v>
      </c>
    </row>
    <row r="137" spans="1:6" hidden="1" x14ac:dyDescent="0.25">
      <c r="A137" s="16">
        <v>42751</v>
      </c>
      <c r="B137" s="13" t="s">
        <v>224</v>
      </c>
      <c r="C137" s="13">
        <v>45</v>
      </c>
      <c r="D137" s="13">
        <v>354.58</v>
      </c>
      <c r="E137" s="13" t="s">
        <v>71</v>
      </c>
      <c r="F137" s="13">
        <v>136</v>
      </c>
    </row>
    <row r="138" spans="1:6" hidden="1" x14ac:dyDescent="0.25">
      <c r="A138" s="16">
        <v>42751</v>
      </c>
      <c r="B138" s="13" t="s">
        <v>225</v>
      </c>
      <c r="C138" s="13">
        <v>44</v>
      </c>
      <c r="D138" s="13">
        <v>716.35</v>
      </c>
      <c r="E138" s="13" t="s">
        <v>71</v>
      </c>
      <c r="F138" s="13">
        <v>137</v>
      </c>
    </row>
    <row r="139" spans="1:6" x14ac:dyDescent="0.25">
      <c r="A139" s="16">
        <v>42751</v>
      </c>
      <c r="B139" s="13" t="s">
        <v>226</v>
      </c>
      <c r="C139" s="13">
        <v>103</v>
      </c>
      <c r="D139" s="13">
        <v>770.53</v>
      </c>
      <c r="E139" s="13" t="s">
        <v>71</v>
      </c>
      <c r="F139" s="13">
        <v>138</v>
      </c>
    </row>
    <row r="140" spans="1:6" hidden="1" x14ac:dyDescent="0.25">
      <c r="A140" s="16">
        <v>42751</v>
      </c>
      <c r="B140" s="13" t="s">
        <v>227</v>
      </c>
      <c r="C140" s="13">
        <v>41</v>
      </c>
      <c r="D140" s="13">
        <v>299.57</v>
      </c>
      <c r="E140" s="13" t="s">
        <v>71</v>
      </c>
      <c r="F140" s="13">
        <v>139</v>
      </c>
    </row>
    <row r="141" spans="1:6" hidden="1" x14ac:dyDescent="0.25">
      <c r="A141" s="16">
        <v>42751</v>
      </c>
      <c r="B141" s="13" t="s">
        <v>228</v>
      </c>
      <c r="C141" s="13">
        <v>101</v>
      </c>
      <c r="D141" s="13">
        <v>807.51</v>
      </c>
      <c r="E141" s="13" t="s">
        <v>71</v>
      </c>
      <c r="F141" s="13">
        <v>140</v>
      </c>
    </row>
    <row r="142" spans="1:6" hidden="1" x14ac:dyDescent="0.25">
      <c r="A142" s="16">
        <v>42751</v>
      </c>
      <c r="B142" s="13" t="s">
        <v>229</v>
      </c>
      <c r="C142" s="13">
        <v>37</v>
      </c>
      <c r="D142" s="13">
        <v>476.5</v>
      </c>
      <c r="E142" s="13" t="s">
        <v>71</v>
      </c>
      <c r="F142" s="13">
        <v>141</v>
      </c>
    </row>
    <row r="143" spans="1:6" hidden="1" x14ac:dyDescent="0.25">
      <c r="A143" s="16">
        <v>42751</v>
      </c>
      <c r="B143" s="13" t="s">
        <v>230</v>
      </c>
      <c r="C143" s="13">
        <v>201</v>
      </c>
      <c r="D143" s="13">
        <v>484.18</v>
      </c>
      <c r="E143" s="13" t="s">
        <v>71</v>
      </c>
      <c r="F143" s="13">
        <v>142</v>
      </c>
    </row>
    <row r="144" spans="1:6" hidden="1" x14ac:dyDescent="0.25">
      <c r="A144" s="16">
        <v>42752</v>
      </c>
      <c r="B144" s="13" t="s">
        <v>231</v>
      </c>
      <c r="C144" s="13">
        <v>44</v>
      </c>
      <c r="D144" s="13">
        <v>662.36</v>
      </c>
      <c r="E144" s="13" t="s">
        <v>71</v>
      </c>
      <c r="F144" s="13">
        <v>143</v>
      </c>
    </row>
    <row r="145" spans="1:6" hidden="1" x14ac:dyDescent="0.25">
      <c r="A145" s="16">
        <v>42752</v>
      </c>
      <c r="B145" s="13" t="s">
        <v>232</v>
      </c>
      <c r="C145" s="13">
        <v>101</v>
      </c>
      <c r="D145" s="13">
        <v>443.19</v>
      </c>
      <c r="E145" s="13" t="s">
        <v>71</v>
      </c>
      <c r="F145" s="13">
        <v>144</v>
      </c>
    </row>
    <row r="146" spans="1:6" hidden="1" x14ac:dyDescent="0.25">
      <c r="A146" s="16">
        <v>42752</v>
      </c>
      <c r="B146" s="13" t="s">
        <v>233</v>
      </c>
      <c r="C146" s="13">
        <v>41</v>
      </c>
      <c r="D146" s="13">
        <v>948.81</v>
      </c>
      <c r="E146" s="13" t="s">
        <v>71</v>
      </c>
      <c r="F146" s="13">
        <v>145</v>
      </c>
    </row>
    <row r="147" spans="1:6" hidden="1" x14ac:dyDescent="0.25">
      <c r="A147" s="16">
        <v>42752</v>
      </c>
      <c r="B147" s="13" t="s">
        <v>234</v>
      </c>
      <c r="C147" s="13">
        <v>104</v>
      </c>
      <c r="D147" s="13">
        <v>247.45</v>
      </c>
      <c r="E147" s="13" t="s">
        <v>71</v>
      </c>
      <c r="F147" s="13">
        <v>146</v>
      </c>
    </row>
    <row r="148" spans="1:6" hidden="1" x14ac:dyDescent="0.25">
      <c r="A148" s="16">
        <v>42752</v>
      </c>
      <c r="B148" s="13" t="s">
        <v>235</v>
      </c>
      <c r="C148" s="13">
        <v>43</v>
      </c>
      <c r="D148" s="13">
        <v>319.14999999999998</v>
      </c>
      <c r="E148" s="13" t="s">
        <v>71</v>
      </c>
      <c r="F148" s="13">
        <v>147</v>
      </c>
    </row>
    <row r="149" spans="1:6" hidden="1" x14ac:dyDescent="0.25">
      <c r="A149" s="16">
        <v>42752</v>
      </c>
      <c r="B149" s="13" t="s">
        <v>236</v>
      </c>
      <c r="C149" s="13">
        <v>45</v>
      </c>
      <c r="D149" s="13">
        <v>339.48</v>
      </c>
      <c r="E149" s="13" t="s">
        <v>71</v>
      </c>
      <c r="F149" s="13">
        <v>148</v>
      </c>
    </row>
    <row r="150" spans="1:6" x14ac:dyDescent="0.25">
      <c r="A150" s="16">
        <v>42752</v>
      </c>
      <c r="B150" s="13" t="s">
        <v>237</v>
      </c>
      <c r="C150" s="13">
        <v>103</v>
      </c>
      <c r="D150" s="13">
        <v>659.4</v>
      </c>
      <c r="E150" s="13" t="s">
        <v>71</v>
      </c>
      <c r="F150" s="13">
        <v>149</v>
      </c>
    </row>
    <row r="151" spans="1:6" hidden="1" x14ac:dyDescent="0.25">
      <c r="A151" s="16">
        <v>42752</v>
      </c>
      <c r="B151" s="13" t="s">
        <v>238</v>
      </c>
      <c r="C151" s="13">
        <v>38</v>
      </c>
      <c r="D151" s="13">
        <v>399.69</v>
      </c>
      <c r="E151" s="13" t="s">
        <v>71</v>
      </c>
      <c r="F151" s="13">
        <v>150</v>
      </c>
    </row>
    <row r="152" spans="1:6" hidden="1" x14ac:dyDescent="0.25">
      <c r="A152" s="16">
        <v>42752</v>
      </c>
      <c r="B152" s="13" t="s">
        <v>239</v>
      </c>
      <c r="C152" s="13">
        <v>35</v>
      </c>
      <c r="D152" s="13">
        <v>788.23</v>
      </c>
      <c r="E152" s="13" t="s">
        <v>71</v>
      </c>
      <c r="F152" s="13">
        <v>151</v>
      </c>
    </row>
    <row r="153" spans="1:6" hidden="1" x14ac:dyDescent="0.25">
      <c r="A153" s="16">
        <v>42752</v>
      </c>
      <c r="B153" s="13" t="s">
        <v>241</v>
      </c>
      <c r="C153" s="13">
        <v>201</v>
      </c>
      <c r="D153" s="13">
        <v>289.45999999999998</v>
      </c>
      <c r="E153" s="13" t="s">
        <v>71</v>
      </c>
      <c r="F153" s="13">
        <v>152</v>
      </c>
    </row>
    <row r="154" spans="1:6" hidden="1" x14ac:dyDescent="0.25">
      <c r="A154" s="16">
        <v>42752</v>
      </c>
      <c r="B154" s="13" t="s">
        <v>242</v>
      </c>
      <c r="C154" s="13">
        <v>37</v>
      </c>
      <c r="D154" s="13">
        <v>406.86</v>
      </c>
      <c r="E154" s="13" t="s">
        <v>71</v>
      </c>
      <c r="F154" s="13">
        <v>153</v>
      </c>
    </row>
    <row r="155" spans="1:6" hidden="1" x14ac:dyDescent="0.25">
      <c r="A155" s="16">
        <v>42753</v>
      </c>
      <c r="B155" s="13" t="s">
        <v>245</v>
      </c>
      <c r="C155" s="13">
        <v>35</v>
      </c>
      <c r="D155" s="13">
        <v>953.49</v>
      </c>
      <c r="E155" s="13" t="s">
        <v>71</v>
      </c>
      <c r="F155" s="13">
        <v>154</v>
      </c>
    </row>
    <row r="156" spans="1:6" hidden="1" x14ac:dyDescent="0.25">
      <c r="A156" s="16">
        <v>42753</v>
      </c>
      <c r="B156" s="13" t="s">
        <v>246</v>
      </c>
      <c r="C156" s="13">
        <v>45</v>
      </c>
      <c r="D156" s="13">
        <v>419.52</v>
      </c>
      <c r="E156" s="13" t="s">
        <v>71</v>
      </c>
      <c r="F156" s="13">
        <v>155</v>
      </c>
    </row>
    <row r="157" spans="1:6" hidden="1" x14ac:dyDescent="0.25">
      <c r="A157" s="16">
        <v>42753</v>
      </c>
      <c r="B157" s="13" t="s">
        <v>247</v>
      </c>
      <c r="C157" s="13">
        <v>104</v>
      </c>
      <c r="D157" s="13">
        <v>414.2</v>
      </c>
      <c r="E157" s="13" t="s">
        <v>71</v>
      </c>
      <c r="F157" s="13">
        <v>156</v>
      </c>
    </row>
    <row r="158" spans="1:6" hidden="1" x14ac:dyDescent="0.25">
      <c r="A158" s="16">
        <v>42753</v>
      </c>
      <c r="B158" s="13" t="s">
        <v>248</v>
      </c>
      <c r="C158" s="13">
        <v>41</v>
      </c>
      <c r="D158" s="13">
        <v>903.27</v>
      </c>
      <c r="E158" s="13" t="s">
        <v>71</v>
      </c>
      <c r="F158" s="13">
        <v>157</v>
      </c>
    </row>
    <row r="159" spans="1:6" hidden="1" x14ac:dyDescent="0.25">
      <c r="A159" s="16">
        <v>42753</v>
      </c>
      <c r="B159" s="13" t="s">
        <v>249</v>
      </c>
      <c r="C159" s="13">
        <v>38</v>
      </c>
      <c r="D159" s="13">
        <v>543.42999999999995</v>
      </c>
      <c r="E159" s="13" t="s">
        <v>71</v>
      </c>
      <c r="F159" s="13">
        <v>158</v>
      </c>
    </row>
    <row r="160" spans="1:6" hidden="1" x14ac:dyDescent="0.25">
      <c r="A160" s="16">
        <v>42753</v>
      </c>
      <c r="B160" s="13" t="s">
        <v>250</v>
      </c>
      <c r="C160" s="13">
        <v>44</v>
      </c>
      <c r="D160" s="13">
        <v>721.69</v>
      </c>
      <c r="E160" s="13" t="s">
        <v>71</v>
      </c>
      <c r="F160" s="13">
        <v>159</v>
      </c>
    </row>
    <row r="161" spans="1:6" x14ac:dyDescent="0.25">
      <c r="A161" s="16">
        <v>42753</v>
      </c>
      <c r="B161" s="13" t="s">
        <v>251</v>
      </c>
      <c r="C161" s="13">
        <v>103</v>
      </c>
      <c r="D161" s="13">
        <v>679.14</v>
      </c>
      <c r="E161" s="13" t="s">
        <v>71</v>
      </c>
      <c r="F161" s="13">
        <v>160</v>
      </c>
    </row>
    <row r="162" spans="1:6" hidden="1" x14ac:dyDescent="0.25">
      <c r="A162" s="16">
        <v>42753</v>
      </c>
      <c r="B162" s="13" t="s">
        <v>252</v>
      </c>
      <c r="C162" s="13">
        <v>101</v>
      </c>
      <c r="D162" s="13">
        <v>329.44</v>
      </c>
      <c r="E162" s="13" t="s">
        <v>71</v>
      </c>
      <c r="F162" s="13">
        <v>161</v>
      </c>
    </row>
    <row r="163" spans="1:6" hidden="1" x14ac:dyDescent="0.25">
      <c r="A163" s="16">
        <v>42753</v>
      </c>
      <c r="B163" s="13" t="s">
        <v>253</v>
      </c>
      <c r="C163" s="13">
        <v>43</v>
      </c>
      <c r="D163" s="13">
        <v>179.5</v>
      </c>
      <c r="E163" s="13" t="s">
        <v>71</v>
      </c>
      <c r="F163" s="13">
        <v>162</v>
      </c>
    </row>
    <row r="164" spans="1:6" hidden="1" x14ac:dyDescent="0.25">
      <c r="A164" s="16">
        <v>42753</v>
      </c>
      <c r="B164" s="13" t="s">
        <v>254</v>
      </c>
      <c r="C164" s="13">
        <v>201</v>
      </c>
      <c r="D164" s="13">
        <v>467.25</v>
      </c>
      <c r="E164" s="13" t="s">
        <v>71</v>
      </c>
      <c r="F164" s="13">
        <v>163</v>
      </c>
    </row>
    <row r="165" spans="1:6" hidden="1" x14ac:dyDescent="0.25">
      <c r="A165" s="16">
        <v>42753</v>
      </c>
      <c r="B165" s="13" t="s">
        <v>255</v>
      </c>
      <c r="C165" s="13">
        <v>37</v>
      </c>
      <c r="D165" s="13">
        <v>663.38</v>
      </c>
      <c r="E165" s="13" t="s">
        <v>71</v>
      </c>
      <c r="F165" s="13">
        <v>164</v>
      </c>
    </row>
    <row r="166" spans="1:6" x14ac:dyDescent="0.25">
      <c r="A166" s="16">
        <v>42754</v>
      </c>
      <c r="B166" s="13" t="s">
        <v>256</v>
      </c>
      <c r="C166" s="13">
        <v>103</v>
      </c>
      <c r="D166" s="13">
        <v>926.34</v>
      </c>
      <c r="E166" s="13" t="s">
        <v>71</v>
      </c>
      <c r="F166" s="13">
        <v>165</v>
      </c>
    </row>
    <row r="167" spans="1:6" hidden="1" x14ac:dyDescent="0.25">
      <c r="A167" s="16">
        <v>42754</v>
      </c>
      <c r="B167" s="13" t="s">
        <v>257</v>
      </c>
      <c r="C167" s="13">
        <v>101</v>
      </c>
      <c r="D167" s="13">
        <v>491.55</v>
      </c>
      <c r="E167" s="13" t="s">
        <v>71</v>
      </c>
      <c r="F167" s="13">
        <v>166</v>
      </c>
    </row>
    <row r="168" spans="1:6" hidden="1" x14ac:dyDescent="0.25">
      <c r="A168" s="16">
        <v>42754</v>
      </c>
      <c r="B168" s="13" t="s">
        <v>258</v>
      </c>
      <c r="C168" s="13">
        <v>45</v>
      </c>
      <c r="D168" s="13">
        <v>554.44000000000005</v>
      </c>
      <c r="E168" s="13" t="s">
        <v>71</v>
      </c>
      <c r="F168" s="13">
        <v>167</v>
      </c>
    </row>
    <row r="169" spans="1:6" hidden="1" x14ac:dyDescent="0.25">
      <c r="A169" s="16">
        <v>42754</v>
      </c>
      <c r="B169" s="13" t="s">
        <v>259</v>
      </c>
      <c r="C169" s="13">
        <v>44</v>
      </c>
      <c r="D169" s="13">
        <v>1113.3399999999999</v>
      </c>
      <c r="E169" s="13" t="s">
        <v>71</v>
      </c>
      <c r="F169" s="13">
        <v>168</v>
      </c>
    </row>
    <row r="170" spans="1:6" hidden="1" x14ac:dyDescent="0.25">
      <c r="A170" s="16">
        <v>42754</v>
      </c>
      <c r="B170" s="13" t="s">
        <v>260</v>
      </c>
      <c r="C170" s="13">
        <v>38</v>
      </c>
      <c r="D170" s="13">
        <v>861.48</v>
      </c>
      <c r="E170" s="13" t="s">
        <v>71</v>
      </c>
      <c r="F170" s="13">
        <v>169</v>
      </c>
    </row>
    <row r="171" spans="1:6" hidden="1" x14ac:dyDescent="0.25">
      <c r="A171" s="16">
        <v>42754</v>
      </c>
      <c r="B171" s="13" t="s">
        <v>261</v>
      </c>
      <c r="C171" s="13">
        <v>41</v>
      </c>
      <c r="D171" s="13">
        <v>1305.05</v>
      </c>
      <c r="E171" s="13" t="s">
        <v>71</v>
      </c>
      <c r="F171" s="13">
        <v>170</v>
      </c>
    </row>
    <row r="172" spans="1:6" hidden="1" x14ac:dyDescent="0.25">
      <c r="A172" s="16">
        <v>42754</v>
      </c>
      <c r="B172" s="13" t="s">
        <v>262</v>
      </c>
      <c r="C172" s="13">
        <v>104</v>
      </c>
      <c r="D172" s="13">
        <v>129.80000000000001</v>
      </c>
      <c r="E172" s="13" t="s">
        <v>71</v>
      </c>
      <c r="F172" s="13">
        <v>171</v>
      </c>
    </row>
    <row r="173" spans="1:6" hidden="1" x14ac:dyDescent="0.25">
      <c r="A173" s="16">
        <v>42754</v>
      </c>
      <c r="B173" s="13" t="s">
        <v>263</v>
      </c>
      <c r="C173" s="13">
        <v>35</v>
      </c>
      <c r="D173" s="13">
        <v>1171.78</v>
      </c>
      <c r="E173" s="13" t="s">
        <v>71</v>
      </c>
      <c r="F173" s="13">
        <v>172</v>
      </c>
    </row>
    <row r="174" spans="1:6" hidden="1" x14ac:dyDescent="0.25">
      <c r="A174" s="16">
        <v>42754</v>
      </c>
      <c r="B174" s="13" t="s">
        <v>264</v>
      </c>
      <c r="C174" s="13">
        <v>43</v>
      </c>
      <c r="D174" s="13">
        <v>484.04</v>
      </c>
      <c r="E174" s="13" t="s">
        <v>71</v>
      </c>
      <c r="F174" s="13">
        <v>173</v>
      </c>
    </row>
    <row r="175" spans="1:6" hidden="1" x14ac:dyDescent="0.25">
      <c r="A175" s="16">
        <v>42754</v>
      </c>
      <c r="B175" s="13" t="s">
        <v>265</v>
      </c>
      <c r="C175" s="13">
        <v>201</v>
      </c>
      <c r="D175" s="13">
        <v>1013.24</v>
      </c>
      <c r="E175" s="13" t="s">
        <v>71</v>
      </c>
      <c r="F175" s="13">
        <v>174</v>
      </c>
    </row>
    <row r="176" spans="1:6" hidden="1" x14ac:dyDescent="0.25">
      <c r="A176" s="16">
        <v>42754</v>
      </c>
      <c r="B176" s="13" t="s">
        <v>266</v>
      </c>
      <c r="C176" s="13">
        <v>37</v>
      </c>
      <c r="D176" s="13">
        <v>983.25</v>
      </c>
      <c r="E176" s="13" t="s">
        <v>71</v>
      </c>
      <c r="F176" s="13">
        <v>175</v>
      </c>
    </row>
    <row r="177" spans="1:6" hidden="1" x14ac:dyDescent="0.25">
      <c r="A177" s="16">
        <v>42758</v>
      </c>
      <c r="B177" s="13" t="s">
        <v>268</v>
      </c>
      <c r="C177" s="13">
        <v>45</v>
      </c>
      <c r="D177" s="13">
        <v>174.8</v>
      </c>
      <c r="E177" s="13" t="s">
        <v>71</v>
      </c>
      <c r="F177" s="13">
        <v>176</v>
      </c>
    </row>
    <row r="178" spans="1:6" x14ac:dyDescent="0.25">
      <c r="A178" s="16">
        <v>42758</v>
      </c>
      <c r="B178" s="13" t="s">
        <v>269</v>
      </c>
      <c r="C178" s="13">
        <v>103</v>
      </c>
      <c r="D178" s="13">
        <v>601</v>
      </c>
      <c r="E178" s="13" t="s">
        <v>71</v>
      </c>
      <c r="F178" s="13">
        <v>177</v>
      </c>
    </row>
    <row r="179" spans="1:6" hidden="1" x14ac:dyDescent="0.25">
      <c r="A179" s="16">
        <v>42758</v>
      </c>
      <c r="B179" s="13" t="s">
        <v>270</v>
      </c>
      <c r="C179" s="13">
        <v>101</v>
      </c>
      <c r="D179" s="13">
        <v>407.58</v>
      </c>
      <c r="E179" s="13" t="s">
        <v>71</v>
      </c>
      <c r="F179" s="13">
        <v>178</v>
      </c>
    </row>
    <row r="180" spans="1:6" hidden="1" x14ac:dyDescent="0.25">
      <c r="A180" s="16">
        <v>42758</v>
      </c>
      <c r="B180" s="13" t="s">
        <v>271</v>
      </c>
      <c r="C180" s="13">
        <v>35</v>
      </c>
      <c r="D180" s="13">
        <v>735.01</v>
      </c>
      <c r="E180" s="13" t="s">
        <v>71</v>
      </c>
      <c r="F180" s="13">
        <v>179</v>
      </c>
    </row>
    <row r="181" spans="1:6" hidden="1" x14ac:dyDescent="0.25">
      <c r="A181" s="16">
        <v>42758</v>
      </c>
      <c r="B181" s="13" t="s">
        <v>272</v>
      </c>
      <c r="C181" s="13">
        <v>41</v>
      </c>
      <c r="D181" s="13">
        <v>270.39999999999998</v>
      </c>
      <c r="E181" s="13" t="s">
        <v>71</v>
      </c>
      <c r="F181" s="13">
        <v>180</v>
      </c>
    </row>
    <row r="182" spans="1:6" hidden="1" x14ac:dyDescent="0.25">
      <c r="A182" s="16">
        <v>42758</v>
      </c>
      <c r="B182" s="13" t="s">
        <v>273</v>
      </c>
      <c r="C182" s="13">
        <v>38</v>
      </c>
      <c r="D182" s="13">
        <v>484.2</v>
      </c>
      <c r="E182" s="13" t="s">
        <v>71</v>
      </c>
      <c r="F182" s="13">
        <v>181</v>
      </c>
    </row>
    <row r="183" spans="1:6" hidden="1" x14ac:dyDescent="0.25">
      <c r="A183" s="16">
        <v>42758</v>
      </c>
      <c r="B183" s="13" t="s">
        <v>274</v>
      </c>
      <c r="C183" s="13">
        <v>44</v>
      </c>
      <c r="D183" s="13">
        <v>189.55</v>
      </c>
      <c r="E183" s="13" t="s">
        <v>71</v>
      </c>
      <c r="F183" s="13">
        <v>182</v>
      </c>
    </row>
    <row r="184" spans="1:6" hidden="1" x14ac:dyDescent="0.25">
      <c r="A184" s="16">
        <v>42758</v>
      </c>
      <c r="B184" s="13" t="s">
        <v>275</v>
      </c>
      <c r="C184" s="13">
        <v>43</v>
      </c>
      <c r="D184" s="13">
        <v>164.81</v>
      </c>
      <c r="E184" s="13" t="s">
        <v>71</v>
      </c>
      <c r="F184" s="13">
        <v>183</v>
      </c>
    </row>
    <row r="185" spans="1:6" hidden="1" x14ac:dyDescent="0.25">
      <c r="A185" s="16">
        <v>42757</v>
      </c>
      <c r="B185" s="13" t="s">
        <v>276</v>
      </c>
      <c r="C185" s="13">
        <v>101</v>
      </c>
      <c r="D185" s="13">
        <v>229.66</v>
      </c>
      <c r="E185" s="13" t="s">
        <v>71</v>
      </c>
      <c r="F185" s="13">
        <v>184</v>
      </c>
    </row>
    <row r="186" spans="1:6" x14ac:dyDescent="0.25">
      <c r="A186" s="16">
        <v>42757</v>
      </c>
      <c r="B186" s="13" t="s">
        <v>277</v>
      </c>
      <c r="C186" s="13">
        <v>103</v>
      </c>
      <c r="D186" s="13">
        <v>189.59</v>
      </c>
      <c r="E186" s="13" t="s">
        <v>71</v>
      </c>
      <c r="F186" s="13">
        <v>185</v>
      </c>
    </row>
    <row r="187" spans="1:6" hidden="1" x14ac:dyDescent="0.25">
      <c r="A187" s="16">
        <v>42757</v>
      </c>
      <c r="B187" s="13" t="s">
        <v>278</v>
      </c>
      <c r="C187" s="13">
        <v>38</v>
      </c>
      <c r="D187" s="13">
        <v>777.9</v>
      </c>
      <c r="E187" s="13" t="s">
        <v>71</v>
      </c>
      <c r="F187" s="13">
        <v>186</v>
      </c>
    </row>
    <row r="188" spans="1:6" hidden="1" x14ac:dyDescent="0.25">
      <c r="A188" s="16">
        <v>42757</v>
      </c>
      <c r="B188" s="13" t="s">
        <v>279</v>
      </c>
      <c r="C188" s="13">
        <v>35</v>
      </c>
      <c r="D188" s="13">
        <v>595.19000000000005</v>
      </c>
      <c r="E188" s="13" t="s">
        <v>71</v>
      </c>
      <c r="F188" s="13">
        <v>187</v>
      </c>
    </row>
    <row r="189" spans="1:6" hidden="1" x14ac:dyDescent="0.25">
      <c r="A189" s="16">
        <v>42757</v>
      </c>
      <c r="B189" s="13" t="s">
        <v>280</v>
      </c>
      <c r="C189" s="13">
        <v>45</v>
      </c>
      <c r="D189" s="13">
        <v>439.42</v>
      </c>
      <c r="E189" s="13" t="s">
        <v>71</v>
      </c>
      <c r="F189" s="13">
        <v>188</v>
      </c>
    </row>
    <row r="190" spans="1:6" hidden="1" x14ac:dyDescent="0.25">
      <c r="A190" s="16">
        <v>42757</v>
      </c>
      <c r="B190" s="13" t="s">
        <v>281</v>
      </c>
      <c r="C190" s="13">
        <v>43</v>
      </c>
      <c r="D190" s="13">
        <v>119.85</v>
      </c>
      <c r="E190" s="13" t="s">
        <v>71</v>
      </c>
      <c r="F190" s="13">
        <v>189</v>
      </c>
    </row>
    <row r="191" spans="1:6" hidden="1" x14ac:dyDescent="0.25">
      <c r="A191" s="16">
        <v>42757</v>
      </c>
      <c r="B191" s="13" t="s">
        <v>282</v>
      </c>
      <c r="C191" s="13">
        <v>41</v>
      </c>
      <c r="D191" s="13">
        <v>539.30999999999995</v>
      </c>
      <c r="E191" s="13" t="s">
        <v>71</v>
      </c>
      <c r="F191" s="13">
        <v>190</v>
      </c>
    </row>
    <row r="192" spans="1:6" hidden="1" x14ac:dyDescent="0.25">
      <c r="A192" s="16">
        <v>42757</v>
      </c>
      <c r="B192" s="13" t="s">
        <v>283</v>
      </c>
      <c r="C192" s="13">
        <v>44</v>
      </c>
      <c r="D192" s="13">
        <v>485.13</v>
      </c>
      <c r="E192" s="13" t="s">
        <v>71</v>
      </c>
      <c r="F192" s="13">
        <v>191</v>
      </c>
    </row>
    <row r="193" spans="1:6" hidden="1" x14ac:dyDescent="0.25">
      <c r="A193" s="16">
        <v>42756</v>
      </c>
      <c r="B193" s="13" t="s">
        <v>284</v>
      </c>
      <c r="C193" s="13">
        <v>44</v>
      </c>
      <c r="D193" s="13">
        <v>1049.33</v>
      </c>
      <c r="E193" s="13" t="s">
        <v>71</v>
      </c>
      <c r="F193" s="13">
        <v>192</v>
      </c>
    </row>
    <row r="194" spans="1:6" hidden="1" x14ac:dyDescent="0.25">
      <c r="A194" s="16">
        <v>42756</v>
      </c>
      <c r="B194" s="13" t="s">
        <v>285</v>
      </c>
      <c r="C194" s="13">
        <v>41</v>
      </c>
      <c r="D194" s="13">
        <v>479.13</v>
      </c>
      <c r="E194" s="13" t="s">
        <v>71</v>
      </c>
      <c r="F194" s="13">
        <v>193</v>
      </c>
    </row>
    <row r="195" spans="1:6" x14ac:dyDescent="0.25">
      <c r="A195" s="16">
        <v>42756</v>
      </c>
      <c r="B195" s="13" t="s">
        <v>286</v>
      </c>
      <c r="C195" s="13">
        <v>103</v>
      </c>
      <c r="D195" s="13">
        <v>1149.8599999999999</v>
      </c>
      <c r="E195" s="13" t="s">
        <v>71</v>
      </c>
      <c r="F195" s="13">
        <v>194</v>
      </c>
    </row>
    <row r="196" spans="1:6" hidden="1" x14ac:dyDescent="0.25">
      <c r="A196" s="16">
        <v>42756</v>
      </c>
      <c r="B196" s="13" t="s">
        <v>287</v>
      </c>
      <c r="C196" s="13">
        <v>43</v>
      </c>
      <c r="D196" s="13">
        <v>549.41999999999996</v>
      </c>
      <c r="E196" s="13" t="s">
        <v>71</v>
      </c>
      <c r="F196" s="13">
        <v>195</v>
      </c>
    </row>
    <row r="197" spans="1:6" hidden="1" x14ac:dyDescent="0.25">
      <c r="A197" s="16">
        <v>42756</v>
      </c>
      <c r="B197" s="13" t="s">
        <v>288</v>
      </c>
      <c r="C197" s="13">
        <v>45</v>
      </c>
      <c r="D197" s="13">
        <v>666.62</v>
      </c>
      <c r="E197" s="13" t="s">
        <v>71</v>
      </c>
      <c r="F197" s="13">
        <v>196</v>
      </c>
    </row>
    <row r="198" spans="1:6" hidden="1" x14ac:dyDescent="0.25">
      <c r="A198" s="16">
        <v>42756</v>
      </c>
      <c r="B198" s="13" t="s">
        <v>289</v>
      </c>
      <c r="C198" s="13">
        <v>35</v>
      </c>
      <c r="D198" s="13">
        <v>668.97</v>
      </c>
      <c r="E198" s="13" t="s">
        <v>71</v>
      </c>
      <c r="F198" s="13">
        <v>197</v>
      </c>
    </row>
    <row r="199" spans="1:6" hidden="1" x14ac:dyDescent="0.25">
      <c r="A199" s="16">
        <v>42756</v>
      </c>
      <c r="B199" s="13" t="s">
        <v>290</v>
      </c>
      <c r="C199" s="13">
        <v>101</v>
      </c>
      <c r="D199" s="13">
        <v>504.51</v>
      </c>
      <c r="E199" s="13" t="s">
        <v>71</v>
      </c>
      <c r="F199" s="13">
        <v>198</v>
      </c>
    </row>
    <row r="200" spans="1:6" hidden="1" x14ac:dyDescent="0.25">
      <c r="A200" s="16">
        <v>42756</v>
      </c>
      <c r="B200" s="13" t="s">
        <v>291</v>
      </c>
      <c r="C200" s="13">
        <v>38</v>
      </c>
      <c r="D200" s="13">
        <v>1089.7</v>
      </c>
      <c r="E200" s="13" t="s">
        <v>71</v>
      </c>
      <c r="F200" s="13">
        <v>199</v>
      </c>
    </row>
    <row r="201" spans="1:6" hidden="1" x14ac:dyDescent="0.25">
      <c r="A201" s="16">
        <v>42755</v>
      </c>
      <c r="B201" s="13" t="s">
        <v>292</v>
      </c>
      <c r="C201" s="13">
        <v>35</v>
      </c>
      <c r="D201" s="13">
        <v>878.71</v>
      </c>
      <c r="E201" s="13" t="s">
        <v>71</v>
      </c>
      <c r="F201" s="13">
        <v>200</v>
      </c>
    </row>
    <row r="202" spans="1:6" hidden="1" x14ac:dyDescent="0.25">
      <c r="A202" s="16">
        <v>42755</v>
      </c>
      <c r="B202" s="13" t="s">
        <v>293</v>
      </c>
      <c r="C202" s="13">
        <v>44</v>
      </c>
      <c r="D202" s="13">
        <v>646.39</v>
      </c>
      <c r="E202" s="13" t="s">
        <v>71</v>
      </c>
      <c r="F202" s="13">
        <v>201</v>
      </c>
    </row>
    <row r="203" spans="1:6" hidden="1" x14ac:dyDescent="0.25">
      <c r="A203" s="16">
        <v>42755</v>
      </c>
      <c r="B203" s="13" t="s">
        <v>294</v>
      </c>
      <c r="C203" s="13">
        <v>45</v>
      </c>
      <c r="D203" s="13">
        <v>349.38</v>
      </c>
      <c r="E203" s="13" t="s">
        <v>71</v>
      </c>
      <c r="F203" s="13">
        <v>202</v>
      </c>
    </row>
    <row r="204" spans="1:6" x14ac:dyDescent="0.25">
      <c r="A204" s="16">
        <v>42755</v>
      </c>
      <c r="B204" s="13" t="s">
        <v>295</v>
      </c>
      <c r="C204" s="13">
        <v>103</v>
      </c>
      <c r="D204" s="13">
        <v>816.88</v>
      </c>
      <c r="E204" s="13" t="s">
        <v>71</v>
      </c>
      <c r="F204" s="13">
        <v>203</v>
      </c>
    </row>
    <row r="205" spans="1:6" hidden="1" x14ac:dyDescent="0.25">
      <c r="A205" s="16">
        <v>42755</v>
      </c>
      <c r="B205" s="13" t="s">
        <v>296</v>
      </c>
      <c r="C205" s="13">
        <v>101</v>
      </c>
      <c r="D205" s="13">
        <v>700.09</v>
      </c>
      <c r="E205" s="13" t="s">
        <v>71</v>
      </c>
      <c r="F205" s="13">
        <v>204</v>
      </c>
    </row>
    <row r="206" spans="1:6" hidden="1" x14ac:dyDescent="0.25">
      <c r="A206" s="16">
        <v>42755</v>
      </c>
      <c r="B206" s="13" t="s">
        <v>297</v>
      </c>
      <c r="C206" s="13">
        <v>41</v>
      </c>
      <c r="D206" s="13">
        <v>521.52</v>
      </c>
      <c r="E206" s="13" t="s">
        <v>71</v>
      </c>
      <c r="F206" s="13">
        <v>205</v>
      </c>
    </row>
    <row r="207" spans="1:6" hidden="1" x14ac:dyDescent="0.25">
      <c r="A207" s="16">
        <v>42755</v>
      </c>
      <c r="B207" s="13" t="s">
        <v>298</v>
      </c>
      <c r="C207" s="13">
        <v>43</v>
      </c>
      <c r="D207" s="13">
        <v>94.75</v>
      </c>
      <c r="E207" s="13" t="s">
        <v>71</v>
      </c>
      <c r="F207" s="13">
        <v>206</v>
      </c>
    </row>
    <row r="208" spans="1:6" hidden="1" x14ac:dyDescent="0.25">
      <c r="A208" s="16">
        <v>42755</v>
      </c>
      <c r="B208" s="13" t="s">
        <v>299</v>
      </c>
      <c r="C208" s="13">
        <v>38</v>
      </c>
      <c r="D208" s="13">
        <v>632.15</v>
      </c>
      <c r="E208" s="13" t="s">
        <v>71</v>
      </c>
      <c r="F208" s="13">
        <v>207</v>
      </c>
    </row>
    <row r="209" spans="1:6" hidden="1" x14ac:dyDescent="0.25">
      <c r="A209" s="16">
        <v>42758</v>
      </c>
      <c r="B209" s="13" t="s">
        <v>300</v>
      </c>
      <c r="C209" s="13">
        <v>37</v>
      </c>
      <c r="D209" s="13">
        <v>841.21</v>
      </c>
      <c r="E209" s="13" t="s">
        <v>71</v>
      </c>
      <c r="F209" s="13">
        <v>208</v>
      </c>
    </row>
    <row r="210" spans="1:6" hidden="1" x14ac:dyDescent="0.25">
      <c r="A210" s="16">
        <v>42758</v>
      </c>
      <c r="B210" s="13" t="s">
        <v>301</v>
      </c>
      <c r="C210" s="13">
        <v>201</v>
      </c>
      <c r="D210" s="13">
        <v>284.52999999999997</v>
      </c>
      <c r="E210" s="13" t="s">
        <v>71</v>
      </c>
      <c r="F210" s="13">
        <v>209</v>
      </c>
    </row>
    <row r="211" spans="1:6" hidden="1" x14ac:dyDescent="0.25">
      <c r="A211" s="16">
        <v>42757</v>
      </c>
      <c r="B211" s="13" t="s">
        <v>302</v>
      </c>
      <c r="C211" s="13">
        <v>37</v>
      </c>
      <c r="D211" s="13">
        <v>728.91</v>
      </c>
      <c r="E211" s="13" t="s">
        <v>71</v>
      </c>
      <c r="F211" s="13">
        <v>210</v>
      </c>
    </row>
    <row r="212" spans="1:6" hidden="1" x14ac:dyDescent="0.25">
      <c r="A212" s="16">
        <v>42757</v>
      </c>
      <c r="B212" s="13" t="s">
        <v>303</v>
      </c>
      <c r="C212" s="13">
        <v>201</v>
      </c>
      <c r="D212" s="13">
        <v>179.83</v>
      </c>
      <c r="E212" s="13" t="s">
        <v>71</v>
      </c>
      <c r="F212" s="13">
        <v>211</v>
      </c>
    </row>
    <row r="213" spans="1:6" hidden="1" x14ac:dyDescent="0.25">
      <c r="A213" s="16">
        <v>42756</v>
      </c>
      <c r="B213" s="13" t="s">
        <v>304</v>
      </c>
      <c r="C213" s="13">
        <v>37</v>
      </c>
      <c r="D213" s="13">
        <v>1027.92</v>
      </c>
      <c r="E213" s="13" t="s">
        <v>71</v>
      </c>
      <c r="F213" s="13">
        <v>212</v>
      </c>
    </row>
    <row r="214" spans="1:6" hidden="1" x14ac:dyDescent="0.25">
      <c r="A214" s="16">
        <v>42756</v>
      </c>
      <c r="B214" s="13" t="s">
        <v>305</v>
      </c>
      <c r="C214" s="13">
        <v>201</v>
      </c>
      <c r="D214" s="13">
        <v>374.32</v>
      </c>
      <c r="E214" s="13" t="s">
        <v>71</v>
      </c>
      <c r="F214" s="13">
        <v>213</v>
      </c>
    </row>
    <row r="215" spans="1:6" hidden="1" x14ac:dyDescent="0.25">
      <c r="A215" s="16">
        <v>42755</v>
      </c>
      <c r="B215" s="13" t="s">
        <v>306</v>
      </c>
      <c r="C215" s="13">
        <v>201</v>
      </c>
      <c r="D215" s="13">
        <v>389.44</v>
      </c>
      <c r="E215" s="13" t="s">
        <v>71</v>
      </c>
      <c r="F215" s="13">
        <v>214</v>
      </c>
    </row>
    <row r="216" spans="1:6" hidden="1" x14ac:dyDescent="0.25">
      <c r="A216" s="16">
        <v>42755</v>
      </c>
      <c r="B216" s="13" t="s">
        <v>307</v>
      </c>
      <c r="C216" s="13">
        <v>37</v>
      </c>
      <c r="D216" s="13">
        <v>913.45</v>
      </c>
      <c r="E216" s="13" t="s">
        <v>71</v>
      </c>
      <c r="F216" s="13">
        <v>215</v>
      </c>
    </row>
    <row r="217" spans="1:6" hidden="1" x14ac:dyDescent="0.25">
      <c r="A217" s="16">
        <v>42759</v>
      </c>
      <c r="B217" s="13" t="s">
        <v>308</v>
      </c>
      <c r="C217" s="13">
        <v>35</v>
      </c>
      <c r="D217" s="13">
        <v>664.38</v>
      </c>
      <c r="E217" s="13" t="s">
        <v>71</v>
      </c>
      <c r="F217" s="13">
        <v>216</v>
      </c>
    </row>
    <row r="218" spans="1:6" hidden="1" x14ac:dyDescent="0.25">
      <c r="A218" s="16">
        <v>42759</v>
      </c>
      <c r="B218" s="13" t="s">
        <v>309</v>
      </c>
      <c r="C218" s="13">
        <v>44</v>
      </c>
      <c r="D218" s="13">
        <v>488.61</v>
      </c>
      <c r="E218" s="13" t="s">
        <v>71</v>
      </c>
      <c r="F218" s="13">
        <v>217</v>
      </c>
    </row>
    <row r="219" spans="1:6" hidden="1" x14ac:dyDescent="0.25">
      <c r="A219" s="16">
        <v>42759</v>
      </c>
      <c r="B219" s="13" t="s">
        <v>310</v>
      </c>
      <c r="C219" s="13">
        <v>41</v>
      </c>
      <c r="D219" s="13">
        <v>899.46</v>
      </c>
      <c r="E219" s="13" t="s">
        <v>71</v>
      </c>
      <c r="F219" s="13">
        <v>218</v>
      </c>
    </row>
    <row r="220" spans="1:6" hidden="1" x14ac:dyDescent="0.25">
      <c r="A220" s="16">
        <v>42759</v>
      </c>
      <c r="B220" s="13" t="s">
        <v>311</v>
      </c>
      <c r="C220" s="13">
        <v>45</v>
      </c>
      <c r="D220" s="13">
        <v>369.77</v>
      </c>
      <c r="E220" s="13" t="s">
        <v>71</v>
      </c>
      <c r="F220" s="13">
        <v>219</v>
      </c>
    </row>
    <row r="221" spans="1:6" x14ac:dyDescent="0.25">
      <c r="A221" s="16">
        <v>42759</v>
      </c>
      <c r="B221" s="13" t="s">
        <v>312</v>
      </c>
      <c r="C221" s="13">
        <v>103</v>
      </c>
      <c r="D221" s="13">
        <v>519.62</v>
      </c>
      <c r="E221" s="13" t="s">
        <v>71</v>
      </c>
      <c r="F221" s="13">
        <v>220</v>
      </c>
    </row>
    <row r="222" spans="1:6" hidden="1" x14ac:dyDescent="0.25">
      <c r="A222" s="16">
        <v>42759</v>
      </c>
      <c r="B222" s="13" t="s">
        <v>313</v>
      </c>
      <c r="C222" s="13">
        <v>101</v>
      </c>
      <c r="D222" s="13">
        <v>462.39</v>
      </c>
      <c r="E222" s="13" t="s">
        <v>71</v>
      </c>
      <c r="F222" s="13">
        <v>221</v>
      </c>
    </row>
    <row r="223" spans="1:6" hidden="1" x14ac:dyDescent="0.25">
      <c r="A223" s="16">
        <v>42759</v>
      </c>
      <c r="B223" s="13" t="s">
        <v>314</v>
      </c>
      <c r="C223" s="13">
        <v>43</v>
      </c>
      <c r="D223" s="13">
        <v>215.9</v>
      </c>
      <c r="E223" s="13" t="s">
        <v>71</v>
      </c>
      <c r="F223" s="13">
        <v>222</v>
      </c>
    </row>
    <row r="224" spans="1:6" hidden="1" x14ac:dyDescent="0.25">
      <c r="A224" s="16">
        <v>42759</v>
      </c>
      <c r="B224" s="13" t="s">
        <v>315</v>
      </c>
      <c r="C224" s="13">
        <v>38</v>
      </c>
      <c r="D224" s="13">
        <v>609.57000000000005</v>
      </c>
      <c r="E224" s="13" t="s">
        <v>71</v>
      </c>
      <c r="F224" s="13">
        <v>223</v>
      </c>
    </row>
    <row r="225" spans="1:6" hidden="1" x14ac:dyDescent="0.25">
      <c r="A225" s="16">
        <v>42759</v>
      </c>
      <c r="B225" s="13" t="s">
        <v>317</v>
      </c>
      <c r="C225" s="13">
        <v>201</v>
      </c>
      <c r="D225" s="13">
        <v>255.71</v>
      </c>
      <c r="E225" s="13" t="s">
        <v>71</v>
      </c>
      <c r="F225" s="13">
        <v>224</v>
      </c>
    </row>
    <row r="226" spans="1:6" hidden="1" x14ac:dyDescent="0.25">
      <c r="A226" s="16">
        <v>42759</v>
      </c>
      <c r="B226" s="13" t="s">
        <v>318</v>
      </c>
      <c r="C226" s="13">
        <v>37</v>
      </c>
      <c r="D226" s="13">
        <v>174.6</v>
      </c>
      <c r="E226" s="13" t="s">
        <v>71</v>
      </c>
      <c r="F226" s="13">
        <v>225</v>
      </c>
    </row>
    <row r="227" spans="1:6" hidden="1" x14ac:dyDescent="0.25">
      <c r="A227" s="16">
        <v>42761</v>
      </c>
      <c r="B227" s="13" t="s">
        <v>319</v>
      </c>
      <c r="C227" s="13">
        <v>38</v>
      </c>
      <c r="D227" s="13">
        <v>449.74</v>
      </c>
      <c r="E227" s="13" t="s">
        <v>71</v>
      </c>
      <c r="F227" s="13">
        <v>226</v>
      </c>
    </row>
    <row r="228" spans="1:6" hidden="1" x14ac:dyDescent="0.25">
      <c r="A228" s="16">
        <v>42760</v>
      </c>
      <c r="B228" s="13" t="s">
        <v>320</v>
      </c>
      <c r="C228" s="13">
        <v>44</v>
      </c>
      <c r="D228" s="13">
        <v>600.28</v>
      </c>
      <c r="E228" s="13" t="s">
        <v>71</v>
      </c>
      <c r="F228" s="13">
        <v>227</v>
      </c>
    </row>
    <row r="229" spans="1:6" hidden="1" x14ac:dyDescent="0.25">
      <c r="A229" s="16">
        <v>42760</v>
      </c>
      <c r="B229" s="13" t="s">
        <v>321</v>
      </c>
      <c r="C229" s="13">
        <v>38</v>
      </c>
      <c r="D229" s="13">
        <v>509.45</v>
      </c>
      <c r="E229" s="13" t="s">
        <v>71</v>
      </c>
      <c r="F229" s="13">
        <v>228</v>
      </c>
    </row>
    <row r="230" spans="1:6" hidden="1" x14ac:dyDescent="0.25">
      <c r="A230" s="16">
        <v>42760</v>
      </c>
      <c r="B230" s="13" t="s">
        <v>322</v>
      </c>
      <c r="C230" s="13">
        <v>101</v>
      </c>
      <c r="D230" s="13">
        <v>690.31</v>
      </c>
      <c r="E230" s="13" t="s">
        <v>71</v>
      </c>
      <c r="F230" s="13">
        <v>229</v>
      </c>
    </row>
    <row r="231" spans="1:6" hidden="1" x14ac:dyDescent="0.25">
      <c r="A231" s="16">
        <v>42760</v>
      </c>
      <c r="B231" s="13" t="s">
        <v>323</v>
      </c>
      <c r="C231" s="13">
        <v>45</v>
      </c>
      <c r="D231" s="13">
        <v>239.88</v>
      </c>
      <c r="E231" s="13" t="s">
        <v>71</v>
      </c>
      <c r="F231" s="13">
        <v>230</v>
      </c>
    </row>
    <row r="232" spans="1:6" hidden="1" x14ac:dyDescent="0.25">
      <c r="A232" s="16">
        <v>42760</v>
      </c>
      <c r="B232" s="13" t="s">
        <v>324</v>
      </c>
      <c r="C232" s="13">
        <v>35</v>
      </c>
      <c r="D232" s="13">
        <v>615.65</v>
      </c>
      <c r="E232" s="13" t="s">
        <v>71</v>
      </c>
      <c r="F232" s="13">
        <v>231</v>
      </c>
    </row>
    <row r="233" spans="1:6" hidden="1" x14ac:dyDescent="0.25">
      <c r="A233" s="16">
        <v>42760</v>
      </c>
      <c r="B233" s="13" t="s">
        <v>325</v>
      </c>
      <c r="C233" s="13">
        <v>41</v>
      </c>
      <c r="D233" s="13">
        <v>555.26</v>
      </c>
      <c r="E233" s="13" t="s">
        <v>71</v>
      </c>
      <c r="F233" s="13">
        <v>232</v>
      </c>
    </row>
    <row r="234" spans="1:6" x14ac:dyDescent="0.25">
      <c r="A234" s="16">
        <v>42760</v>
      </c>
      <c r="B234" s="13" t="s">
        <v>326</v>
      </c>
      <c r="C234" s="13">
        <v>103</v>
      </c>
      <c r="D234" s="13">
        <v>631.17999999999995</v>
      </c>
      <c r="E234" s="13" t="s">
        <v>71</v>
      </c>
      <c r="F234" s="13">
        <v>233</v>
      </c>
    </row>
    <row r="235" spans="1:6" hidden="1" x14ac:dyDescent="0.25">
      <c r="A235" s="16">
        <v>42760</v>
      </c>
      <c r="B235" s="13" t="s">
        <v>327</v>
      </c>
      <c r="C235" s="13">
        <v>43</v>
      </c>
      <c r="D235" s="13">
        <v>258.64</v>
      </c>
      <c r="E235" s="13" t="s">
        <v>71</v>
      </c>
      <c r="F235" s="13">
        <v>234</v>
      </c>
    </row>
    <row r="236" spans="1:6" hidden="1" x14ac:dyDescent="0.25">
      <c r="A236" s="16">
        <v>42761</v>
      </c>
      <c r="B236" s="13" t="s">
        <v>329</v>
      </c>
      <c r="C236" s="13">
        <v>37</v>
      </c>
      <c r="D236" s="13">
        <v>174.67</v>
      </c>
      <c r="E236" s="13" t="s">
        <v>71</v>
      </c>
      <c r="F236" s="13">
        <v>235</v>
      </c>
    </row>
    <row r="237" spans="1:6" hidden="1" x14ac:dyDescent="0.25">
      <c r="A237" s="16">
        <v>42760</v>
      </c>
      <c r="B237" s="13" t="s">
        <v>330</v>
      </c>
      <c r="C237" s="13">
        <v>201</v>
      </c>
      <c r="D237" s="13">
        <v>134.87</v>
      </c>
      <c r="E237" s="13" t="s">
        <v>71</v>
      </c>
      <c r="F237" s="13">
        <v>236</v>
      </c>
    </row>
    <row r="238" spans="1:6" hidden="1" x14ac:dyDescent="0.25">
      <c r="A238" s="16">
        <v>42760</v>
      </c>
      <c r="B238" s="13" t="s">
        <v>331</v>
      </c>
      <c r="C238" s="13">
        <v>37</v>
      </c>
      <c r="D238" s="13">
        <v>752.16</v>
      </c>
      <c r="E238" s="13" t="s">
        <v>71</v>
      </c>
      <c r="F238" s="13">
        <v>237</v>
      </c>
    </row>
    <row r="239" spans="1:6" hidden="1" x14ac:dyDescent="0.25">
      <c r="A239" s="16">
        <v>42764</v>
      </c>
      <c r="B239" s="13" t="s">
        <v>332</v>
      </c>
      <c r="C239" s="13">
        <v>44</v>
      </c>
      <c r="D239" s="13">
        <v>284.63</v>
      </c>
      <c r="E239" s="13" t="s">
        <v>71</v>
      </c>
      <c r="F239" s="13">
        <v>238</v>
      </c>
    </row>
    <row r="240" spans="1:6" x14ac:dyDescent="0.25">
      <c r="A240" s="16">
        <v>42764</v>
      </c>
      <c r="B240" s="13" t="s">
        <v>333</v>
      </c>
      <c r="C240" s="13">
        <v>103</v>
      </c>
      <c r="D240" s="13">
        <v>357.68</v>
      </c>
      <c r="E240" s="13" t="s">
        <v>71</v>
      </c>
      <c r="F240" s="13">
        <v>239</v>
      </c>
    </row>
    <row r="241" spans="1:6" hidden="1" x14ac:dyDescent="0.25">
      <c r="A241" s="16">
        <v>42764</v>
      </c>
      <c r="B241" s="13" t="s">
        <v>334</v>
      </c>
      <c r="C241" s="13">
        <v>101</v>
      </c>
      <c r="D241" s="13">
        <v>307.62</v>
      </c>
      <c r="E241" s="13" t="s">
        <v>71</v>
      </c>
      <c r="F241" s="13">
        <v>240</v>
      </c>
    </row>
    <row r="242" spans="1:6" hidden="1" x14ac:dyDescent="0.25">
      <c r="A242" s="16">
        <v>42764</v>
      </c>
      <c r="B242" s="13" t="s">
        <v>335</v>
      </c>
      <c r="C242" s="13">
        <v>43</v>
      </c>
      <c r="D242" s="13">
        <v>308.77</v>
      </c>
      <c r="E242" s="13" t="s">
        <v>71</v>
      </c>
      <c r="F242" s="13">
        <v>241</v>
      </c>
    </row>
    <row r="243" spans="1:6" hidden="1" x14ac:dyDescent="0.25">
      <c r="A243" s="16">
        <v>42764</v>
      </c>
      <c r="B243" s="13" t="s">
        <v>336</v>
      </c>
      <c r="C243" s="13">
        <v>35</v>
      </c>
      <c r="D243" s="13">
        <v>1022.99</v>
      </c>
      <c r="E243" s="13" t="s">
        <v>71</v>
      </c>
      <c r="F243" s="13">
        <v>242</v>
      </c>
    </row>
    <row r="244" spans="1:6" hidden="1" x14ac:dyDescent="0.25">
      <c r="A244" s="16">
        <v>42764</v>
      </c>
      <c r="B244" s="13" t="s">
        <v>337</v>
      </c>
      <c r="C244" s="13">
        <v>45</v>
      </c>
      <c r="D244" s="13">
        <v>299.89</v>
      </c>
      <c r="E244" s="13" t="s">
        <v>71</v>
      </c>
      <c r="F244" s="13">
        <v>243</v>
      </c>
    </row>
    <row r="245" spans="1:6" hidden="1" x14ac:dyDescent="0.25">
      <c r="A245" s="16">
        <v>42764</v>
      </c>
      <c r="B245" s="13" t="s">
        <v>338</v>
      </c>
      <c r="C245" s="13">
        <v>41</v>
      </c>
      <c r="D245" s="13">
        <v>507.35</v>
      </c>
      <c r="E245" s="13" t="s">
        <v>71</v>
      </c>
      <c r="F245" s="13">
        <v>244</v>
      </c>
    </row>
    <row r="246" spans="1:6" hidden="1" x14ac:dyDescent="0.25">
      <c r="A246" s="16">
        <v>42764</v>
      </c>
      <c r="B246" s="13" t="s">
        <v>339</v>
      </c>
      <c r="C246" s="13">
        <v>38</v>
      </c>
      <c r="D246" s="13">
        <v>769.19</v>
      </c>
      <c r="E246" s="13" t="s">
        <v>71</v>
      </c>
      <c r="F246" s="13">
        <v>245</v>
      </c>
    </row>
    <row r="247" spans="1:6" hidden="1" x14ac:dyDescent="0.25">
      <c r="A247" s="16">
        <v>42763</v>
      </c>
      <c r="B247" s="13" t="s">
        <v>340</v>
      </c>
      <c r="C247" s="13">
        <v>38</v>
      </c>
      <c r="D247" s="13">
        <v>824.18</v>
      </c>
      <c r="E247" s="13" t="s">
        <v>71</v>
      </c>
      <c r="F247" s="13">
        <v>246</v>
      </c>
    </row>
    <row r="248" spans="1:6" hidden="1" x14ac:dyDescent="0.25">
      <c r="A248" s="16">
        <v>42763</v>
      </c>
      <c r="B248" s="13" t="s">
        <v>341</v>
      </c>
      <c r="C248" s="13">
        <v>44</v>
      </c>
      <c r="D248" s="13">
        <v>889</v>
      </c>
      <c r="E248" s="13" t="s">
        <v>71</v>
      </c>
      <c r="F248" s="13">
        <v>247</v>
      </c>
    </row>
    <row r="249" spans="1:6" hidden="1" x14ac:dyDescent="0.25">
      <c r="A249" s="16">
        <v>42763</v>
      </c>
      <c r="B249" s="13" t="s">
        <v>342</v>
      </c>
      <c r="C249" s="13">
        <v>45</v>
      </c>
      <c r="D249" s="13">
        <v>984.39</v>
      </c>
      <c r="E249" s="13" t="s">
        <v>71</v>
      </c>
      <c r="F249" s="13">
        <v>248</v>
      </c>
    </row>
    <row r="250" spans="1:6" hidden="1" x14ac:dyDescent="0.25">
      <c r="A250" s="16">
        <v>42763</v>
      </c>
      <c r="B250" s="13" t="s">
        <v>343</v>
      </c>
      <c r="C250" s="13">
        <v>101</v>
      </c>
      <c r="D250" s="13">
        <v>332.46</v>
      </c>
      <c r="E250" s="13" t="s">
        <v>71</v>
      </c>
      <c r="F250" s="13">
        <v>249</v>
      </c>
    </row>
    <row r="251" spans="1:6" hidden="1" x14ac:dyDescent="0.25">
      <c r="A251" s="16">
        <v>42763</v>
      </c>
      <c r="B251" s="13" t="s">
        <v>344</v>
      </c>
      <c r="C251" s="13">
        <v>35</v>
      </c>
      <c r="D251" s="13">
        <v>1551.54</v>
      </c>
      <c r="E251" s="13" t="s">
        <v>71</v>
      </c>
      <c r="F251" s="13">
        <v>250</v>
      </c>
    </row>
    <row r="252" spans="1:6" x14ac:dyDescent="0.25">
      <c r="A252" s="16">
        <v>42763</v>
      </c>
      <c r="B252" s="13" t="s">
        <v>345</v>
      </c>
      <c r="C252" s="13">
        <v>103</v>
      </c>
      <c r="D252" s="13">
        <v>692.11</v>
      </c>
      <c r="E252" s="13" t="s">
        <v>71</v>
      </c>
      <c r="F252" s="13">
        <v>251</v>
      </c>
    </row>
    <row r="253" spans="1:6" hidden="1" x14ac:dyDescent="0.25">
      <c r="A253" s="16">
        <v>42763</v>
      </c>
      <c r="B253" s="13" t="s">
        <v>346</v>
      </c>
      <c r="C253" s="13">
        <v>41</v>
      </c>
      <c r="D253" s="13">
        <v>454.51</v>
      </c>
      <c r="E253" s="13" t="s">
        <v>71</v>
      </c>
      <c r="F253" s="13">
        <v>252</v>
      </c>
    </row>
    <row r="254" spans="1:6" hidden="1" x14ac:dyDescent="0.25">
      <c r="A254" s="16">
        <v>42763</v>
      </c>
      <c r="B254" s="13" t="s">
        <v>347</v>
      </c>
      <c r="C254" s="13">
        <v>43</v>
      </c>
      <c r="D254" s="13">
        <v>195.83</v>
      </c>
      <c r="E254" s="13" t="s">
        <v>71</v>
      </c>
      <c r="F254" s="13">
        <v>253</v>
      </c>
    </row>
    <row r="255" spans="1:6" hidden="1" x14ac:dyDescent="0.25">
      <c r="A255" s="16">
        <v>42762</v>
      </c>
      <c r="B255" s="13" t="s">
        <v>348</v>
      </c>
      <c r="C255" s="13">
        <v>44</v>
      </c>
      <c r="D255" s="13">
        <v>747.39</v>
      </c>
      <c r="E255" s="13" t="s">
        <v>71</v>
      </c>
      <c r="F255" s="13">
        <v>254</v>
      </c>
    </row>
    <row r="256" spans="1:6" hidden="1" x14ac:dyDescent="0.25">
      <c r="A256" s="16">
        <v>42762</v>
      </c>
      <c r="B256" s="13" t="s">
        <v>349</v>
      </c>
      <c r="C256" s="13">
        <v>41</v>
      </c>
      <c r="D256" s="13">
        <v>1067.0999999999999</v>
      </c>
      <c r="E256" s="13" t="s">
        <v>71</v>
      </c>
      <c r="F256" s="13">
        <v>255</v>
      </c>
    </row>
    <row r="257" spans="1:6" hidden="1" x14ac:dyDescent="0.25">
      <c r="A257" s="16">
        <v>42762</v>
      </c>
      <c r="B257" s="13" t="s">
        <v>350</v>
      </c>
      <c r="C257" s="13">
        <v>35</v>
      </c>
      <c r="D257" s="13">
        <v>1074.46</v>
      </c>
      <c r="E257" s="13" t="s">
        <v>71</v>
      </c>
      <c r="F257" s="13">
        <v>256</v>
      </c>
    </row>
    <row r="258" spans="1:6" x14ac:dyDescent="0.25">
      <c r="A258" s="16">
        <v>42762</v>
      </c>
      <c r="B258" s="13" t="s">
        <v>351</v>
      </c>
      <c r="C258" s="13">
        <v>103</v>
      </c>
      <c r="D258" s="13">
        <v>872.21</v>
      </c>
      <c r="E258" s="13" t="s">
        <v>71</v>
      </c>
      <c r="F258" s="13">
        <v>257</v>
      </c>
    </row>
    <row r="259" spans="1:6" hidden="1" x14ac:dyDescent="0.25">
      <c r="A259" s="16">
        <v>42762</v>
      </c>
      <c r="B259" s="13" t="s">
        <v>352</v>
      </c>
      <c r="C259" s="13">
        <v>38</v>
      </c>
      <c r="D259" s="13">
        <v>819.62</v>
      </c>
      <c r="E259" s="13" t="s">
        <v>71</v>
      </c>
      <c r="F259" s="13">
        <v>258</v>
      </c>
    </row>
    <row r="260" spans="1:6" hidden="1" x14ac:dyDescent="0.25">
      <c r="A260" s="16">
        <v>42762</v>
      </c>
      <c r="B260" s="13" t="s">
        <v>353</v>
      </c>
      <c r="C260" s="13">
        <v>101</v>
      </c>
      <c r="D260" s="13">
        <v>844.34</v>
      </c>
      <c r="E260" s="13" t="s">
        <v>71</v>
      </c>
      <c r="F260" s="13">
        <v>259</v>
      </c>
    </row>
    <row r="261" spans="1:6" hidden="1" x14ac:dyDescent="0.25">
      <c r="A261" s="16">
        <v>42762</v>
      </c>
      <c r="B261" s="13" t="s">
        <v>354</v>
      </c>
      <c r="C261" s="13">
        <v>43</v>
      </c>
      <c r="D261" s="13">
        <v>229.85</v>
      </c>
      <c r="E261" s="13" t="s">
        <v>71</v>
      </c>
      <c r="F261" s="13">
        <v>260</v>
      </c>
    </row>
    <row r="262" spans="1:6" hidden="1" x14ac:dyDescent="0.25">
      <c r="A262" s="16">
        <v>42764</v>
      </c>
      <c r="B262" s="13" t="s">
        <v>356</v>
      </c>
      <c r="C262" s="13">
        <v>201</v>
      </c>
      <c r="D262" s="13">
        <v>247.89</v>
      </c>
      <c r="E262" s="13" t="s">
        <v>71</v>
      </c>
      <c r="F262" s="13">
        <v>261</v>
      </c>
    </row>
    <row r="263" spans="1:6" hidden="1" x14ac:dyDescent="0.25">
      <c r="A263" s="16">
        <v>42764</v>
      </c>
      <c r="B263" s="13" t="s">
        <v>357</v>
      </c>
      <c r="C263" s="13">
        <v>37</v>
      </c>
      <c r="D263" s="13">
        <v>562.57000000000005</v>
      </c>
      <c r="E263" s="13" t="s">
        <v>71</v>
      </c>
      <c r="F263" s="13">
        <v>262</v>
      </c>
    </row>
    <row r="264" spans="1:6" hidden="1" x14ac:dyDescent="0.25">
      <c r="A264" s="16">
        <v>42763</v>
      </c>
      <c r="B264" s="13" t="s">
        <v>358</v>
      </c>
      <c r="C264" s="13">
        <v>201</v>
      </c>
      <c r="D264" s="13">
        <v>294.89</v>
      </c>
      <c r="E264" s="13" t="s">
        <v>71</v>
      </c>
      <c r="F264" s="13">
        <v>263</v>
      </c>
    </row>
    <row r="265" spans="1:6" hidden="1" x14ac:dyDescent="0.25">
      <c r="A265" s="16">
        <v>42763</v>
      </c>
      <c r="B265" s="13" t="s">
        <v>359</v>
      </c>
      <c r="C265" s="13">
        <v>37</v>
      </c>
      <c r="D265" s="13">
        <v>549.61</v>
      </c>
      <c r="E265" s="13" t="s">
        <v>71</v>
      </c>
      <c r="F265" s="13">
        <v>264</v>
      </c>
    </row>
    <row r="266" spans="1:6" hidden="1" x14ac:dyDescent="0.25">
      <c r="A266" s="16">
        <v>42762</v>
      </c>
      <c r="B266" s="13" t="s">
        <v>360</v>
      </c>
      <c r="C266" s="13">
        <v>201</v>
      </c>
      <c r="D266" s="13">
        <v>722.83</v>
      </c>
      <c r="E266" s="13" t="s">
        <v>71</v>
      </c>
      <c r="F266" s="13">
        <v>265</v>
      </c>
    </row>
    <row r="267" spans="1:6" hidden="1" x14ac:dyDescent="0.25">
      <c r="A267" s="16">
        <v>42762</v>
      </c>
      <c r="B267" s="13" t="s">
        <v>361</v>
      </c>
      <c r="C267" s="13">
        <v>37</v>
      </c>
      <c r="D267" s="13">
        <v>813.91</v>
      </c>
      <c r="E267" s="13" t="s">
        <v>71</v>
      </c>
      <c r="F267" s="13">
        <v>266</v>
      </c>
    </row>
    <row r="268" spans="1:6" hidden="1" x14ac:dyDescent="0.25">
      <c r="A268" s="16">
        <v>42765</v>
      </c>
      <c r="B268" s="13" t="s">
        <v>363</v>
      </c>
      <c r="C268" s="13">
        <v>38</v>
      </c>
      <c r="D268" s="13">
        <v>564.54</v>
      </c>
      <c r="E268" s="13" t="s">
        <v>71</v>
      </c>
      <c r="F268" s="13">
        <v>267</v>
      </c>
    </row>
    <row r="269" spans="1:6" hidden="1" x14ac:dyDescent="0.25">
      <c r="A269" s="16">
        <v>42765</v>
      </c>
      <c r="B269" s="13" t="s">
        <v>364</v>
      </c>
      <c r="C269" s="13">
        <v>45</v>
      </c>
      <c r="D269" s="13">
        <v>254.85</v>
      </c>
      <c r="E269" s="13" t="s">
        <v>71</v>
      </c>
      <c r="F269" s="13">
        <v>268</v>
      </c>
    </row>
    <row r="270" spans="1:6" hidden="1" x14ac:dyDescent="0.25">
      <c r="A270" s="16">
        <v>42765</v>
      </c>
      <c r="B270" s="13" t="s">
        <v>365</v>
      </c>
      <c r="C270" s="13">
        <v>41</v>
      </c>
      <c r="D270" s="13">
        <v>399.54</v>
      </c>
      <c r="E270" s="13" t="s">
        <v>71</v>
      </c>
      <c r="F270" s="13">
        <v>269</v>
      </c>
    </row>
    <row r="271" spans="1:6" hidden="1" x14ac:dyDescent="0.25">
      <c r="A271" s="16">
        <v>42765</v>
      </c>
      <c r="B271" s="13" t="s">
        <v>366</v>
      </c>
      <c r="C271" s="13">
        <v>35</v>
      </c>
      <c r="D271" s="13">
        <v>684.58</v>
      </c>
      <c r="E271" s="13" t="s">
        <v>71</v>
      </c>
      <c r="F271" s="13">
        <v>270</v>
      </c>
    </row>
    <row r="272" spans="1:6" hidden="1" x14ac:dyDescent="0.25">
      <c r="A272" s="16">
        <v>42765</v>
      </c>
      <c r="B272" s="13" t="s">
        <v>367</v>
      </c>
      <c r="C272" s="13">
        <v>44</v>
      </c>
      <c r="D272" s="13">
        <v>702.9</v>
      </c>
      <c r="E272" s="13" t="s">
        <v>71</v>
      </c>
      <c r="F272" s="13">
        <v>271</v>
      </c>
    </row>
    <row r="273" spans="1:6" hidden="1" x14ac:dyDescent="0.25">
      <c r="A273" s="16">
        <v>42765</v>
      </c>
      <c r="B273" s="13" t="s">
        <v>368</v>
      </c>
      <c r="C273" s="13">
        <v>43</v>
      </c>
      <c r="D273" s="13">
        <v>259.68</v>
      </c>
      <c r="E273" s="13" t="s">
        <v>71</v>
      </c>
      <c r="F273" s="13">
        <v>272</v>
      </c>
    </row>
    <row r="274" spans="1:6" hidden="1" x14ac:dyDescent="0.25">
      <c r="A274" s="16">
        <v>42765</v>
      </c>
      <c r="B274" s="13" t="s">
        <v>369</v>
      </c>
      <c r="C274" s="13">
        <v>101</v>
      </c>
      <c r="D274" s="13">
        <v>691.29</v>
      </c>
      <c r="E274" s="13" t="s">
        <v>71</v>
      </c>
      <c r="F274" s="13">
        <v>273</v>
      </c>
    </row>
    <row r="275" spans="1:6" x14ac:dyDescent="0.25">
      <c r="A275" s="16">
        <v>42765</v>
      </c>
      <c r="B275" s="13" t="s">
        <v>370</v>
      </c>
      <c r="C275" s="13">
        <v>103</v>
      </c>
      <c r="D275" s="13">
        <v>814.24</v>
      </c>
      <c r="E275" s="13" t="s">
        <v>71</v>
      </c>
      <c r="F275" s="13">
        <v>274</v>
      </c>
    </row>
    <row r="276" spans="1:6" hidden="1" x14ac:dyDescent="0.25">
      <c r="A276" s="16">
        <v>42765</v>
      </c>
      <c r="B276" s="13" t="s">
        <v>373</v>
      </c>
      <c r="C276" s="13">
        <v>37</v>
      </c>
      <c r="D276" s="13">
        <v>220.68</v>
      </c>
      <c r="E276" s="13" t="s">
        <v>71</v>
      </c>
      <c r="F276" s="13">
        <v>275</v>
      </c>
    </row>
    <row r="277" spans="1:6" hidden="1" x14ac:dyDescent="0.25">
      <c r="A277" s="16">
        <v>42765</v>
      </c>
      <c r="B277" s="13" t="s">
        <v>374</v>
      </c>
      <c r="C277" s="13">
        <v>201</v>
      </c>
      <c r="D277" s="13">
        <v>222.3</v>
      </c>
      <c r="E277" s="13" t="s">
        <v>71</v>
      </c>
      <c r="F277" s="13">
        <v>276</v>
      </c>
    </row>
    <row r="278" spans="1:6" hidden="1" x14ac:dyDescent="0.25">
      <c r="A278" s="16">
        <v>42766</v>
      </c>
      <c r="B278" s="13" t="s">
        <v>375</v>
      </c>
      <c r="C278" s="13">
        <v>45</v>
      </c>
      <c r="D278" s="13">
        <v>199.76</v>
      </c>
      <c r="E278" s="13" t="s">
        <v>71</v>
      </c>
      <c r="F278" s="13">
        <v>277</v>
      </c>
    </row>
    <row r="279" spans="1:6" hidden="1" x14ac:dyDescent="0.25">
      <c r="A279" s="16">
        <v>42766</v>
      </c>
      <c r="B279" s="13" t="s">
        <v>376</v>
      </c>
      <c r="C279" s="13">
        <v>35</v>
      </c>
      <c r="D279" s="13">
        <v>564.79999999999995</v>
      </c>
      <c r="E279" s="13" t="s">
        <v>71</v>
      </c>
      <c r="F279" s="13">
        <v>278</v>
      </c>
    </row>
    <row r="280" spans="1:6" hidden="1" x14ac:dyDescent="0.25">
      <c r="A280" s="16">
        <v>42766</v>
      </c>
      <c r="B280" s="13" t="s">
        <v>377</v>
      </c>
      <c r="C280" s="13">
        <v>101</v>
      </c>
      <c r="D280" s="13">
        <v>427.44</v>
      </c>
      <c r="E280" s="13" t="s">
        <v>71</v>
      </c>
      <c r="F280" s="13">
        <v>279</v>
      </c>
    </row>
    <row r="281" spans="1:6" hidden="1" x14ac:dyDescent="0.25">
      <c r="A281" s="16">
        <v>42766</v>
      </c>
      <c r="B281" s="13" t="s">
        <v>378</v>
      </c>
      <c r="C281" s="13">
        <v>38</v>
      </c>
      <c r="D281" s="13">
        <v>629.35</v>
      </c>
      <c r="E281" s="13" t="s">
        <v>71</v>
      </c>
      <c r="F281" s="13">
        <v>280</v>
      </c>
    </row>
    <row r="282" spans="1:6" hidden="1" x14ac:dyDescent="0.25">
      <c r="A282" s="16">
        <v>42766</v>
      </c>
      <c r="B282" s="13" t="s">
        <v>379</v>
      </c>
      <c r="C282" s="13">
        <v>43</v>
      </c>
      <c r="D282" s="13">
        <v>209.94</v>
      </c>
      <c r="E282" s="13" t="s">
        <v>71</v>
      </c>
      <c r="F282" s="13">
        <v>281</v>
      </c>
    </row>
    <row r="283" spans="1:6" hidden="1" x14ac:dyDescent="0.25">
      <c r="A283" s="16">
        <v>42766</v>
      </c>
      <c r="B283" s="13" t="s">
        <v>380</v>
      </c>
      <c r="C283" s="13">
        <v>41</v>
      </c>
      <c r="D283" s="13">
        <v>812.34</v>
      </c>
      <c r="E283" s="13" t="s">
        <v>71</v>
      </c>
      <c r="F283" s="13">
        <v>282</v>
      </c>
    </row>
    <row r="284" spans="1:6" x14ac:dyDescent="0.25">
      <c r="A284" s="16">
        <v>42766</v>
      </c>
      <c r="B284" s="13" t="s">
        <v>381</v>
      </c>
      <c r="C284" s="13">
        <v>103</v>
      </c>
      <c r="D284" s="13">
        <v>1044.33</v>
      </c>
      <c r="E284" s="13" t="s">
        <v>71</v>
      </c>
      <c r="F284" s="13">
        <v>283</v>
      </c>
    </row>
    <row r="285" spans="1:6" hidden="1" x14ac:dyDescent="0.25">
      <c r="A285" s="16">
        <v>42766</v>
      </c>
      <c r="B285" s="13" t="s">
        <v>382</v>
      </c>
      <c r="C285" s="13">
        <v>44</v>
      </c>
      <c r="D285" s="13">
        <v>429.41</v>
      </c>
      <c r="E285" s="13" t="s">
        <v>71</v>
      </c>
      <c r="F285" s="13">
        <v>284</v>
      </c>
    </row>
    <row r="286" spans="1:6" hidden="1" x14ac:dyDescent="0.25">
      <c r="A286" s="16">
        <v>42766</v>
      </c>
      <c r="B286" s="13" t="s">
        <v>384</v>
      </c>
      <c r="C286" s="13">
        <v>201</v>
      </c>
      <c r="D286" s="13">
        <v>139.91</v>
      </c>
      <c r="E286" s="13" t="s">
        <v>71</v>
      </c>
      <c r="F286" s="13">
        <v>285</v>
      </c>
    </row>
    <row r="287" spans="1:6" hidden="1" x14ac:dyDescent="0.25">
      <c r="A287" s="16">
        <v>42766</v>
      </c>
      <c r="B287" s="13" t="s">
        <v>385</v>
      </c>
      <c r="C287" s="13">
        <v>37</v>
      </c>
      <c r="D287" s="13">
        <v>304.58</v>
      </c>
      <c r="E287" s="13" t="s">
        <v>71</v>
      </c>
      <c r="F287" s="13">
        <v>286</v>
      </c>
    </row>
    <row r="288" spans="1:6" x14ac:dyDescent="0.25">
      <c r="A288" s="16">
        <v>42767</v>
      </c>
      <c r="B288" s="13" t="s">
        <v>386</v>
      </c>
      <c r="C288" s="13">
        <v>103</v>
      </c>
      <c r="D288" s="13">
        <v>532.08000000000004</v>
      </c>
      <c r="E288" s="13" t="s">
        <v>71</v>
      </c>
      <c r="F288" s="13">
        <v>287</v>
      </c>
    </row>
    <row r="289" spans="1:6" hidden="1" x14ac:dyDescent="0.25">
      <c r="A289" s="16">
        <v>42767</v>
      </c>
      <c r="B289" s="13" t="s">
        <v>387</v>
      </c>
      <c r="C289" s="13">
        <v>44</v>
      </c>
      <c r="D289" s="13">
        <v>812.23</v>
      </c>
      <c r="E289" s="13" t="s">
        <v>71</v>
      </c>
      <c r="F289" s="13">
        <v>288</v>
      </c>
    </row>
    <row r="290" spans="1:6" hidden="1" x14ac:dyDescent="0.25">
      <c r="A290" s="16">
        <v>42767</v>
      </c>
      <c r="B290" s="13" t="s">
        <v>388</v>
      </c>
      <c r="C290" s="13">
        <v>35</v>
      </c>
      <c r="D290" s="13">
        <v>519.64</v>
      </c>
      <c r="E290" s="13" t="s">
        <v>71</v>
      </c>
      <c r="F290" s="13">
        <v>289</v>
      </c>
    </row>
    <row r="291" spans="1:6" hidden="1" x14ac:dyDescent="0.25">
      <c r="A291" s="16">
        <v>42767</v>
      </c>
      <c r="B291" s="13" t="s">
        <v>389</v>
      </c>
      <c r="C291" s="13">
        <v>41</v>
      </c>
      <c r="D291" s="13">
        <v>747.03</v>
      </c>
      <c r="E291" s="13" t="s">
        <v>71</v>
      </c>
      <c r="F291" s="13">
        <v>290</v>
      </c>
    </row>
    <row r="292" spans="1:6" hidden="1" x14ac:dyDescent="0.25">
      <c r="A292" s="16">
        <v>42767</v>
      </c>
      <c r="B292" s="13" t="s">
        <v>390</v>
      </c>
      <c r="C292" s="13">
        <v>45</v>
      </c>
      <c r="D292" s="13">
        <v>389.6</v>
      </c>
      <c r="E292" s="13" t="s">
        <v>71</v>
      </c>
      <c r="F292" s="13">
        <v>291</v>
      </c>
    </row>
    <row r="293" spans="1:6" hidden="1" x14ac:dyDescent="0.25">
      <c r="A293" s="16">
        <v>42767</v>
      </c>
      <c r="B293" s="13" t="s">
        <v>391</v>
      </c>
      <c r="C293" s="13">
        <v>38</v>
      </c>
      <c r="D293" s="13">
        <v>414.68</v>
      </c>
      <c r="E293" s="13" t="s">
        <v>71</v>
      </c>
      <c r="F293" s="13">
        <v>292</v>
      </c>
    </row>
    <row r="294" spans="1:6" hidden="1" x14ac:dyDescent="0.25">
      <c r="A294" s="16">
        <v>42767</v>
      </c>
      <c r="B294" s="13" t="s">
        <v>392</v>
      </c>
      <c r="C294" s="13">
        <v>101</v>
      </c>
      <c r="D294" s="13">
        <v>654.69000000000005</v>
      </c>
      <c r="E294" s="13" t="s">
        <v>71</v>
      </c>
      <c r="F294" s="13">
        <v>293</v>
      </c>
    </row>
    <row r="295" spans="1:6" hidden="1" x14ac:dyDescent="0.25">
      <c r="A295" s="16">
        <v>42767</v>
      </c>
      <c r="B295" s="13" t="s">
        <v>393</v>
      </c>
      <c r="C295" s="13">
        <v>43</v>
      </c>
      <c r="D295" s="13">
        <v>194.86</v>
      </c>
      <c r="E295" s="13" t="s">
        <v>71</v>
      </c>
      <c r="F295" s="13">
        <v>294</v>
      </c>
    </row>
    <row r="296" spans="1:6" hidden="1" x14ac:dyDescent="0.25">
      <c r="A296" s="16">
        <v>42767</v>
      </c>
      <c r="B296" s="13" t="s">
        <v>395</v>
      </c>
      <c r="C296" s="13">
        <v>37</v>
      </c>
      <c r="D296" s="13">
        <v>614.29999999999995</v>
      </c>
      <c r="E296" s="13" t="s">
        <v>71</v>
      </c>
      <c r="F296" s="13">
        <v>295</v>
      </c>
    </row>
    <row r="297" spans="1:6" hidden="1" x14ac:dyDescent="0.25">
      <c r="A297" s="16">
        <v>42767</v>
      </c>
      <c r="B297" s="13" t="s">
        <v>396</v>
      </c>
      <c r="C297" s="13">
        <v>201</v>
      </c>
      <c r="D297" s="13">
        <v>189.88</v>
      </c>
      <c r="E297" s="13" t="s">
        <v>71</v>
      </c>
      <c r="F297" s="13">
        <v>296</v>
      </c>
    </row>
    <row r="298" spans="1:6" hidden="1" x14ac:dyDescent="0.25">
      <c r="A298" s="16">
        <v>42768</v>
      </c>
      <c r="B298" s="13" t="s">
        <v>398</v>
      </c>
      <c r="C298" s="13">
        <v>45</v>
      </c>
      <c r="D298" s="13">
        <v>339.59</v>
      </c>
      <c r="E298" s="13" t="s">
        <v>71</v>
      </c>
      <c r="F298" s="13">
        <v>297</v>
      </c>
    </row>
    <row r="299" spans="1:6" hidden="1" x14ac:dyDescent="0.25">
      <c r="A299" s="16">
        <v>42768</v>
      </c>
      <c r="B299" s="13" t="s">
        <v>399</v>
      </c>
      <c r="C299" s="13">
        <v>41</v>
      </c>
      <c r="D299" s="13">
        <v>772.52</v>
      </c>
      <c r="E299" s="13" t="s">
        <v>71</v>
      </c>
      <c r="F299" s="13">
        <v>298</v>
      </c>
    </row>
    <row r="300" spans="1:6" hidden="1" x14ac:dyDescent="0.25">
      <c r="A300" s="16">
        <v>42768</v>
      </c>
      <c r="B300" s="13" t="s">
        <v>400</v>
      </c>
      <c r="C300" s="13">
        <v>44</v>
      </c>
      <c r="D300" s="13">
        <v>670.47</v>
      </c>
      <c r="E300" s="13" t="s">
        <v>71</v>
      </c>
      <c r="F300" s="13">
        <v>299</v>
      </c>
    </row>
    <row r="301" spans="1:6" hidden="1" x14ac:dyDescent="0.25">
      <c r="A301" s="16">
        <v>42768</v>
      </c>
      <c r="B301" s="13" t="s">
        <v>401</v>
      </c>
      <c r="C301" s="13">
        <v>43</v>
      </c>
      <c r="D301" s="13">
        <v>419.5</v>
      </c>
      <c r="E301" s="13" t="s">
        <v>71</v>
      </c>
      <c r="F301" s="13">
        <v>300</v>
      </c>
    </row>
    <row r="302" spans="1:6" hidden="1" x14ac:dyDescent="0.25">
      <c r="A302" s="16">
        <v>42768</v>
      </c>
      <c r="B302" s="13" t="s">
        <v>402</v>
      </c>
      <c r="C302" s="13">
        <v>38</v>
      </c>
      <c r="D302" s="13">
        <v>1061.83</v>
      </c>
      <c r="E302" s="13" t="s">
        <v>71</v>
      </c>
      <c r="F302" s="13">
        <v>301</v>
      </c>
    </row>
    <row r="303" spans="1:6" hidden="1" x14ac:dyDescent="0.25">
      <c r="A303" s="16">
        <v>42768</v>
      </c>
      <c r="B303" s="13" t="s">
        <v>403</v>
      </c>
      <c r="C303" s="13">
        <v>101</v>
      </c>
      <c r="D303" s="13">
        <v>754.34</v>
      </c>
      <c r="E303" s="13" t="s">
        <v>71</v>
      </c>
      <c r="F303" s="13">
        <v>302</v>
      </c>
    </row>
    <row r="304" spans="1:6" hidden="1" x14ac:dyDescent="0.25">
      <c r="A304" s="16">
        <v>42768</v>
      </c>
      <c r="B304" s="13" t="s">
        <v>404</v>
      </c>
      <c r="C304" s="13">
        <v>35</v>
      </c>
      <c r="D304" s="13">
        <v>1647.72</v>
      </c>
      <c r="E304" s="13" t="s">
        <v>71</v>
      </c>
      <c r="F304" s="13">
        <v>303</v>
      </c>
    </row>
    <row r="305" spans="1:6" x14ac:dyDescent="0.25">
      <c r="A305" s="16">
        <v>42768</v>
      </c>
      <c r="B305" s="13" t="s">
        <v>405</v>
      </c>
      <c r="C305" s="13">
        <v>103</v>
      </c>
      <c r="D305" s="13">
        <v>1078.3</v>
      </c>
      <c r="E305" s="13" t="s">
        <v>71</v>
      </c>
      <c r="F305" s="13">
        <v>304</v>
      </c>
    </row>
    <row r="306" spans="1:6" hidden="1" x14ac:dyDescent="0.25">
      <c r="A306" s="16">
        <v>42768</v>
      </c>
      <c r="B306" s="13" t="s">
        <v>407</v>
      </c>
      <c r="C306" s="13">
        <v>201</v>
      </c>
      <c r="D306" s="13">
        <v>836.5</v>
      </c>
      <c r="E306" s="13" t="s">
        <v>71</v>
      </c>
      <c r="F306" s="13">
        <v>305</v>
      </c>
    </row>
    <row r="307" spans="1:6" hidden="1" x14ac:dyDescent="0.25">
      <c r="A307" s="16">
        <v>42768</v>
      </c>
      <c r="B307" s="13" t="s">
        <v>408</v>
      </c>
      <c r="C307" s="13">
        <v>37</v>
      </c>
      <c r="D307" s="13">
        <v>904.24</v>
      </c>
      <c r="E307" s="13" t="s">
        <v>71</v>
      </c>
      <c r="F307" s="13">
        <v>306</v>
      </c>
    </row>
    <row r="308" spans="1:6" hidden="1" x14ac:dyDescent="0.25">
      <c r="A308" s="16">
        <v>42771</v>
      </c>
      <c r="B308" s="13" t="s">
        <v>409</v>
      </c>
      <c r="C308" s="13">
        <v>101</v>
      </c>
      <c r="D308" s="13">
        <v>219.81</v>
      </c>
      <c r="E308" s="13" t="s">
        <v>71</v>
      </c>
      <c r="F308" s="13">
        <v>307</v>
      </c>
    </row>
    <row r="309" spans="1:6" hidden="1" x14ac:dyDescent="0.25">
      <c r="A309" s="16">
        <v>42771</v>
      </c>
      <c r="B309" s="13" t="s">
        <v>410</v>
      </c>
      <c r="C309" s="13">
        <v>41</v>
      </c>
      <c r="D309" s="13">
        <v>249.73</v>
      </c>
      <c r="E309" s="13" t="s">
        <v>71</v>
      </c>
      <c r="F309" s="13">
        <v>308</v>
      </c>
    </row>
    <row r="310" spans="1:6" hidden="1" x14ac:dyDescent="0.25">
      <c r="A310" s="16">
        <v>42771</v>
      </c>
      <c r="B310" s="13" t="s">
        <v>411</v>
      </c>
      <c r="C310" s="13">
        <v>43</v>
      </c>
      <c r="D310" s="13">
        <v>134.97999999999999</v>
      </c>
      <c r="E310" s="13" t="s">
        <v>71</v>
      </c>
      <c r="F310" s="13">
        <v>309</v>
      </c>
    </row>
    <row r="311" spans="1:6" hidden="1" x14ac:dyDescent="0.25">
      <c r="A311" s="16">
        <v>42771</v>
      </c>
      <c r="B311" s="13" t="s">
        <v>412</v>
      </c>
      <c r="C311" s="13">
        <v>35</v>
      </c>
      <c r="D311" s="13">
        <v>667.33</v>
      </c>
      <c r="E311" s="13" t="s">
        <v>71</v>
      </c>
      <c r="F311" s="13">
        <v>310</v>
      </c>
    </row>
    <row r="312" spans="1:6" hidden="1" x14ac:dyDescent="0.25">
      <c r="A312" s="16">
        <v>42771</v>
      </c>
      <c r="B312" s="13" t="s">
        <v>413</v>
      </c>
      <c r="C312" s="13">
        <v>38</v>
      </c>
      <c r="D312" s="13">
        <v>954.18</v>
      </c>
      <c r="E312" s="13" t="s">
        <v>71</v>
      </c>
      <c r="F312" s="13">
        <v>311</v>
      </c>
    </row>
    <row r="313" spans="1:6" x14ac:dyDescent="0.25">
      <c r="A313" s="16">
        <v>42771</v>
      </c>
      <c r="B313" s="13" t="s">
        <v>414</v>
      </c>
      <c r="C313" s="13">
        <v>103</v>
      </c>
      <c r="D313" s="13">
        <v>422.56</v>
      </c>
      <c r="E313" s="13" t="s">
        <v>71</v>
      </c>
      <c r="F313" s="13">
        <v>312</v>
      </c>
    </row>
    <row r="314" spans="1:6" hidden="1" x14ac:dyDescent="0.25">
      <c r="A314" s="16">
        <v>42771</v>
      </c>
      <c r="B314" s="13" t="s">
        <v>415</v>
      </c>
      <c r="C314" s="13">
        <v>45</v>
      </c>
      <c r="D314" s="13">
        <v>689.59</v>
      </c>
      <c r="E314" s="13" t="s">
        <v>71</v>
      </c>
      <c r="F314" s="13">
        <v>313</v>
      </c>
    </row>
    <row r="315" spans="1:6" hidden="1" x14ac:dyDescent="0.25">
      <c r="A315" s="16">
        <v>42771</v>
      </c>
      <c r="B315" s="13" t="s">
        <v>416</v>
      </c>
      <c r="C315" s="13">
        <v>44</v>
      </c>
      <c r="D315" s="13">
        <v>669.83</v>
      </c>
      <c r="E315" s="13" t="s">
        <v>71</v>
      </c>
      <c r="F315" s="13">
        <v>314</v>
      </c>
    </row>
    <row r="316" spans="1:6" x14ac:dyDescent="0.25">
      <c r="A316" s="16">
        <v>42770</v>
      </c>
      <c r="B316" s="13" t="s">
        <v>417</v>
      </c>
      <c r="C316" s="13">
        <v>103</v>
      </c>
      <c r="D316" s="13">
        <v>1367.53</v>
      </c>
      <c r="E316" s="13" t="s">
        <v>71</v>
      </c>
      <c r="F316" s="13">
        <v>315</v>
      </c>
    </row>
    <row r="317" spans="1:6" hidden="1" x14ac:dyDescent="0.25">
      <c r="A317" s="16">
        <v>42770</v>
      </c>
      <c r="B317" s="13" t="s">
        <v>418</v>
      </c>
      <c r="C317" s="13">
        <v>38</v>
      </c>
      <c r="D317" s="13">
        <v>849.18</v>
      </c>
      <c r="E317" s="13" t="s">
        <v>71</v>
      </c>
      <c r="F317" s="13">
        <v>316</v>
      </c>
    </row>
    <row r="318" spans="1:6" hidden="1" x14ac:dyDescent="0.25">
      <c r="A318" s="16">
        <v>42770</v>
      </c>
      <c r="B318" s="13" t="s">
        <v>419</v>
      </c>
      <c r="C318" s="13">
        <v>43</v>
      </c>
      <c r="D318" s="13">
        <v>324.83</v>
      </c>
      <c r="E318" s="13" t="s">
        <v>71</v>
      </c>
      <c r="F318" s="13">
        <v>317</v>
      </c>
    </row>
    <row r="319" spans="1:6" hidden="1" x14ac:dyDescent="0.25">
      <c r="A319" s="16">
        <v>42770</v>
      </c>
      <c r="B319" s="13" t="s">
        <v>420</v>
      </c>
      <c r="C319" s="13">
        <v>35</v>
      </c>
      <c r="D319" s="13">
        <v>1054.29</v>
      </c>
      <c r="E319" s="13" t="s">
        <v>71</v>
      </c>
      <c r="F319" s="13">
        <v>318</v>
      </c>
    </row>
    <row r="320" spans="1:6" hidden="1" x14ac:dyDescent="0.25">
      <c r="A320" s="16">
        <v>42770</v>
      </c>
      <c r="B320" s="13" t="s">
        <v>421</v>
      </c>
      <c r="C320" s="13">
        <v>45</v>
      </c>
      <c r="D320" s="13">
        <v>569.54</v>
      </c>
      <c r="E320" s="13" t="s">
        <v>71</v>
      </c>
      <c r="F320" s="13">
        <v>319</v>
      </c>
    </row>
    <row r="321" spans="1:6" hidden="1" x14ac:dyDescent="0.25">
      <c r="A321" s="16">
        <v>42770</v>
      </c>
      <c r="B321" s="13" t="s">
        <v>422</v>
      </c>
      <c r="C321" s="13">
        <v>101</v>
      </c>
      <c r="D321" s="13">
        <v>389.61</v>
      </c>
      <c r="E321" s="13" t="s">
        <v>71</v>
      </c>
      <c r="F321" s="13">
        <v>320</v>
      </c>
    </row>
    <row r="322" spans="1:6" hidden="1" x14ac:dyDescent="0.25">
      <c r="A322" s="16">
        <v>42770</v>
      </c>
      <c r="B322" s="13" t="s">
        <v>423</v>
      </c>
      <c r="C322" s="13">
        <v>41</v>
      </c>
      <c r="D322" s="13">
        <v>551.53</v>
      </c>
      <c r="E322" s="13" t="s">
        <v>71</v>
      </c>
      <c r="F322" s="13">
        <v>321</v>
      </c>
    </row>
    <row r="323" spans="1:6" hidden="1" x14ac:dyDescent="0.25">
      <c r="A323" s="16">
        <v>42770</v>
      </c>
      <c r="B323" s="13" t="s">
        <v>424</v>
      </c>
      <c r="C323" s="13">
        <v>44</v>
      </c>
      <c r="D323" s="13">
        <v>1128.96</v>
      </c>
      <c r="E323" s="13" t="s">
        <v>71</v>
      </c>
      <c r="F323" s="13">
        <v>322</v>
      </c>
    </row>
    <row r="324" spans="1:6" hidden="1" x14ac:dyDescent="0.25">
      <c r="A324" s="16">
        <v>42769</v>
      </c>
      <c r="B324" s="13" t="s">
        <v>425</v>
      </c>
      <c r="C324" s="13">
        <v>38</v>
      </c>
      <c r="D324" s="13">
        <v>869.3</v>
      </c>
      <c r="E324" s="13" t="s">
        <v>71</v>
      </c>
      <c r="F324" s="13">
        <v>323</v>
      </c>
    </row>
    <row r="325" spans="1:6" hidden="1" x14ac:dyDescent="0.25">
      <c r="A325" s="16">
        <v>42769</v>
      </c>
      <c r="B325" s="13" t="s">
        <v>426</v>
      </c>
      <c r="C325" s="13">
        <v>41</v>
      </c>
      <c r="D325" s="13">
        <v>674.17</v>
      </c>
      <c r="E325" s="13" t="s">
        <v>71</v>
      </c>
      <c r="F325" s="13">
        <v>324</v>
      </c>
    </row>
    <row r="326" spans="1:6" hidden="1" x14ac:dyDescent="0.25">
      <c r="A326" s="16">
        <v>42769</v>
      </c>
      <c r="B326" s="13" t="s">
        <v>427</v>
      </c>
      <c r="C326" s="13">
        <v>35</v>
      </c>
      <c r="D326" s="13">
        <v>919.75</v>
      </c>
      <c r="E326" s="13" t="s">
        <v>71</v>
      </c>
      <c r="F326" s="13">
        <v>325</v>
      </c>
    </row>
    <row r="327" spans="1:6" hidden="1" x14ac:dyDescent="0.25">
      <c r="A327" s="16">
        <v>42769</v>
      </c>
      <c r="B327" s="13" t="s">
        <v>428</v>
      </c>
      <c r="C327" s="13">
        <v>101</v>
      </c>
      <c r="D327" s="13">
        <v>459.6</v>
      </c>
      <c r="E327" s="13" t="s">
        <v>71</v>
      </c>
      <c r="F327" s="13">
        <v>326</v>
      </c>
    </row>
    <row r="328" spans="1:6" x14ac:dyDescent="0.25">
      <c r="A328" s="16">
        <v>42769</v>
      </c>
      <c r="B328" s="13" t="s">
        <v>429</v>
      </c>
      <c r="C328" s="13">
        <v>103</v>
      </c>
      <c r="D328" s="13">
        <v>714.35</v>
      </c>
      <c r="E328" s="13" t="s">
        <v>71</v>
      </c>
      <c r="F328" s="13">
        <v>327</v>
      </c>
    </row>
    <row r="329" spans="1:6" hidden="1" x14ac:dyDescent="0.25">
      <c r="A329" s="16">
        <v>42769</v>
      </c>
      <c r="B329" s="13" t="s">
        <v>430</v>
      </c>
      <c r="C329" s="13">
        <v>44</v>
      </c>
      <c r="D329" s="13">
        <v>809.32</v>
      </c>
      <c r="E329" s="13" t="s">
        <v>71</v>
      </c>
      <c r="F329" s="13">
        <v>328</v>
      </c>
    </row>
    <row r="330" spans="1:6" hidden="1" x14ac:dyDescent="0.25">
      <c r="A330" s="16">
        <v>42769</v>
      </c>
      <c r="B330" s="13" t="s">
        <v>431</v>
      </c>
      <c r="C330" s="13">
        <v>45</v>
      </c>
      <c r="D330" s="13">
        <v>202.8</v>
      </c>
      <c r="E330" s="13" t="s">
        <v>71</v>
      </c>
      <c r="F330" s="13">
        <v>329</v>
      </c>
    </row>
    <row r="331" spans="1:6" hidden="1" x14ac:dyDescent="0.25">
      <c r="A331" s="16">
        <v>42769</v>
      </c>
      <c r="B331" s="13" t="s">
        <v>432</v>
      </c>
      <c r="C331" s="13">
        <v>43</v>
      </c>
      <c r="D331" s="13">
        <v>309.87</v>
      </c>
      <c r="E331" s="13" t="s">
        <v>71</v>
      </c>
      <c r="F331" s="13">
        <v>330</v>
      </c>
    </row>
    <row r="332" spans="1:6" hidden="1" x14ac:dyDescent="0.25">
      <c r="A332" s="16">
        <v>42771</v>
      </c>
      <c r="B332" s="13" t="s">
        <v>434</v>
      </c>
      <c r="C332" s="13">
        <v>37</v>
      </c>
      <c r="D332" s="13">
        <v>589.59</v>
      </c>
      <c r="E332" s="13" t="s">
        <v>71</v>
      </c>
      <c r="F332" s="13">
        <v>331</v>
      </c>
    </row>
    <row r="333" spans="1:6" hidden="1" x14ac:dyDescent="0.25">
      <c r="A333" s="16">
        <v>42771</v>
      </c>
      <c r="B333" s="13" t="s">
        <v>435</v>
      </c>
      <c r="C333" s="13">
        <v>201</v>
      </c>
      <c r="D333" s="13">
        <v>185</v>
      </c>
      <c r="E333" s="13" t="s">
        <v>71</v>
      </c>
      <c r="F333" s="13">
        <v>332</v>
      </c>
    </row>
    <row r="334" spans="1:6" hidden="1" x14ac:dyDescent="0.25">
      <c r="A334" s="16">
        <v>42770</v>
      </c>
      <c r="B334" s="13" t="s">
        <v>436</v>
      </c>
      <c r="C334" s="13">
        <v>37</v>
      </c>
      <c r="D334" s="13">
        <v>1055.3900000000001</v>
      </c>
      <c r="E334" s="13" t="s">
        <v>71</v>
      </c>
      <c r="F334" s="13">
        <v>333</v>
      </c>
    </row>
    <row r="335" spans="1:6" hidden="1" x14ac:dyDescent="0.25">
      <c r="A335" s="16">
        <v>42770</v>
      </c>
      <c r="B335" s="13" t="s">
        <v>437</v>
      </c>
      <c r="C335" s="13">
        <v>201</v>
      </c>
      <c r="D335" s="13">
        <v>306.45</v>
      </c>
      <c r="E335" s="13" t="s">
        <v>71</v>
      </c>
      <c r="F335" s="13">
        <v>334</v>
      </c>
    </row>
    <row r="336" spans="1:6" hidden="1" x14ac:dyDescent="0.25">
      <c r="A336" s="16">
        <v>42769</v>
      </c>
      <c r="B336" s="13" t="s">
        <v>438</v>
      </c>
      <c r="C336" s="13">
        <v>37</v>
      </c>
      <c r="D336" s="13">
        <v>1152.0899999999999</v>
      </c>
      <c r="E336" s="13" t="s">
        <v>71</v>
      </c>
      <c r="F336" s="13">
        <v>335</v>
      </c>
    </row>
    <row r="337" spans="1:6" hidden="1" x14ac:dyDescent="0.25">
      <c r="A337" s="16">
        <v>42769</v>
      </c>
      <c r="B337" s="13" t="s">
        <v>439</v>
      </c>
      <c r="C337" s="13">
        <v>201</v>
      </c>
      <c r="D337" s="13">
        <v>429.65</v>
      </c>
      <c r="E337" s="13" t="s">
        <v>71</v>
      </c>
      <c r="F337" s="13">
        <v>336</v>
      </c>
    </row>
    <row r="338" spans="1:6" hidden="1" x14ac:dyDescent="0.25">
      <c r="A338" s="16">
        <v>42772</v>
      </c>
      <c r="B338" s="13" t="s">
        <v>440</v>
      </c>
      <c r="C338" s="13">
        <v>38</v>
      </c>
      <c r="D338" s="13">
        <v>656.64</v>
      </c>
      <c r="E338" s="13" t="s">
        <v>71</v>
      </c>
      <c r="F338" s="13">
        <v>337</v>
      </c>
    </row>
    <row r="339" spans="1:6" hidden="1" x14ac:dyDescent="0.25">
      <c r="A339" s="16">
        <v>42772</v>
      </c>
      <c r="B339" s="13" t="s">
        <v>441</v>
      </c>
      <c r="C339" s="13">
        <v>45</v>
      </c>
      <c r="D339" s="13">
        <v>274.73</v>
      </c>
      <c r="E339" s="13" t="s">
        <v>71</v>
      </c>
      <c r="F339" s="13">
        <v>338</v>
      </c>
    </row>
    <row r="340" spans="1:6" hidden="1" x14ac:dyDescent="0.25">
      <c r="A340" s="16">
        <v>42772</v>
      </c>
      <c r="B340" s="13" t="s">
        <v>442</v>
      </c>
      <c r="C340" s="13">
        <v>41</v>
      </c>
      <c r="D340" s="13">
        <v>599.6</v>
      </c>
      <c r="E340" s="13" t="s">
        <v>71</v>
      </c>
      <c r="F340" s="13">
        <v>339</v>
      </c>
    </row>
    <row r="341" spans="1:6" hidden="1" x14ac:dyDescent="0.25">
      <c r="A341" s="16">
        <v>42772</v>
      </c>
      <c r="B341" s="13" t="s">
        <v>443</v>
      </c>
      <c r="C341" s="13">
        <v>35</v>
      </c>
      <c r="D341" s="13">
        <v>796.97</v>
      </c>
      <c r="E341" s="13" t="s">
        <v>71</v>
      </c>
      <c r="F341" s="13">
        <v>340</v>
      </c>
    </row>
    <row r="342" spans="1:6" hidden="1" x14ac:dyDescent="0.25">
      <c r="A342" s="16">
        <v>42772</v>
      </c>
      <c r="B342" s="13" t="s">
        <v>444</v>
      </c>
      <c r="C342" s="13">
        <v>44</v>
      </c>
      <c r="D342" s="13">
        <v>275.77999999999997</v>
      </c>
      <c r="E342" s="13" t="s">
        <v>71</v>
      </c>
      <c r="F342" s="13">
        <v>341</v>
      </c>
    </row>
    <row r="343" spans="1:6" hidden="1" x14ac:dyDescent="0.25">
      <c r="A343" s="16">
        <v>42772</v>
      </c>
      <c r="B343" s="13" t="s">
        <v>445</v>
      </c>
      <c r="C343" s="13">
        <v>43</v>
      </c>
      <c r="D343" s="13">
        <v>314.91000000000003</v>
      </c>
      <c r="E343" s="13" t="s">
        <v>71</v>
      </c>
      <c r="F343" s="13">
        <v>342</v>
      </c>
    </row>
    <row r="344" spans="1:6" x14ac:dyDescent="0.25">
      <c r="A344" s="16">
        <v>42772</v>
      </c>
      <c r="B344" s="13" t="s">
        <v>446</v>
      </c>
      <c r="C344" s="13">
        <v>103</v>
      </c>
      <c r="D344" s="13">
        <v>294.55</v>
      </c>
      <c r="E344" s="13" t="s">
        <v>71</v>
      </c>
      <c r="F344" s="13">
        <v>343</v>
      </c>
    </row>
    <row r="345" spans="1:6" hidden="1" x14ac:dyDescent="0.25">
      <c r="A345" s="16">
        <v>42772</v>
      </c>
      <c r="B345" s="13" t="s">
        <v>447</v>
      </c>
      <c r="C345" s="13">
        <v>101</v>
      </c>
      <c r="D345" s="13">
        <v>341.46</v>
      </c>
      <c r="E345" s="13" t="s">
        <v>71</v>
      </c>
      <c r="F345" s="13">
        <v>344</v>
      </c>
    </row>
    <row r="346" spans="1:6" hidden="1" x14ac:dyDescent="0.25">
      <c r="A346" s="16">
        <v>42772</v>
      </c>
      <c r="B346" s="13" t="s">
        <v>449</v>
      </c>
      <c r="C346" s="13">
        <v>201</v>
      </c>
      <c r="D346" s="13">
        <v>137.83000000000001</v>
      </c>
      <c r="E346" s="13" t="s">
        <v>71</v>
      </c>
      <c r="F346" s="13">
        <v>345</v>
      </c>
    </row>
    <row r="347" spans="1:6" hidden="1" x14ac:dyDescent="0.25">
      <c r="A347" s="16">
        <v>42772</v>
      </c>
      <c r="B347" s="13" t="s">
        <v>450</v>
      </c>
      <c r="C347" s="13">
        <v>37</v>
      </c>
      <c r="D347" s="13">
        <v>549.33000000000004</v>
      </c>
      <c r="E347" s="13" t="s">
        <v>71</v>
      </c>
      <c r="F347" s="13">
        <v>346</v>
      </c>
    </row>
    <row r="348" spans="1:6" hidden="1" x14ac:dyDescent="0.25">
      <c r="A348" s="16">
        <v>42773</v>
      </c>
      <c r="B348" s="13" t="s">
        <v>452</v>
      </c>
      <c r="C348" s="13">
        <v>101</v>
      </c>
      <c r="D348" s="13">
        <v>584.45000000000005</v>
      </c>
      <c r="E348" s="13" t="s">
        <v>71</v>
      </c>
      <c r="F348" s="13">
        <v>347</v>
      </c>
    </row>
    <row r="349" spans="1:6" hidden="1" x14ac:dyDescent="0.25">
      <c r="A349" s="16">
        <v>42773</v>
      </c>
      <c r="B349" s="13" t="s">
        <v>453</v>
      </c>
      <c r="C349" s="13">
        <v>43</v>
      </c>
      <c r="D349" s="13">
        <v>127.87</v>
      </c>
      <c r="E349" s="13" t="s">
        <v>71</v>
      </c>
      <c r="F349" s="13">
        <v>348</v>
      </c>
    </row>
    <row r="350" spans="1:6" x14ac:dyDescent="0.25">
      <c r="A350" s="16">
        <v>42773</v>
      </c>
      <c r="B350" s="13" t="s">
        <v>454</v>
      </c>
      <c r="C350" s="13">
        <v>103</v>
      </c>
      <c r="D350" s="13">
        <v>607.14</v>
      </c>
      <c r="E350" s="13" t="s">
        <v>71</v>
      </c>
      <c r="F350" s="13">
        <v>349</v>
      </c>
    </row>
    <row r="351" spans="1:6" hidden="1" x14ac:dyDescent="0.25">
      <c r="A351" s="16">
        <v>42773</v>
      </c>
      <c r="B351" s="13" t="s">
        <v>455</v>
      </c>
      <c r="C351" s="13">
        <v>41</v>
      </c>
      <c r="D351" s="13">
        <v>363.46</v>
      </c>
      <c r="E351" s="13" t="s">
        <v>71</v>
      </c>
      <c r="F351" s="13">
        <v>350</v>
      </c>
    </row>
    <row r="352" spans="1:6" hidden="1" x14ac:dyDescent="0.25">
      <c r="A352" s="16">
        <v>42773</v>
      </c>
      <c r="B352" s="13" t="s">
        <v>456</v>
      </c>
      <c r="C352" s="13">
        <v>38</v>
      </c>
      <c r="D352" s="13">
        <v>364.48</v>
      </c>
      <c r="E352" s="13" t="s">
        <v>71</v>
      </c>
      <c r="F352" s="13">
        <v>351</v>
      </c>
    </row>
    <row r="353" spans="1:6" hidden="1" x14ac:dyDescent="0.25">
      <c r="A353" s="16">
        <v>42773</v>
      </c>
      <c r="B353" s="13" t="s">
        <v>457</v>
      </c>
      <c r="C353" s="13">
        <v>35</v>
      </c>
      <c r="D353" s="13">
        <v>1039.17</v>
      </c>
      <c r="E353" s="13" t="s">
        <v>71</v>
      </c>
      <c r="F353" s="13">
        <v>352</v>
      </c>
    </row>
    <row r="354" spans="1:6" hidden="1" x14ac:dyDescent="0.25">
      <c r="A354" s="16">
        <v>42773</v>
      </c>
      <c r="B354" s="13" t="s">
        <v>458</v>
      </c>
      <c r="C354" s="13">
        <v>45</v>
      </c>
      <c r="D354" s="13">
        <v>269.77999999999997</v>
      </c>
      <c r="E354" s="13" t="s">
        <v>71</v>
      </c>
      <c r="F354" s="13">
        <v>353</v>
      </c>
    </row>
    <row r="355" spans="1:6" hidden="1" x14ac:dyDescent="0.25">
      <c r="A355" s="16">
        <v>42773</v>
      </c>
      <c r="B355" s="13" t="s">
        <v>459</v>
      </c>
      <c r="C355" s="13">
        <v>44</v>
      </c>
      <c r="D355" s="13">
        <v>425.38</v>
      </c>
      <c r="E355" s="13" t="s">
        <v>71</v>
      </c>
      <c r="F355" s="13">
        <v>354</v>
      </c>
    </row>
    <row r="356" spans="1:6" hidden="1" x14ac:dyDescent="0.25">
      <c r="A356" s="16">
        <v>42773</v>
      </c>
      <c r="B356" s="13" t="s">
        <v>462</v>
      </c>
      <c r="C356" s="13">
        <v>37</v>
      </c>
      <c r="D356" s="13">
        <v>499.39</v>
      </c>
      <c r="E356" s="13" t="s">
        <v>71</v>
      </c>
      <c r="F356" s="13">
        <v>355</v>
      </c>
    </row>
    <row r="357" spans="1:6" hidden="1" x14ac:dyDescent="0.25">
      <c r="A357" s="16">
        <v>42773</v>
      </c>
      <c r="B357" s="13" t="s">
        <v>463</v>
      </c>
      <c r="C357" s="13">
        <v>201</v>
      </c>
      <c r="D357" s="13">
        <v>222.91</v>
      </c>
      <c r="E357" s="13" t="s">
        <v>71</v>
      </c>
      <c r="F357" s="13">
        <v>356</v>
      </c>
    </row>
    <row r="358" spans="1:6" x14ac:dyDescent="0.25">
      <c r="A358" s="16">
        <v>42774</v>
      </c>
      <c r="B358" s="13" t="s">
        <v>464</v>
      </c>
      <c r="C358" s="13">
        <v>103</v>
      </c>
      <c r="D358" s="13">
        <v>453.15</v>
      </c>
      <c r="E358" s="13" t="s">
        <v>71</v>
      </c>
      <c r="F358" s="13">
        <v>357</v>
      </c>
    </row>
    <row r="359" spans="1:6" hidden="1" x14ac:dyDescent="0.25">
      <c r="A359" s="16">
        <v>42774</v>
      </c>
      <c r="B359" s="13" t="s">
        <v>465</v>
      </c>
      <c r="C359" s="13">
        <v>43</v>
      </c>
      <c r="D359" s="13">
        <v>299.81</v>
      </c>
      <c r="E359" s="13" t="s">
        <v>71</v>
      </c>
      <c r="F359" s="13">
        <v>358</v>
      </c>
    </row>
    <row r="360" spans="1:6" hidden="1" x14ac:dyDescent="0.25">
      <c r="A360" s="16">
        <v>42774</v>
      </c>
      <c r="B360" s="13" t="s">
        <v>466</v>
      </c>
      <c r="C360" s="13">
        <v>41</v>
      </c>
      <c r="D360" s="13">
        <v>549.42999999999995</v>
      </c>
      <c r="E360" s="13" t="s">
        <v>71</v>
      </c>
      <c r="F360" s="13">
        <v>359</v>
      </c>
    </row>
    <row r="361" spans="1:6" hidden="1" x14ac:dyDescent="0.25">
      <c r="A361" s="16">
        <v>42774</v>
      </c>
      <c r="B361" s="13" t="s">
        <v>467</v>
      </c>
      <c r="C361" s="13">
        <v>44</v>
      </c>
      <c r="D361" s="13">
        <v>549.70000000000005</v>
      </c>
      <c r="E361" s="13" t="s">
        <v>71</v>
      </c>
      <c r="F361" s="13">
        <v>360</v>
      </c>
    </row>
    <row r="362" spans="1:6" hidden="1" x14ac:dyDescent="0.25">
      <c r="A362" s="16">
        <v>42774</v>
      </c>
      <c r="B362" s="13" t="s">
        <v>468</v>
      </c>
      <c r="C362" s="13">
        <v>45</v>
      </c>
      <c r="D362" s="13">
        <v>154.85</v>
      </c>
      <c r="E362" s="13" t="s">
        <v>71</v>
      </c>
      <c r="F362" s="13">
        <v>361</v>
      </c>
    </row>
    <row r="363" spans="1:6" hidden="1" x14ac:dyDescent="0.25">
      <c r="A363" s="16">
        <v>42774</v>
      </c>
      <c r="B363" s="13" t="s">
        <v>469</v>
      </c>
      <c r="C363" s="13">
        <v>101</v>
      </c>
      <c r="D363" s="13">
        <v>329.72</v>
      </c>
      <c r="E363" s="13" t="s">
        <v>71</v>
      </c>
      <c r="F363" s="13">
        <v>362</v>
      </c>
    </row>
    <row r="364" spans="1:6" hidden="1" x14ac:dyDescent="0.25">
      <c r="A364" s="16">
        <v>42774</v>
      </c>
      <c r="B364" s="13" t="s">
        <v>470</v>
      </c>
      <c r="C364" s="13">
        <v>35</v>
      </c>
      <c r="D364" s="13">
        <v>594.46</v>
      </c>
      <c r="E364" s="13" t="s">
        <v>71</v>
      </c>
      <c r="F364" s="13">
        <v>363</v>
      </c>
    </row>
    <row r="365" spans="1:6" hidden="1" x14ac:dyDescent="0.25">
      <c r="A365" s="16">
        <v>42774</v>
      </c>
      <c r="B365" s="13" t="s">
        <v>471</v>
      </c>
      <c r="C365" s="13">
        <v>38</v>
      </c>
      <c r="D365" s="13">
        <v>504.68</v>
      </c>
      <c r="E365" s="13" t="s">
        <v>71</v>
      </c>
      <c r="F365" s="13">
        <v>364</v>
      </c>
    </row>
    <row r="366" spans="1:6" hidden="1" x14ac:dyDescent="0.25">
      <c r="A366" s="16">
        <v>42774</v>
      </c>
      <c r="B366" s="13" t="s">
        <v>473</v>
      </c>
      <c r="C366" s="13">
        <v>37</v>
      </c>
      <c r="D366" s="13">
        <v>399.48</v>
      </c>
      <c r="E366" s="13" t="s">
        <v>71</v>
      </c>
      <c r="F366" s="13">
        <v>365</v>
      </c>
    </row>
    <row r="367" spans="1:6" hidden="1" x14ac:dyDescent="0.25">
      <c r="A367" s="16">
        <v>42774</v>
      </c>
      <c r="B367" s="13" t="s">
        <v>474</v>
      </c>
      <c r="C367" s="13">
        <v>201</v>
      </c>
      <c r="D367" s="13">
        <v>489.7</v>
      </c>
      <c r="E367" s="13" t="s">
        <v>71</v>
      </c>
      <c r="F367" s="13">
        <v>366</v>
      </c>
    </row>
    <row r="368" spans="1:6" hidden="1" x14ac:dyDescent="0.25">
      <c r="A368" s="16">
        <v>42775</v>
      </c>
      <c r="B368" s="13" t="s">
        <v>475</v>
      </c>
      <c r="C368" s="13">
        <v>101</v>
      </c>
      <c r="D368" s="13">
        <v>669.24</v>
      </c>
      <c r="E368" s="13" t="s">
        <v>71</v>
      </c>
      <c r="F368" s="13">
        <v>367</v>
      </c>
    </row>
    <row r="369" spans="1:6" hidden="1" x14ac:dyDescent="0.25">
      <c r="A369" s="16">
        <v>42775</v>
      </c>
      <c r="B369" s="13" t="s">
        <v>476</v>
      </c>
      <c r="C369" s="13">
        <v>43</v>
      </c>
      <c r="D369" s="13">
        <v>723.46</v>
      </c>
      <c r="E369" s="13" t="s">
        <v>71</v>
      </c>
      <c r="F369" s="13">
        <v>368</v>
      </c>
    </row>
    <row r="370" spans="1:6" hidden="1" x14ac:dyDescent="0.25">
      <c r="A370" s="16">
        <v>42775</v>
      </c>
      <c r="B370" s="13" t="s">
        <v>477</v>
      </c>
      <c r="C370" s="13">
        <v>41</v>
      </c>
      <c r="D370" s="13">
        <v>1123.1300000000001</v>
      </c>
      <c r="E370" s="13" t="s">
        <v>71</v>
      </c>
      <c r="F370" s="13">
        <v>369</v>
      </c>
    </row>
    <row r="371" spans="1:6" hidden="1" x14ac:dyDescent="0.25">
      <c r="A371" s="16">
        <v>42775</v>
      </c>
      <c r="B371" s="13" t="s">
        <v>478</v>
      </c>
      <c r="C371" s="13">
        <v>38</v>
      </c>
      <c r="D371" s="13">
        <v>1693.78</v>
      </c>
      <c r="E371" s="13" t="s">
        <v>71</v>
      </c>
      <c r="F371" s="13">
        <v>370</v>
      </c>
    </row>
    <row r="372" spans="1:6" x14ac:dyDescent="0.25">
      <c r="A372" s="16">
        <v>42775</v>
      </c>
      <c r="B372" s="13" t="s">
        <v>479</v>
      </c>
      <c r="C372" s="13">
        <v>103</v>
      </c>
      <c r="D372" s="13">
        <v>961.7</v>
      </c>
      <c r="E372" s="13" t="s">
        <v>71</v>
      </c>
      <c r="F372" s="13">
        <v>371</v>
      </c>
    </row>
    <row r="373" spans="1:6" hidden="1" x14ac:dyDescent="0.25">
      <c r="A373" s="16">
        <v>42775</v>
      </c>
      <c r="B373" s="13" t="s">
        <v>480</v>
      </c>
      <c r="C373" s="13">
        <v>35</v>
      </c>
      <c r="D373" s="13">
        <v>1059.04</v>
      </c>
      <c r="E373" s="13" t="s">
        <v>71</v>
      </c>
      <c r="F373" s="13">
        <v>372</v>
      </c>
    </row>
    <row r="374" spans="1:6" hidden="1" x14ac:dyDescent="0.25">
      <c r="A374" s="16">
        <v>42775</v>
      </c>
      <c r="B374" s="13" t="s">
        <v>481</v>
      </c>
      <c r="C374" s="13">
        <v>45</v>
      </c>
      <c r="D374" s="13">
        <v>429.68</v>
      </c>
      <c r="E374" s="13" t="s">
        <v>71</v>
      </c>
      <c r="F374" s="13">
        <v>373</v>
      </c>
    </row>
    <row r="375" spans="1:6" hidden="1" x14ac:dyDescent="0.25">
      <c r="A375" s="16">
        <v>42775</v>
      </c>
      <c r="B375" s="13" t="s">
        <v>482</v>
      </c>
      <c r="C375" s="13">
        <v>44</v>
      </c>
      <c r="D375" s="13">
        <v>1213.97</v>
      </c>
      <c r="E375" s="13" t="s">
        <v>71</v>
      </c>
      <c r="F375" s="13">
        <v>374</v>
      </c>
    </row>
    <row r="376" spans="1:6" hidden="1" x14ac:dyDescent="0.25">
      <c r="A376" s="1">
        <v>42775</v>
      </c>
      <c r="B376" t="s">
        <v>483</v>
      </c>
      <c r="C376">
        <v>21479800</v>
      </c>
      <c r="D376">
        <v>918.5</v>
      </c>
      <c r="F376">
        <v>375</v>
      </c>
    </row>
    <row r="377" spans="1:6" hidden="1" x14ac:dyDescent="0.25">
      <c r="A377" s="16">
        <v>42775</v>
      </c>
      <c r="B377" s="13" t="s">
        <v>484</v>
      </c>
      <c r="C377" s="13">
        <v>201</v>
      </c>
      <c r="D377" s="13">
        <v>472.6</v>
      </c>
      <c r="E377" s="13" t="s">
        <v>71</v>
      </c>
      <c r="F377" s="13">
        <v>376</v>
      </c>
    </row>
    <row r="378" spans="1:6" hidden="1" x14ac:dyDescent="0.25">
      <c r="A378" s="16">
        <v>42775</v>
      </c>
      <c r="B378" s="13" t="s">
        <v>485</v>
      </c>
      <c r="C378" s="13">
        <v>37</v>
      </c>
      <c r="D378" s="13">
        <v>1156.4100000000001</v>
      </c>
      <c r="E378" s="13" t="s">
        <v>71</v>
      </c>
      <c r="F378" s="13">
        <v>377</v>
      </c>
    </row>
    <row r="379" spans="1:6" hidden="1" x14ac:dyDescent="0.25">
      <c r="A379" s="16">
        <v>42778</v>
      </c>
      <c r="B379" s="13" t="s">
        <v>486</v>
      </c>
      <c r="C379" s="13">
        <v>38</v>
      </c>
      <c r="D379" s="13">
        <v>619.39</v>
      </c>
      <c r="E379" s="13" t="s">
        <v>71</v>
      </c>
      <c r="F379" s="13">
        <v>378</v>
      </c>
    </row>
    <row r="380" spans="1:6" hidden="1" x14ac:dyDescent="0.25">
      <c r="A380" s="16">
        <v>42778</v>
      </c>
      <c r="B380" s="13" t="s">
        <v>487</v>
      </c>
      <c r="C380" s="13">
        <v>43</v>
      </c>
      <c r="D380" s="13">
        <v>314.7</v>
      </c>
      <c r="E380" s="13" t="s">
        <v>71</v>
      </c>
      <c r="F380" s="13">
        <v>379</v>
      </c>
    </row>
    <row r="381" spans="1:6" hidden="1" x14ac:dyDescent="0.25">
      <c r="A381" s="16">
        <v>42778</v>
      </c>
      <c r="B381" s="13" t="s">
        <v>488</v>
      </c>
      <c r="C381" s="13">
        <v>101</v>
      </c>
      <c r="D381" s="13">
        <v>174.86</v>
      </c>
      <c r="E381" s="13" t="s">
        <v>71</v>
      </c>
      <c r="F381" s="13">
        <v>380</v>
      </c>
    </row>
    <row r="382" spans="1:6" hidden="1" x14ac:dyDescent="0.25">
      <c r="A382" s="16">
        <v>42778</v>
      </c>
      <c r="B382" s="13" t="s">
        <v>489</v>
      </c>
      <c r="C382" s="13">
        <v>44</v>
      </c>
      <c r="D382" s="13">
        <v>444.52</v>
      </c>
      <c r="E382" s="13" t="s">
        <v>71</v>
      </c>
      <c r="F382" s="13">
        <v>381</v>
      </c>
    </row>
    <row r="383" spans="1:6" hidden="1" x14ac:dyDescent="0.25">
      <c r="A383" s="16">
        <v>42778</v>
      </c>
      <c r="B383" s="13" t="s">
        <v>490</v>
      </c>
      <c r="C383" s="13">
        <v>45</v>
      </c>
      <c r="D383" s="13">
        <v>264.85000000000002</v>
      </c>
      <c r="E383" s="13" t="s">
        <v>71</v>
      </c>
      <c r="F383" s="13">
        <v>382</v>
      </c>
    </row>
    <row r="384" spans="1:6" x14ac:dyDescent="0.25">
      <c r="A384" s="16">
        <v>42778</v>
      </c>
      <c r="B384" s="13" t="s">
        <v>491</v>
      </c>
      <c r="C384" s="13">
        <v>103</v>
      </c>
      <c r="D384" s="13">
        <v>682.34</v>
      </c>
      <c r="E384" s="13" t="s">
        <v>71</v>
      </c>
      <c r="F384" s="13">
        <v>383</v>
      </c>
    </row>
    <row r="385" spans="1:6" hidden="1" x14ac:dyDescent="0.25">
      <c r="A385" s="16">
        <v>42778</v>
      </c>
      <c r="B385" s="13" t="s">
        <v>492</v>
      </c>
      <c r="C385" s="13">
        <v>41</v>
      </c>
      <c r="D385" s="13">
        <v>324.74</v>
      </c>
      <c r="E385" s="13" t="s">
        <v>71</v>
      </c>
      <c r="F385" s="13">
        <v>384</v>
      </c>
    </row>
    <row r="386" spans="1:6" hidden="1" x14ac:dyDescent="0.25">
      <c r="A386" s="16">
        <v>42778</v>
      </c>
      <c r="B386" s="13" t="s">
        <v>493</v>
      </c>
      <c r="C386" s="13">
        <v>35</v>
      </c>
      <c r="D386" s="13">
        <v>859.56</v>
      </c>
      <c r="E386" s="13" t="s">
        <v>71</v>
      </c>
      <c r="F386" s="13">
        <v>385</v>
      </c>
    </row>
    <row r="387" spans="1:6" hidden="1" x14ac:dyDescent="0.25">
      <c r="A387" s="16">
        <v>42777</v>
      </c>
      <c r="B387" s="13" t="s">
        <v>494</v>
      </c>
      <c r="C387" s="13">
        <v>43</v>
      </c>
      <c r="D387" s="13">
        <v>92.93</v>
      </c>
      <c r="E387" s="13" t="s">
        <v>71</v>
      </c>
      <c r="F387" s="13">
        <v>386</v>
      </c>
    </row>
    <row r="388" spans="1:6" hidden="1" x14ac:dyDescent="0.25">
      <c r="A388" s="16">
        <v>42777</v>
      </c>
      <c r="B388" s="13" t="s">
        <v>495</v>
      </c>
      <c r="C388" s="13">
        <v>101</v>
      </c>
      <c r="D388" s="13">
        <v>229.66</v>
      </c>
      <c r="E388" s="13" t="s">
        <v>71</v>
      </c>
      <c r="F388" s="13">
        <v>387</v>
      </c>
    </row>
    <row r="389" spans="1:6" hidden="1" x14ac:dyDescent="0.25">
      <c r="A389" s="16">
        <v>42777</v>
      </c>
      <c r="B389" s="13" t="s">
        <v>496</v>
      </c>
      <c r="C389" s="13">
        <v>35</v>
      </c>
      <c r="D389" s="13">
        <v>279.75</v>
      </c>
      <c r="E389" s="13" t="s">
        <v>71</v>
      </c>
      <c r="F389" s="13">
        <v>388</v>
      </c>
    </row>
    <row r="390" spans="1:6" hidden="1" x14ac:dyDescent="0.25">
      <c r="A390" s="16">
        <v>42777</v>
      </c>
      <c r="B390" s="13" t="s">
        <v>497</v>
      </c>
      <c r="C390" s="13">
        <v>44</v>
      </c>
      <c r="D390" s="13">
        <v>519.51</v>
      </c>
      <c r="E390" s="13" t="s">
        <v>71</v>
      </c>
      <c r="F390" s="13">
        <v>389</v>
      </c>
    </row>
    <row r="391" spans="1:6" x14ac:dyDescent="0.25">
      <c r="A391" s="16">
        <v>42777</v>
      </c>
      <c r="B391" s="13" t="s">
        <v>498</v>
      </c>
      <c r="C391" s="13">
        <v>103</v>
      </c>
      <c r="D391" s="13">
        <v>269.56</v>
      </c>
      <c r="E391" s="13" t="s">
        <v>71</v>
      </c>
      <c r="F391" s="13">
        <v>390</v>
      </c>
    </row>
    <row r="392" spans="1:6" hidden="1" x14ac:dyDescent="0.25">
      <c r="A392" s="16">
        <v>42777</v>
      </c>
      <c r="B392" s="13" t="s">
        <v>499</v>
      </c>
      <c r="C392" s="13">
        <v>38</v>
      </c>
      <c r="D392" s="13">
        <v>299.87</v>
      </c>
      <c r="E392" s="13" t="s">
        <v>71</v>
      </c>
      <c r="F392" s="13">
        <v>391</v>
      </c>
    </row>
    <row r="393" spans="1:6" hidden="1" x14ac:dyDescent="0.25">
      <c r="A393" s="16">
        <v>42777</v>
      </c>
      <c r="B393" s="13" t="s">
        <v>500</v>
      </c>
      <c r="C393" s="13">
        <v>45</v>
      </c>
      <c r="D393" s="13">
        <v>314.76</v>
      </c>
      <c r="E393" s="13" t="s">
        <v>71</v>
      </c>
      <c r="F393" s="13">
        <v>392</v>
      </c>
    </row>
    <row r="394" spans="1:6" hidden="1" x14ac:dyDescent="0.25">
      <c r="A394" s="16">
        <v>42777</v>
      </c>
      <c r="B394" s="13" t="s">
        <v>501</v>
      </c>
      <c r="C394" s="13">
        <v>41</v>
      </c>
      <c r="D394" s="13">
        <v>554.08000000000004</v>
      </c>
      <c r="E394" s="13" t="s">
        <v>71</v>
      </c>
      <c r="F394" s="13">
        <v>393</v>
      </c>
    </row>
    <row r="395" spans="1:6" hidden="1" x14ac:dyDescent="0.25">
      <c r="A395" s="16">
        <v>42776</v>
      </c>
      <c r="B395" s="13" t="s">
        <v>502</v>
      </c>
      <c r="C395" s="13">
        <v>43</v>
      </c>
      <c r="D395" s="13">
        <v>147.4</v>
      </c>
      <c r="E395" s="13" t="s">
        <v>71</v>
      </c>
      <c r="F395" s="13">
        <v>394</v>
      </c>
    </row>
    <row r="396" spans="1:6" hidden="1" x14ac:dyDescent="0.25">
      <c r="A396" s="16">
        <v>42776</v>
      </c>
      <c r="B396" s="13" t="s">
        <v>503</v>
      </c>
      <c r="C396" s="13">
        <v>101</v>
      </c>
      <c r="D396" s="13">
        <v>664.27</v>
      </c>
      <c r="E396" s="13" t="s">
        <v>71</v>
      </c>
      <c r="F396" s="13">
        <v>395</v>
      </c>
    </row>
    <row r="397" spans="1:6" hidden="1" x14ac:dyDescent="0.25">
      <c r="A397" s="16">
        <v>42776</v>
      </c>
      <c r="B397" s="13" t="s">
        <v>504</v>
      </c>
      <c r="C397" s="13">
        <v>45</v>
      </c>
      <c r="D397" s="13">
        <v>714.43</v>
      </c>
      <c r="E397" s="13" t="s">
        <v>71</v>
      </c>
      <c r="F397" s="13">
        <v>396</v>
      </c>
    </row>
    <row r="398" spans="1:6" hidden="1" x14ac:dyDescent="0.25">
      <c r="A398" s="16">
        <v>42776</v>
      </c>
      <c r="B398" s="13" t="s">
        <v>505</v>
      </c>
      <c r="C398" s="13">
        <v>41</v>
      </c>
      <c r="D398" s="13">
        <v>424.69</v>
      </c>
      <c r="E398" s="13" t="s">
        <v>71</v>
      </c>
      <c r="F398" s="13">
        <v>397</v>
      </c>
    </row>
    <row r="399" spans="1:6" hidden="1" x14ac:dyDescent="0.25">
      <c r="A399" s="16">
        <v>42776</v>
      </c>
      <c r="B399" s="13" t="s">
        <v>506</v>
      </c>
      <c r="C399" s="13">
        <v>35</v>
      </c>
      <c r="D399" s="13">
        <v>639.48</v>
      </c>
      <c r="E399" s="13" t="s">
        <v>71</v>
      </c>
      <c r="F399" s="13">
        <v>398</v>
      </c>
    </row>
    <row r="400" spans="1:6" hidden="1" x14ac:dyDescent="0.25">
      <c r="A400" s="16">
        <v>42776</v>
      </c>
      <c r="B400" s="13" t="s">
        <v>507</v>
      </c>
      <c r="C400" s="13">
        <v>38</v>
      </c>
      <c r="D400" s="13">
        <v>574.65</v>
      </c>
      <c r="E400" s="13" t="s">
        <v>71</v>
      </c>
      <c r="F400" s="13">
        <v>399</v>
      </c>
    </row>
    <row r="401" spans="1:6" hidden="1" x14ac:dyDescent="0.25">
      <c r="A401" s="16">
        <v>42776</v>
      </c>
      <c r="B401" s="13" t="s">
        <v>508</v>
      </c>
      <c r="C401" s="13">
        <v>44</v>
      </c>
      <c r="D401" s="13">
        <v>524.54</v>
      </c>
      <c r="E401" s="13" t="s">
        <v>71</v>
      </c>
      <c r="F401" s="13">
        <v>400</v>
      </c>
    </row>
    <row r="402" spans="1:6" x14ac:dyDescent="0.25">
      <c r="A402" s="16">
        <v>42776</v>
      </c>
      <c r="B402" s="13" t="s">
        <v>509</v>
      </c>
      <c r="C402" s="13">
        <v>103</v>
      </c>
      <c r="D402" s="13">
        <v>604.91</v>
      </c>
      <c r="E402" s="13" t="s">
        <v>71</v>
      </c>
      <c r="F402" s="13">
        <v>401</v>
      </c>
    </row>
    <row r="403" spans="1:6" hidden="1" x14ac:dyDescent="0.25">
      <c r="A403" s="16">
        <v>42778</v>
      </c>
      <c r="B403" s="13" t="s">
        <v>511</v>
      </c>
      <c r="C403" s="13">
        <v>201</v>
      </c>
      <c r="D403" s="13">
        <v>339.84</v>
      </c>
      <c r="E403" s="13" t="s">
        <v>71</v>
      </c>
      <c r="F403" s="13">
        <v>402</v>
      </c>
    </row>
    <row r="404" spans="1:6" hidden="1" x14ac:dyDescent="0.25">
      <c r="A404" s="16">
        <v>42778</v>
      </c>
      <c r="B404" s="13" t="s">
        <v>512</v>
      </c>
      <c r="C404" s="13">
        <v>37</v>
      </c>
      <c r="D404" s="13">
        <v>59.9</v>
      </c>
      <c r="E404" s="13" t="s">
        <v>71</v>
      </c>
      <c r="F404" s="13"/>
    </row>
    <row r="405" spans="1:6" hidden="1" x14ac:dyDescent="0.25">
      <c r="A405" s="16">
        <v>42777</v>
      </c>
      <c r="B405" s="13" t="s">
        <v>513</v>
      </c>
      <c r="C405" s="13">
        <v>201</v>
      </c>
      <c r="D405" s="13">
        <v>144.97999999999999</v>
      </c>
      <c r="E405" s="13" t="s">
        <v>71</v>
      </c>
      <c r="F405" s="13">
        <v>404</v>
      </c>
    </row>
    <row r="406" spans="1:6" hidden="1" x14ac:dyDescent="0.25">
      <c r="A406" s="16">
        <v>42777</v>
      </c>
      <c r="B406" s="13" t="s">
        <v>514</v>
      </c>
      <c r="C406" s="13">
        <v>37</v>
      </c>
      <c r="D406" s="13">
        <v>409.72</v>
      </c>
      <c r="E406" s="13" t="s">
        <v>71</v>
      </c>
      <c r="F406" s="13"/>
    </row>
    <row r="407" spans="1:6" hidden="1" x14ac:dyDescent="0.25">
      <c r="A407" s="16">
        <v>42776</v>
      </c>
      <c r="B407" s="13" t="s">
        <v>515</v>
      </c>
      <c r="C407" s="13">
        <v>201</v>
      </c>
      <c r="D407" s="13">
        <v>524.63</v>
      </c>
      <c r="E407" s="13" t="s">
        <v>71</v>
      </c>
      <c r="F407" s="13">
        <v>406</v>
      </c>
    </row>
    <row r="408" spans="1:6" hidden="1" x14ac:dyDescent="0.25">
      <c r="A408" s="16">
        <v>42776</v>
      </c>
      <c r="B408" s="13" t="s">
        <v>516</v>
      </c>
      <c r="C408" s="13">
        <v>37</v>
      </c>
      <c r="D408" s="13">
        <v>639.35</v>
      </c>
      <c r="E408" s="13" t="s">
        <v>71</v>
      </c>
      <c r="F408" s="13">
        <v>407</v>
      </c>
    </row>
    <row r="409" spans="1:6" hidden="1" x14ac:dyDescent="0.25">
      <c r="A409" s="16">
        <v>42779</v>
      </c>
      <c r="B409" s="13" t="s">
        <v>517</v>
      </c>
      <c r="C409" s="13">
        <v>101</v>
      </c>
      <c r="D409" s="13">
        <v>279.74</v>
      </c>
      <c r="E409" s="13" t="s">
        <v>71</v>
      </c>
      <c r="F409" s="13">
        <v>408</v>
      </c>
    </row>
    <row r="410" spans="1:6" hidden="1" x14ac:dyDescent="0.25">
      <c r="A410" s="16">
        <v>42779</v>
      </c>
      <c r="B410" s="13" t="s">
        <v>518</v>
      </c>
      <c r="C410" s="13">
        <v>43</v>
      </c>
      <c r="D410" s="13">
        <v>289.87</v>
      </c>
      <c r="E410" s="13" t="s">
        <v>71</v>
      </c>
      <c r="F410" s="13">
        <v>409</v>
      </c>
    </row>
    <row r="411" spans="1:6" hidden="1" x14ac:dyDescent="0.25">
      <c r="A411" s="16">
        <v>42779</v>
      </c>
      <c r="B411" s="13" t="s">
        <v>519</v>
      </c>
      <c r="C411" s="13">
        <v>41</v>
      </c>
      <c r="D411" s="13">
        <v>247.81</v>
      </c>
      <c r="E411" s="13" t="s">
        <v>71</v>
      </c>
      <c r="F411" s="13">
        <v>410</v>
      </c>
    </row>
    <row r="412" spans="1:6" x14ac:dyDescent="0.25">
      <c r="A412" s="16">
        <v>42779</v>
      </c>
      <c r="B412" s="13" t="s">
        <v>520</v>
      </c>
      <c r="C412" s="13">
        <v>103</v>
      </c>
      <c r="D412" s="13">
        <v>367.74</v>
      </c>
      <c r="E412" s="13" t="s">
        <v>71</v>
      </c>
      <c r="F412" s="13">
        <v>411</v>
      </c>
    </row>
    <row r="413" spans="1:6" hidden="1" x14ac:dyDescent="0.25">
      <c r="A413" s="16">
        <v>42779</v>
      </c>
      <c r="B413" s="13" t="s">
        <v>521</v>
      </c>
      <c r="C413" s="13">
        <v>44</v>
      </c>
      <c r="D413" s="13">
        <v>552.07000000000005</v>
      </c>
      <c r="E413" s="13" t="s">
        <v>71</v>
      </c>
      <c r="F413" s="13">
        <v>412</v>
      </c>
    </row>
    <row r="414" spans="1:6" hidden="1" x14ac:dyDescent="0.25">
      <c r="A414" s="16">
        <v>42779</v>
      </c>
      <c r="B414" s="13" t="s">
        <v>522</v>
      </c>
      <c r="C414" s="13">
        <v>45</v>
      </c>
      <c r="D414" s="13">
        <v>159.88</v>
      </c>
      <c r="E414" s="13" t="s">
        <v>71</v>
      </c>
      <c r="F414" s="13">
        <v>413</v>
      </c>
    </row>
    <row r="415" spans="1:6" hidden="1" x14ac:dyDescent="0.25">
      <c r="A415" s="16">
        <v>42779</v>
      </c>
      <c r="B415" s="13" t="s">
        <v>523</v>
      </c>
      <c r="C415" s="13">
        <v>38</v>
      </c>
      <c r="D415" s="13">
        <v>614.73</v>
      </c>
      <c r="E415" s="13" t="s">
        <v>71</v>
      </c>
      <c r="F415" s="13">
        <v>414</v>
      </c>
    </row>
    <row r="416" spans="1:6" hidden="1" x14ac:dyDescent="0.25">
      <c r="A416" s="16">
        <v>42779</v>
      </c>
      <c r="B416" s="13" t="s">
        <v>524</v>
      </c>
      <c r="C416" s="13">
        <v>35</v>
      </c>
      <c r="D416" s="13">
        <v>617.55999999999995</v>
      </c>
      <c r="E416" s="13" t="s">
        <v>71</v>
      </c>
      <c r="F416" s="13">
        <v>415</v>
      </c>
    </row>
    <row r="417" spans="1:6" hidden="1" x14ac:dyDescent="0.25">
      <c r="A417" s="16">
        <v>42779</v>
      </c>
      <c r="B417" s="13" t="s">
        <v>527</v>
      </c>
      <c r="C417" s="13">
        <v>201</v>
      </c>
      <c r="D417" s="13">
        <v>224.68</v>
      </c>
      <c r="E417" s="13" t="s">
        <v>71</v>
      </c>
      <c r="F417" s="13">
        <v>416</v>
      </c>
    </row>
    <row r="418" spans="1:6" hidden="1" x14ac:dyDescent="0.25">
      <c r="A418" s="16">
        <v>42779</v>
      </c>
      <c r="B418" s="13" t="s">
        <v>528</v>
      </c>
      <c r="C418" s="13">
        <v>37</v>
      </c>
      <c r="D418" s="13">
        <v>924.01</v>
      </c>
      <c r="E418" s="13" t="s">
        <v>71</v>
      </c>
      <c r="F418" s="13"/>
    </row>
    <row r="419" spans="1:6" hidden="1" x14ac:dyDescent="0.25">
      <c r="A419" s="16">
        <v>42779</v>
      </c>
      <c r="B419" s="13" t="s">
        <v>528</v>
      </c>
      <c r="C419" s="14">
        <v>37</v>
      </c>
      <c r="D419" s="14">
        <v>469.62</v>
      </c>
      <c r="E419" s="13" t="s">
        <v>71</v>
      </c>
      <c r="F419" s="13">
        <v>403</v>
      </c>
    </row>
    <row r="420" spans="1:6" hidden="1" x14ac:dyDescent="0.25">
      <c r="A420" s="16">
        <v>42779</v>
      </c>
      <c r="B420" s="13" t="s">
        <v>528</v>
      </c>
      <c r="C420" s="25">
        <v>37</v>
      </c>
      <c r="D420" s="14">
        <v>479.56</v>
      </c>
      <c r="E420" s="13" t="s">
        <v>71</v>
      </c>
      <c r="F420" s="13">
        <v>405</v>
      </c>
    </row>
    <row r="421" spans="1:6" hidden="1" x14ac:dyDescent="0.25">
      <c r="A421" s="16">
        <v>42779</v>
      </c>
      <c r="B421" s="13" t="s">
        <v>528</v>
      </c>
      <c r="C421" s="25">
        <v>37</v>
      </c>
      <c r="D421" s="14">
        <v>444.45</v>
      </c>
      <c r="E421" s="13" t="s">
        <v>71</v>
      </c>
      <c r="F421" s="13">
        <v>417</v>
      </c>
    </row>
    <row r="422" spans="1:6" hidden="1" x14ac:dyDescent="0.25">
      <c r="C422" s="8"/>
    </row>
    <row r="423" spans="1:6" hidden="1" x14ac:dyDescent="0.25">
      <c r="A423" s="16">
        <v>42780</v>
      </c>
      <c r="B423" s="13" t="s">
        <v>530</v>
      </c>
      <c r="C423" s="13">
        <v>41</v>
      </c>
      <c r="D423" s="13">
        <v>274.89</v>
      </c>
      <c r="E423" s="13" t="s">
        <v>71</v>
      </c>
      <c r="F423" s="13">
        <v>418</v>
      </c>
    </row>
    <row r="424" spans="1:6" hidden="1" x14ac:dyDescent="0.25">
      <c r="A424" s="16">
        <v>42780</v>
      </c>
      <c r="B424" s="13" t="s">
        <v>531</v>
      </c>
      <c r="C424" s="13">
        <v>45</v>
      </c>
      <c r="D424" s="13">
        <v>99.91</v>
      </c>
      <c r="E424" s="13" t="s">
        <v>71</v>
      </c>
      <c r="F424" s="13">
        <v>419</v>
      </c>
    </row>
    <row r="425" spans="1:6" hidden="1" x14ac:dyDescent="0.25">
      <c r="A425" s="16">
        <v>42780</v>
      </c>
      <c r="B425" s="13" t="s">
        <v>532</v>
      </c>
      <c r="C425" s="13">
        <v>101</v>
      </c>
      <c r="D425" s="13">
        <v>329.66</v>
      </c>
      <c r="E425" s="13" t="s">
        <v>71</v>
      </c>
      <c r="F425" s="13">
        <v>420</v>
      </c>
    </row>
    <row r="426" spans="1:6" hidden="1" x14ac:dyDescent="0.25">
      <c r="A426" s="16">
        <v>42780</v>
      </c>
      <c r="B426" s="13" t="s">
        <v>533</v>
      </c>
      <c r="C426" s="13">
        <v>38</v>
      </c>
      <c r="D426" s="13">
        <v>294.66000000000003</v>
      </c>
      <c r="E426" s="13" t="s">
        <v>71</v>
      </c>
      <c r="F426" s="13">
        <v>421</v>
      </c>
    </row>
    <row r="427" spans="1:6" x14ac:dyDescent="0.25">
      <c r="A427" s="16">
        <v>42780</v>
      </c>
      <c r="B427" s="13" t="s">
        <v>534</v>
      </c>
      <c r="C427" s="13">
        <v>103</v>
      </c>
      <c r="D427" s="13">
        <v>535.29999999999995</v>
      </c>
      <c r="E427" s="13" t="s">
        <v>71</v>
      </c>
      <c r="F427" s="13">
        <v>422</v>
      </c>
    </row>
    <row r="428" spans="1:6" hidden="1" x14ac:dyDescent="0.25">
      <c r="A428" s="16">
        <v>42780</v>
      </c>
      <c r="B428" s="13" t="s">
        <v>535</v>
      </c>
      <c r="C428" s="13">
        <v>43</v>
      </c>
      <c r="D428" s="13">
        <v>339.85</v>
      </c>
      <c r="E428" s="13" t="s">
        <v>71</v>
      </c>
      <c r="F428" s="13">
        <v>423</v>
      </c>
    </row>
    <row r="429" spans="1:6" hidden="1" x14ac:dyDescent="0.25">
      <c r="A429" s="16">
        <v>42780</v>
      </c>
      <c r="B429" s="13" t="s">
        <v>536</v>
      </c>
      <c r="C429" s="13">
        <v>35</v>
      </c>
      <c r="D429" s="13">
        <v>794.68</v>
      </c>
      <c r="E429" s="13" t="s">
        <v>71</v>
      </c>
      <c r="F429" s="13">
        <v>424</v>
      </c>
    </row>
    <row r="430" spans="1:6" hidden="1" x14ac:dyDescent="0.25">
      <c r="A430" s="16">
        <v>42780</v>
      </c>
      <c r="B430" s="13" t="s">
        <v>537</v>
      </c>
      <c r="C430" s="13">
        <v>44</v>
      </c>
      <c r="D430" s="13">
        <v>674.58</v>
      </c>
      <c r="E430" s="13" t="s">
        <v>71</v>
      </c>
      <c r="F430" s="13">
        <v>425</v>
      </c>
    </row>
    <row r="431" spans="1:6" hidden="1" x14ac:dyDescent="0.25">
      <c r="A431" s="16">
        <v>42780</v>
      </c>
      <c r="B431" s="13" t="s">
        <v>538</v>
      </c>
      <c r="C431" s="13">
        <v>201</v>
      </c>
      <c r="D431" s="13">
        <v>169.95</v>
      </c>
      <c r="E431" s="13" t="s">
        <v>71</v>
      </c>
      <c r="F431" s="13">
        <v>426</v>
      </c>
    </row>
    <row r="432" spans="1:6" hidden="1" x14ac:dyDescent="0.25">
      <c r="A432" s="16">
        <v>42780</v>
      </c>
      <c r="B432" s="13" t="s">
        <v>539</v>
      </c>
      <c r="C432" s="13">
        <v>37</v>
      </c>
      <c r="D432" s="13">
        <v>369.45</v>
      </c>
      <c r="E432" s="13" t="s">
        <v>71</v>
      </c>
      <c r="F432" s="13">
        <v>427</v>
      </c>
    </row>
    <row r="433" spans="1:6" hidden="1" x14ac:dyDescent="0.25">
      <c r="A433" s="16">
        <v>42781</v>
      </c>
      <c r="B433" s="13" t="s">
        <v>540</v>
      </c>
      <c r="C433" s="13">
        <v>101</v>
      </c>
      <c r="D433" s="13">
        <v>279.79000000000002</v>
      </c>
      <c r="E433" s="13" t="s">
        <v>71</v>
      </c>
      <c r="F433" s="13">
        <v>428</v>
      </c>
    </row>
    <row r="434" spans="1:6" hidden="1" x14ac:dyDescent="0.25">
      <c r="A434" s="16">
        <v>42781</v>
      </c>
      <c r="B434" s="13" t="s">
        <v>541</v>
      </c>
      <c r="C434" s="13">
        <v>41</v>
      </c>
      <c r="D434" s="13">
        <v>279.88</v>
      </c>
      <c r="E434" s="13" t="s">
        <v>71</v>
      </c>
      <c r="F434" s="13">
        <v>429</v>
      </c>
    </row>
    <row r="435" spans="1:6" hidden="1" x14ac:dyDescent="0.25">
      <c r="A435" s="16">
        <v>42781</v>
      </c>
      <c r="B435" s="13" t="s">
        <v>542</v>
      </c>
      <c r="C435" s="13">
        <v>45</v>
      </c>
      <c r="D435" s="13">
        <v>454.66</v>
      </c>
      <c r="E435" s="13" t="s">
        <v>71</v>
      </c>
      <c r="F435" s="13">
        <v>430</v>
      </c>
    </row>
    <row r="436" spans="1:6" x14ac:dyDescent="0.25">
      <c r="A436" s="16">
        <v>42781</v>
      </c>
      <c r="B436" s="13" t="s">
        <v>543</v>
      </c>
      <c r="C436" s="13">
        <v>103</v>
      </c>
      <c r="D436" s="13">
        <v>605.25</v>
      </c>
      <c r="E436" s="13" t="s">
        <v>71</v>
      </c>
      <c r="F436" s="13">
        <v>431</v>
      </c>
    </row>
    <row r="437" spans="1:6" hidden="1" x14ac:dyDescent="0.25">
      <c r="A437" s="16">
        <v>42781</v>
      </c>
      <c r="B437" s="13" t="s">
        <v>544</v>
      </c>
      <c r="C437" s="13">
        <v>35</v>
      </c>
      <c r="D437" s="13">
        <v>309.83999999999997</v>
      </c>
      <c r="E437" s="13" t="s">
        <v>71</v>
      </c>
      <c r="F437" s="13">
        <v>432</v>
      </c>
    </row>
    <row r="438" spans="1:6" hidden="1" x14ac:dyDescent="0.25">
      <c r="A438" s="16">
        <v>42781</v>
      </c>
      <c r="B438" s="13" t="s">
        <v>545</v>
      </c>
      <c r="C438" s="13">
        <v>44</v>
      </c>
      <c r="D438" s="13">
        <v>427.47</v>
      </c>
      <c r="E438" s="13" t="s">
        <v>71</v>
      </c>
      <c r="F438" s="13">
        <v>433</v>
      </c>
    </row>
    <row r="439" spans="1:6" hidden="1" x14ac:dyDescent="0.25">
      <c r="A439" s="16">
        <v>42781</v>
      </c>
      <c r="B439" s="13" t="s">
        <v>546</v>
      </c>
      <c r="C439" s="13">
        <v>38</v>
      </c>
      <c r="D439" s="13">
        <v>474.7</v>
      </c>
      <c r="E439" s="13" t="s">
        <v>71</v>
      </c>
      <c r="F439" s="13">
        <v>434</v>
      </c>
    </row>
    <row r="440" spans="1:6" hidden="1" x14ac:dyDescent="0.25">
      <c r="A440" s="16">
        <v>42781</v>
      </c>
      <c r="B440" s="13" t="s">
        <v>547</v>
      </c>
      <c r="C440" s="13">
        <v>43</v>
      </c>
      <c r="D440" s="13">
        <v>211.88</v>
      </c>
      <c r="E440" s="13" t="s">
        <v>71</v>
      </c>
      <c r="F440" s="13">
        <v>435</v>
      </c>
    </row>
    <row r="441" spans="1:6" hidden="1" x14ac:dyDescent="0.25">
      <c r="A441" s="16">
        <v>42781</v>
      </c>
      <c r="B441" s="13" t="s">
        <v>548</v>
      </c>
      <c r="C441" s="13">
        <v>201</v>
      </c>
      <c r="D441" s="13">
        <v>555.44000000000005</v>
      </c>
      <c r="E441" s="13" t="s">
        <v>71</v>
      </c>
      <c r="F441" s="13">
        <v>436</v>
      </c>
    </row>
    <row r="442" spans="1:6" hidden="1" x14ac:dyDescent="0.25">
      <c r="A442" s="16">
        <v>42781</v>
      </c>
      <c r="B442" s="13" t="s">
        <v>549</v>
      </c>
      <c r="C442" s="13">
        <v>37</v>
      </c>
      <c r="D442" s="13">
        <v>752.94</v>
      </c>
      <c r="E442" s="13" t="s">
        <v>71</v>
      </c>
      <c r="F442" s="13">
        <v>437</v>
      </c>
    </row>
    <row r="443" spans="1:6" hidden="1" x14ac:dyDescent="0.25">
      <c r="A443" s="16">
        <v>42782</v>
      </c>
      <c r="B443" s="13" t="s">
        <v>550</v>
      </c>
      <c r="C443" s="13">
        <v>101</v>
      </c>
      <c r="D443" s="13">
        <v>514.19000000000005</v>
      </c>
      <c r="E443" s="13" t="s">
        <v>71</v>
      </c>
      <c r="F443" s="13">
        <v>438</v>
      </c>
    </row>
    <row r="444" spans="1:6" hidden="1" x14ac:dyDescent="0.25">
      <c r="A444" s="16">
        <v>42782</v>
      </c>
      <c r="B444" s="13" t="s">
        <v>551</v>
      </c>
      <c r="C444" s="13">
        <v>41</v>
      </c>
      <c r="D444" s="13">
        <v>1299.1400000000001</v>
      </c>
      <c r="E444" s="13" t="s">
        <v>71</v>
      </c>
      <c r="F444" s="13">
        <v>439</v>
      </c>
    </row>
    <row r="445" spans="1:6" x14ac:dyDescent="0.25">
      <c r="A445" s="16">
        <v>42782</v>
      </c>
      <c r="B445" s="13" t="s">
        <v>552</v>
      </c>
      <c r="C445" s="13">
        <v>103</v>
      </c>
      <c r="D445" s="13">
        <v>1002.27</v>
      </c>
      <c r="E445" s="13" t="s">
        <v>71</v>
      </c>
      <c r="F445" s="13">
        <v>440</v>
      </c>
    </row>
    <row r="446" spans="1:6" hidden="1" x14ac:dyDescent="0.25">
      <c r="A446" s="16">
        <v>42782</v>
      </c>
      <c r="B446" s="13" t="s">
        <v>553</v>
      </c>
      <c r="C446" s="13">
        <v>45</v>
      </c>
      <c r="D446" s="13">
        <v>539.66</v>
      </c>
      <c r="E446" s="13" t="s">
        <v>71</v>
      </c>
      <c r="F446" s="13">
        <v>441</v>
      </c>
    </row>
    <row r="447" spans="1:6" hidden="1" x14ac:dyDescent="0.25">
      <c r="A447" s="16">
        <v>42782</v>
      </c>
      <c r="B447" s="13" t="s">
        <v>554</v>
      </c>
      <c r="C447" s="13">
        <v>35</v>
      </c>
      <c r="D447" s="13">
        <v>899.61</v>
      </c>
      <c r="E447" s="13" t="s">
        <v>71</v>
      </c>
      <c r="F447" s="13">
        <v>442</v>
      </c>
    </row>
    <row r="448" spans="1:6" hidden="1" x14ac:dyDescent="0.25">
      <c r="A448" s="16">
        <v>42782</v>
      </c>
      <c r="B448" s="13" t="s">
        <v>555</v>
      </c>
      <c r="C448" s="13">
        <v>38</v>
      </c>
      <c r="D448" s="13">
        <v>1014.33</v>
      </c>
      <c r="E448" s="13" t="s">
        <v>71</v>
      </c>
      <c r="F448" s="13">
        <v>443</v>
      </c>
    </row>
    <row r="449" spans="1:6" hidden="1" x14ac:dyDescent="0.25">
      <c r="A449" s="16">
        <v>42782</v>
      </c>
      <c r="B449" s="13" t="s">
        <v>556</v>
      </c>
      <c r="C449" s="13">
        <v>44</v>
      </c>
      <c r="D449" s="13">
        <v>797.34</v>
      </c>
      <c r="E449" s="13" t="s">
        <v>71</v>
      </c>
      <c r="F449" s="13">
        <v>444</v>
      </c>
    </row>
    <row r="450" spans="1:6" hidden="1" x14ac:dyDescent="0.25">
      <c r="A450" s="16">
        <v>42782</v>
      </c>
      <c r="B450" s="13" t="s">
        <v>557</v>
      </c>
      <c r="C450" s="13">
        <v>37</v>
      </c>
      <c r="D450" s="13">
        <v>796.58</v>
      </c>
      <c r="E450" s="13" t="s">
        <v>71</v>
      </c>
      <c r="F450" s="13">
        <v>445</v>
      </c>
    </row>
    <row r="451" spans="1:6" hidden="1" x14ac:dyDescent="0.25">
      <c r="A451" s="16">
        <v>42782</v>
      </c>
      <c r="B451" s="13" t="s">
        <v>558</v>
      </c>
      <c r="C451" s="13">
        <v>201</v>
      </c>
      <c r="D451" s="13">
        <v>309.85000000000002</v>
      </c>
      <c r="E451" s="13" t="s">
        <v>71</v>
      </c>
      <c r="F451" s="13">
        <v>446</v>
      </c>
    </row>
    <row r="452" spans="1:6" hidden="1" x14ac:dyDescent="0.25">
      <c r="A452" s="16">
        <v>42785</v>
      </c>
      <c r="B452" s="13" t="s">
        <v>560</v>
      </c>
      <c r="C452" s="13">
        <v>35</v>
      </c>
      <c r="D452" s="13">
        <v>607.35</v>
      </c>
      <c r="E452" s="13" t="s">
        <v>71</v>
      </c>
      <c r="F452" s="13">
        <v>447</v>
      </c>
    </row>
    <row r="453" spans="1:6" hidden="1" x14ac:dyDescent="0.25">
      <c r="A453" s="16">
        <v>42785</v>
      </c>
      <c r="B453" s="13" t="s">
        <v>561</v>
      </c>
      <c r="C453" s="13">
        <v>45</v>
      </c>
      <c r="D453" s="13">
        <v>114.95</v>
      </c>
      <c r="E453" s="13" t="s">
        <v>71</v>
      </c>
      <c r="F453" s="13">
        <v>448</v>
      </c>
    </row>
    <row r="454" spans="1:6" x14ac:dyDescent="0.25">
      <c r="A454" s="16">
        <v>42785</v>
      </c>
      <c r="B454" s="13" t="s">
        <v>562</v>
      </c>
      <c r="C454" s="13">
        <v>103</v>
      </c>
      <c r="D454" s="13">
        <v>417.4</v>
      </c>
      <c r="E454" s="13" t="s">
        <v>71</v>
      </c>
      <c r="F454" s="13">
        <v>449</v>
      </c>
    </row>
    <row r="455" spans="1:6" hidden="1" x14ac:dyDescent="0.25">
      <c r="A455" s="16">
        <v>42785</v>
      </c>
      <c r="B455" s="13" t="s">
        <v>563</v>
      </c>
      <c r="C455" s="13">
        <v>41</v>
      </c>
      <c r="D455" s="13">
        <v>440.05</v>
      </c>
      <c r="E455" s="13" t="s">
        <v>71</v>
      </c>
      <c r="F455" s="13">
        <v>450</v>
      </c>
    </row>
    <row r="456" spans="1:6" hidden="1" x14ac:dyDescent="0.25">
      <c r="A456" s="16">
        <v>42785</v>
      </c>
      <c r="B456" s="13" t="s">
        <v>564</v>
      </c>
      <c r="C456" s="13">
        <v>38</v>
      </c>
      <c r="D456" s="13">
        <v>714.1</v>
      </c>
      <c r="E456" s="13" t="s">
        <v>71</v>
      </c>
      <c r="F456" s="13">
        <v>451</v>
      </c>
    </row>
    <row r="457" spans="1:6" hidden="1" x14ac:dyDescent="0.25">
      <c r="A457" s="16">
        <v>42785</v>
      </c>
      <c r="B457" s="13" t="s">
        <v>565</v>
      </c>
      <c r="C457" s="13">
        <v>44</v>
      </c>
      <c r="D457" s="13">
        <v>504.08</v>
      </c>
      <c r="E457" s="13" t="s">
        <v>71</v>
      </c>
      <c r="F457" s="13">
        <v>452</v>
      </c>
    </row>
    <row r="458" spans="1:6" hidden="1" x14ac:dyDescent="0.25">
      <c r="A458" s="16">
        <v>42785</v>
      </c>
      <c r="B458" s="13" t="s">
        <v>566</v>
      </c>
      <c r="C458" s="13">
        <v>43</v>
      </c>
      <c r="D458" s="13">
        <v>349.75</v>
      </c>
      <c r="E458" s="13" t="s">
        <v>71</v>
      </c>
      <c r="F458" s="13">
        <v>453</v>
      </c>
    </row>
    <row r="459" spans="1:6" hidden="1" x14ac:dyDescent="0.25">
      <c r="A459" s="16">
        <v>42785</v>
      </c>
      <c r="B459" s="13" t="s">
        <v>567</v>
      </c>
      <c r="C459" s="13">
        <v>101</v>
      </c>
      <c r="D459" s="13">
        <v>294.5</v>
      </c>
      <c r="E459" s="13" t="s">
        <v>71</v>
      </c>
      <c r="F459" s="13">
        <v>454</v>
      </c>
    </row>
    <row r="460" spans="1:6" hidden="1" x14ac:dyDescent="0.25">
      <c r="A460" s="16">
        <v>42784</v>
      </c>
      <c r="B460" s="13" t="s">
        <v>568</v>
      </c>
      <c r="C460" s="13">
        <v>41</v>
      </c>
      <c r="D460" s="13">
        <v>509.75</v>
      </c>
      <c r="E460" s="13" t="s">
        <v>71</v>
      </c>
      <c r="F460" s="13">
        <v>455</v>
      </c>
    </row>
    <row r="461" spans="1:6" x14ac:dyDescent="0.25">
      <c r="A461" s="16">
        <v>42784</v>
      </c>
      <c r="B461" s="13" t="s">
        <v>569</v>
      </c>
      <c r="C461" s="13">
        <v>103</v>
      </c>
      <c r="D461" s="13">
        <v>515</v>
      </c>
      <c r="E461" s="13" t="s">
        <v>71</v>
      </c>
      <c r="F461" s="13">
        <v>456</v>
      </c>
    </row>
    <row r="462" spans="1:6" hidden="1" x14ac:dyDescent="0.25">
      <c r="A462" s="16">
        <v>42784</v>
      </c>
      <c r="B462" s="13" t="s">
        <v>570</v>
      </c>
      <c r="C462" s="13">
        <v>101</v>
      </c>
      <c r="D462" s="13">
        <v>857.95</v>
      </c>
      <c r="E462" s="13" t="s">
        <v>71</v>
      </c>
      <c r="F462" s="13">
        <v>457</v>
      </c>
    </row>
    <row r="463" spans="1:6" hidden="1" x14ac:dyDescent="0.25">
      <c r="A463" s="16">
        <v>42784</v>
      </c>
      <c r="B463" s="13" t="s">
        <v>571</v>
      </c>
      <c r="C463" s="13">
        <v>35</v>
      </c>
      <c r="D463" s="13">
        <v>1306.8800000000001</v>
      </c>
      <c r="E463" s="13" t="s">
        <v>71</v>
      </c>
      <c r="F463" s="13">
        <v>458</v>
      </c>
    </row>
    <row r="464" spans="1:6" hidden="1" x14ac:dyDescent="0.25">
      <c r="A464" s="16">
        <v>42784</v>
      </c>
      <c r="B464" s="13" t="s">
        <v>572</v>
      </c>
      <c r="C464" s="13">
        <v>45</v>
      </c>
      <c r="D464" s="13">
        <v>524.4</v>
      </c>
      <c r="E464" s="13" t="s">
        <v>71</v>
      </c>
      <c r="F464" s="13">
        <v>459</v>
      </c>
    </row>
    <row r="465" spans="1:6" hidden="1" x14ac:dyDescent="0.25">
      <c r="A465" s="16">
        <v>42784</v>
      </c>
      <c r="B465" s="13" t="s">
        <v>573</v>
      </c>
      <c r="C465" s="13">
        <v>44</v>
      </c>
      <c r="D465" s="13">
        <v>868.8</v>
      </c>
      <c r="E465" s="13" t="s">
        <v>71</v>
      </c>
      <c r="F465" s="13">
        <v>460</v>
      </c>
    </row>
    <row r="466" spans="1:6" hidden="1" x14ac:dyDescent="0.25">
      <c r="A466" s="16">
        <v>42784</v>
      </c>
      <c r="B466" s="13" t="s">
        <v>574</v>
      </c>
      <c r="C466" s="13">
        <v>38</v>
      </c>
      <c r="D466" s="13">
        <v>1184.05</v>
      </c>
      <c r="E466" s="13" t="s">
        <v>71</v>
      </c>
      <c r="F466" s="13">
        <v>461</v>
      </c>
    </row>
    <row r="467" spans="1:6" hidden="1" x14ac:dyDescent="0.25">
      <c r="A467" s="16">
        <v>42784</v>
      </c>
      <c r="B467" s="13" t="s">
        <v>575</v>
      </c>
      <c r="C467" s="13">
        <v>43</v>
      </c>
      <c r="D467" s="13">
        <v>484.65</v>
      </c>
      <c r="E467" s="13" t="s">
        <v>71</v>
      </c>
      <c r="F467" s="13">
        <v>462</v>
      </c>
    </row>
    <row r="468" spans="1:6" hidden="1" x14ac:dyDescent="0.25">
      <c r="A468" s="16">
        <v>42783</v>
      </c>
      <c r="B468" s="13" t="s">
        <v>576</v>
      </c>
      <c r="C468" s="13">
        <v>41</v>
      </c>
      <c r="D468" s="13">
        <v>704.65</v>
      </c>
      <c r="E468" s="13" t="s">
        <v>71</v>
      </c>
      <c r="F468" s="13">
        <v>463</v>
      </c>
    </row>
    <row r="469" spans="1:6" hidden="1" x14ac:dyDescent="0.25">
      <c r="A469" s="16">
        <v>42783</v>
      </c>
      <c r="B469" s="13" t="s">
        <v>577</v>
      </c>
      <c r="C469" s="13">
        <v>35</v>
      </c>
      <c r="D469" s="13">
        <v>870.5</v>
      </c>
      <c r="E469" s="13" t="s">
        <v>71</v>
      </c>
      <c r="F469" s="13">
        <v>464</v>
      </c>
    </row>
    <row r="470" spans="1:6" hidden="1" x14ac:dyDescent="0.25">
      <c r="A470" s="16">
        <v>42783</v>
      </c>
      <c r="B470" s="13" t="s">
        <v>578</v>
      </c>
      <c r="C470" s="13">
        <v>38</v>
      </c>
      <c r="D470" s="13">
        <v>794.48</v>
      </c>
      <c r="E470" s="13" t="s">
        <v>71</v>
      </c>
      <c r="F470" s="13">
        <v>465</v>
      </c>
    </row>
    <row r="471" spans="1:6" hidden="1" x14ac:dyDescent="0.25">
      <c r="A471" s="16">
        <v>42783</v>
      </c>
      <c r="B471" s="13" t="s">
        <v>579</v>
      </c>
      <c r="C471" s="13">
        <v>44</v>
      </c>
      <c r="D471" s="13">
        <v>524.5</v>
      </c>
      <c r="E471" s="13" t="s">
        <v>71</v>
      </c>
      <c r="F471" s="13">
        <v>466</v>
      </c>
    </row>
    <row r="472" spans="1:6" x14ac:dyDescent="0.25">
      <c r="A472" s="16">
        <v>42783</v>
      </c>
      <c r="B472" s="13" t="s">
        <v>580</v>
      </c>
      <c r="C472" s="13">
        <v>103</v>
      </c>
      <c r="D472" s="13">
        <v>755.1</v>
      </c>
      <c r="E472" s="13" t="s">
        <v>71</v>
      </c>
      <c r="F472" s="13">
        <v>467</v>
      </c>
    </row>
    <row r="473" spans="1:6" hidden="1" x14ac:dyDescent="0.25">
      <c r="A473" s="16">
        <v>42783</v>
      </c>
      <c r="B473" s="13" t="s">
        <v>581</v>
      </c>
      <c r="C473" s="13">
        <v>45</v>
      </c>
      <c r="D473" s="13">
        <v>475.8</v>
      </c>
      <c r="E473" s="13" t="s">
        <v>71</v>
      </c>
      <c r="F473" s="13">
        <v>468</v>
      </c>
    </row>
    <row r="474" spans="1:6" hidden="1" x14ac:dyDescent="0.25">
      <c r="A474" s="16">
        <v>42783</v>
      </c>
      <c r="B474" s="13" t="s">
        <v>582</v>
      </c>
      <c r="C474" s="13">
        <v>43</v>
      </c>
      <c r="D474" s="13">
        <v>892.36</v>
      </c>
      <c r="E474" s="13" t="s">
        <v>71</v>
      </c>
      <c r="F474" s="13">
        <v>469</v>
      </c>
    </row>
    <row r="475" spans="1:6" hidden="1" x14ac:dyDescent="0.25">
      <c r="A475" s="16">
        <v>42783</v>
      </c>
      <c r="B475" s="13" t="s">
        <v>582</v>
      </c>
      <c r="C475" s="13">
        <v>43</v>
      </c>
      <c r="D475" s="15">
        <v>407.58</v>
      </c>
      <c r="E475" s="13" t="s">
        <v>71</v>
      </c>
      <c r="F475" s="13">
        <v>477</v>
      </c>
    </row>
    <row r="476" spans="1:6" hidden="1" x14ac:dyDescent="0.25">
      <c r="A476" s="16">
        <v>42783</v>
      </c>
      <c r="B476" s="13" t="s">
        <v>582</v>
      </c>
      <c r="C476" s="13">
        <v>43</v>
      </c>
      <c r="D476" s="15">
        <v>484.65</v>
      </c>
      <c r="E476" s="13" t="s">
        <v>71</v>
      </c>
      <c r="F476" s="13">
        <v>478</v>
      </c>
    </row>
    <row r="477" spans="1:6" hidden="1" x14ac:dyDescent="0.25">
      <c r="A477" s="16">
        <v>42783</v>
      </c>
      <c r="B477" s="13" t="s">
        <v>583</v>
      </c>
      <c r="C477" s="13">
        <v>101</v>
      </c>
      <c r="D477" s="13">
        <v>1098.2</v>
      </c>
      <c r="E477" s="13" t="s">
        <v>71</v>
      </c>
      <c r="F477" s="13">
        <v>470</v>
      </c>
    </row>
    <row r="478" spans="1:6" hidden="1" x14ac:dyDescent="0.25">
      <c r="A478" s="16">
        <v>42785</v>
      </c>
      <c r="B478" s="13" t="s">
        <v>584</v>
      </c>
      <c r="C478" s="13">
        <v>37</v>
      </c>
      <c r="D478" s="13">
        <v>628.85</v>
      </c>
      <c r="E478" s="13" t="s">
        <v>71</v>
      </c>
      <c r="F478" s="13">
        <v>471</v>
      </c>
    </row>
    <row r="479" spans="1:6" hidden="1" x14ac:dyDescent="0.25">
      <c r="A479" s="16">
        <v>42785</v>
      </c>
      <c r="B479" s="13" t="s">
        <v>585</v>
      </c>
      <c r="C479" s="13">
        <v>201</v>
      </c>
      <c r="D479" s="13">
        <v>658.7</v>
      </c>
      <c r="E479" s="13" t="s">
        <v>71</v>
      </c>
      <c r="F479" s="13">
        <v>472</v>
      </c>
    </row>
    <row r="480" spans="1:6" hidden="1" x14ac:dyDescent="0.25">
      <c r="A480" s="16">
        <v>42784</v>
      </c>
      <c r="B480" s="13" t="s">
        <v>586</v>
      </c>
      <c r="C480" s="13">
        <v>37</v>
      </c>
      <c r="D480" s="13">
        <v>613.9</v>
      </c>
      <c r="E480" s="13" t="s">
        <v>71</v>
      </c>
      <c r="F480" s="13">
        <v>473</v>
      </c>
    </row>
    <row r="481" spans="1:6" hidden="1" x14ac:dyDescent="0.25">
      <c r="A481" s="16">
        <v>42784</v>
      </c>
      <c r="B481" s="13" t="s">
        <v>587</v>
      </c>
      <c r="C481" s="13">
        <v>201</v>
      </c>
      <c r="D481" s="13">
        <v>789.85</v>
      </c>
      <c r="E481" s="13" t="s">
        <v>71</v>
      </c>
      <c r="F481" s="13">
        <v>474</v>
      </c>
    </row>
    <row r="482" spans="1:6" hidden="1" x14ac:dyDescent="0.25">
      <c r="A482" s="16">
        <v>42783</v>
      </c>
      <c r="B482" s="13" t="s">
        <v>588</v>
      </c>
      <c r="C482" s="13">
        <v>37</v>
      </c>
      <c r="D482" s="13">
        <v>654.1</v>
      </c>
      <c r="E482" s="13" t="s">
        <v>71</v>
      </c>
      <c r="F482" s="13">
        <v>475</v>
      </c>
    </row>
    <row r="483" spans="1:6" hidden="1" x14ac:dyDescent="0.25">
      <c r="A483" s="16">
        <v>42783</v>
      </c>
      <c r="B483" s="13" t="s">
        <v>589</v>
      </c>
      <c r="C483" s="13">
        <v>201</v>
      </c>
      <c r="D483" s="13">
        <v>1014.85</v>
      </c>
      <c r="E483" s="13" t="s">
        <v>71</v>
      </c>
      <c r="F483" s="13">
        <v>476</v>
      </c>
    </row>
    <row r="484" spans="1:6" hidden="1" x14ac:dyDescent="0.25">
      <c r="A484" s="16">
        <v>42786</v>
      </c>
      <c r="B484" s="13" t="s">
        <v>590</v>
      </c>
      <c r="C484" s="13">
        <v>35</v>
      </c>
      <c r="D484" s="13">
        <v>840.4</v>
      </c>
      <c r="E484" s="13" t="s">
        <v>71</v>
      </c>
      <c r="F484" s="13">
        <v>479</v>
      </c>
    </row>
    <row r="485" spans="1:6" hidden="1" x14ac:dyDescent="0.25">
      <c r="A485" s="16">
        <v>42786</v>
      </c>
      <c r="B485" s="13" t="s">
        <v>591</v>
      </c>
      <c r="C485" s="13">
        <v>38</v>
      </c>
      <c r="D485" s="13">
        <v>314.75</v>
      </c>
      <c r="E485" s="13" t="s">
        <v>71</v>
      </c>
      <c r="F485" s="13">
        <v>480</v>
      </c>
    </row>
    <row r="486" spans="1:6" x14ac:dyDescent="0.25">
      <c r="A486" s="16">
        <v>42786</v>
      </c>
      <c r="B486" s="13" t="s">
        <v>592</v>
      </c>
      <c r="C486" s="13">
        <v>103</v>
      </c>
      <c r="D486" s="13">
        <v>614.45000000000005</v>
      </c>
      <c r="E486" s="13" t="s">
        <v>71</v>
      </c>
      <c r="F486" s="13">
        <v>481</v>
      </c>
    </row>
    <row r="487" spans="1:6" hidden="1" x14ac:dyDescent="0.25">
      <c r="A487" s="16">
        <v>42786</v>
      </c>
      <c r="B487" s="13" t="s">
        <v>593</v>
      </c>
      <c r="C487" s="13">
        <v>101</v>
      </c>
      <c r="D487" s="13">
        <v>344.45</v>
      </c>
      <c r="E487" s="13" t="s">
        <v>71</v>
      </c>
      <c r="F487" s="13">
        <v>482</v>
      </c>
    </row>
    <row r="488" spans="1:6" hidden="1" x14ac:dyDescent="0.25">
      <c r="A488" s="16">
        <v>42786</v>
      </c>
      <c r="B488" s="13" t="s">
        <v>594</v>
      </c>
      <c r="C488" s="13">
        <v>45</v>
      </c>
      <c r="D488" s="13">
        <v>317.7</v>
      </c>
      <c r="E488" s="13" t="s">
        <v>71</v>
      </c>
      <c r="F488" s="13">
        <v>483</v>
      </c>
    </row>
    <row r="489" spans="1:6" hidden="1" x14ac:dyDescent="0.25">
      <c r="A489" s="16">
        <v>42786</v>
      </c>
      <c r="B489" s="13" t="s">
        <v>595</v>
      </c>
      <c r="C489" s="13">
        <v>44</v>
      </c>
      <c r="D489" s="13">
        <v>429.75</v>
      </c>
      <c r="E489" s="13" t="s">
        <v>71</v>
      </c>
      <c r="F489" s="13">
        <v>484</v>
      </c>
    </row>
    <row r="490" spans="1:6" hidden="1" x14ac:dyDescent="0.25">
      <c r="A490" s="16">
        <v>42786</v>
      </c>
      <c r="B490" s="13" t="s">
        <v>596</v>
      </c>
      <c r="C490" s="13">
        <v>43</v>
      </c>
      <c r="D490" s="13">
        <v>219.7</v>
      </c>
      <c r="E490" s="13" t="s">
        <v>71</v>
      </c>
      <c r="F490" s="13">
        <v>485</v>
      </c>
    </row>
    <row r="491" spans="1:6" hidden="1" x14ac:dyDescent="0.25">
      <c r="A491" s="16">
        <v>42786</v>
      </c>
      <c r="B491" s="13" t="s">
        <v>599</v>
      </c>
      <c r="C491" s="13">
        <v>201</v>
      </c>
      <c r="D491" s="13">
        <v>495</v>
      </c>
      <c r="E491" s="13" t="s">
        <v>71</v>
      </c>
      <c r="F491" s="13">
        <v>486</v>
      </c>
    </row>
    <row r="492" spans="1:6" hidden="1" x14ac:dyDescent="0.25">
      <c r="A492" s="16">
        <v>42786</v>
      </c>
      <c r="B492" s="13" t="s">
        <v>600</v>
      </c>
      <c r="C492" s="13">
        <v>37</v>
      </c>
      <c r="D492" s="13">
        <v>473.7</v>
      </c>
      <c r="E492" s="13" t="s">
        <v>71</v>
      </c>
      <c r="F492" s="13">
        <v>487</v>
      </c>
    </row>
    <row r="493" spans="1:6" hidden="1" x14ac:dyDescent="0.25">
      <c r="A493" s="16">
        <v>42787</v>
      </c>
      <c r="B493" s="13" t="s">
        <v>601</v>
      </c>
      <c r="C493" s="13">
        <v>43</v>
      </c>
      <c r="D493" s="13">
        <v>419.7</v>
      </c>
      <c r="E493" s="13" t="s">
        <v>71</v>
      </c>
      <c r="F493" s="13">
        <v>488</v>
      </c>
    </row>
    <row r="494" spans="1:6" hidden="1" x14ac:dyDescent="0.25">
      <c r="A494" s="16">
        <v>42787</v>
      </c>
      <c r="B494" s="13" t="s">
        <v>602</v>
      </c>
      <c r="C494" s="13">
        <v>45</v>
      </c>
      <c r="D494" s="13">
        <v>409.65</v>
      </c>
      <c r="E494" s="13" t="s">
        <v>71</v>
      </c>
      <c r="F494" s="13">
        <v>489</v>
      </c>
    </row>
    <row r="495" spans="1:6" hidden="1" x14ac:dyDescent="0.25">
      <c r="A495" s="16">
        <v>42787</v>
      </c>
      <c r="B495" s="13" t="s">
        <v>603</v>
      </c>
      <c r="C495" s="13">
        <v>44</v>
      </c>
      <c r="D495" s="13">
        <v>172.25</v>
      </c>
      <c r="E495" s="13" t="s">
        <v>71</v>
      </c>
      <c r="F495" s="13">
        <v>490</v>
      </c>
    </row>
    <row r="496" spans="1:6" hidden="1" x14ac:dyDescent="0.25">
      <c r="A496" s="16">
        <v>42787</v>
      </c>
      <c r="B496" s="13" t="s">
        <v>604</v>
      </c>
      <c r="C496" s="13">
        <v>35</v>
      </c>
      <c r="D496" s="13">
        <v>1334.5</v>
      </c>
      <c r="E496" s="13" t="s">
        <v>71</v>
      </c>
      <c r="F496" s="13">
        <v>491</v>
      </c>
    </row>
    <row r="497" spans="1:6" x14ac:dyDescent="0.25">
      <c r="A497" s="16">
        <v>42787</v>
      </c>
      <c r="B497" s="13" t="s">
        <v>605</v>
      </c>
      <c r="C497" s="13">
        <v>103</v>
      </c>
      <c r="D497" s="13">
        <v>504.4</v>
      </c>
      <c r="E497" s="13" t="s">
        <v>71</v>
      </c>
      <c r="F497" s="13">
        <v>492</v>
      </c>
    </row>
    <row r="498" spans="1:6" hidden="1" x14ac:dyDescent="0.25">
      <c r="A498" s="16">
        <v>42787</v>
      </c>
      <c r="B498" s="13" t="s">
        <v>606</v>
      </c>
      <c r="C498" s="13">
        <v>101</v>
      </c>
      <c r="D498" s="13">
        <v>139.9</v>
      </c>
      <c r="E498" s="13" t="s">
        <v>71</v>
      </c>
      <c r="F498" s="13">
        <v>493</v>
      </c>
    </row>
    <row r="499" spans="1:6" hidden="1" x14ac:dyDescent="0.25">
      <c r="A499" s="16">
        <v>42787</v>
      </c>
      <c r="B499" s="13" t="s">
        <v>607</v>
      </c>
      <c r="C499" s="13">
        <v>38</v>
      </c>
      <c r="D499" s="13">
        <v>674.1</v>
      </c>
      <c r="E499" s="13" t="s">
        <v>71</v>
      </c>
      <c r="F499" s="13">
        <v>494</v>
      </c>
    </row>
    <row r="500" spans="1:6" hidden="1" x14ac:dyDescent="0.25">
      <c r="A500" s="16">
        <v>42787</v>
      </c>
      <c r="B500" s="13" t="s">
        <v>608</v>
      </c>
      <c r="C500" s="13">
        <v>41</v>
      </c>
      <c r="D500" s="13">
        <v>435.65</v>
      </c>
      <c r="E500" s="13" t="s">
        <v>71</v>
      </c>
      <c r="F500" s="13">
        <v>495</v>
      </c>
    </row>
    <row r="501" spans="1:6" hidden="1" x14ac:dyDescent="0.25">
      <c r="A501" s="16">
        <v>42787</v>
      </c>
      <c r="B501" s="13" t="s">
        <v>608</v>
      </c>
      <c r="C501" s="13">
        <v>41</v>
      </c>
      <c r="D501" s="13">
        <v>129.9</v>
      </c>
      <c r="E501" s="13" t="s">
        <v>71</v>
      </c>
      <c r="F501" s="13">
        <v>498</v>
      </c>
    </row>
    <row r="502" spans="1:6" hidden="1" x14ac:dyDescent="0.25">
      <c r="A502" s="16">
        <v>42787</v>
      </c>
      <c r="B502" s="13" t="s">
        <v>608</v>
      </c>
      <c r="C502" s="13">
        <v>41</v>
      </c>
      <c r="D502" s="13">
        <v>305.75</v>
      </c>
      <c r="E502" s="13" t="s">
        <v>71</v>
      </c>
      <c r="F502" s="13">
        <v>499</v>
      </c>
    </row>
    <row r="503" spans="1:6" hidden="1" x14ac:dyDescent="0.25">
      <c r="A503" s="16">
        <v>42787</v>
      </c>
      <c r="B503" s="13" t="s">
        <v>609</v>
      </c>
      <c r="C503" s="13">
        <v>37</v>
      </c>
      <c r="D503" s="13">
        <v>653.87</v>
      </c>
      <c r="E503" s="13" t="s">
        <v>71</v>
      </c>
      <c r="F503" s="13">
        <v>496</v>
      </c>
    </row>
    <row r="504" spans="1:6" hidden="1" x14ac:dyDescent="0.25">
      <c r="A504" s="16">
        <v>42787</v>
      </c>
      <c r="B504" s="13" t="s">
        <v>610</v>
      </c>
      <c r="C504" s="13">
        <v>201</v>
      </c>
      <c r="D504" s="13">
        <v>429.65</v>
      </c>
      <c r="E504" s="13" t="s">
        <v>71</v>
      </c>
      <c r="F504" s="13">
        <v>497</v>
      </c>
    </row>
    <row r="505" spans="1:6" x14ac:dyDescent="0.25">
      <c r="A505" s="16">
        <v>42788</v>
      </c>
      <c r="B505" s="13" t="s">
        <v>612</v>
      </c>
      <c r="C505" s="13">
        <v>103</v>
      </c>
      <c r="D505" s="13">
        <v>329.4</v>
      </c>
      <c r="E505" s="13" t="s">
        <v>71</v>
      </c>
      <c r="F505" s="13">
        <v>500</v>
      </c>
    </row>
    <row r="506" spans="1:6" hidden="1" x14ac:dyDescent="0.25">
      <c r="A506" s="16">
        <v>42788</v>
      </c>
      <c r="B506" s="13" t="s">
        <v>613</v>
      </c>
      <c r="C506" s="13">
        <v>38</v>
      </c>
      <c r="D506" s="13">
        <v>189.75</v>
      </c>
      <c r="E506" s="13" t="s">
        <v>71</v>
      </c>
      <c r="F506" s="13">
        <v>501</v>
      </c>
    </row>
    <row r="507" spans="1:6" hidden="1" x14ac:dyDescent="0.25">
      <c r="A507" s="16">
        <v>42788</v>
      </c>
      <c r="B507" s="13" t="s">
        <v>614</v>
      </c>
      <c r="C507" s="13">
        <v>45</v>
      </c>
      <c r="D507" s="13">
        <v>444.4</v>
      </c>
      <c r="E507" s="13" t="s">
        <v>71</v>
      </c>
      <c r="F507" s="13">
        <v>502</v>
      </c>
    </row>
    <row r="508" spans="1:6" hidden="1" x14ac:dyDescent="0.25">
      <c r="A508" s="16">
        <v>42788</v>
      </c>
      <c r="B508" s="13" t="s">
        <v>615</v>
      </c>
      <c r="C508" s="13">
        <v>44</v>
      </c>
      <c r="D508" s="13">
        <v>179.7</v>
      </c>
      <c r="E508" s="13" t="s">
        <v>71</v>
      </c>
      <c r="F508" s="13">
        <v>503</v>
      </c>
    </row>
    <row r="509" spans="1:6" hidden="1" x14ac:dyDescent="0.25">
      <c r="A509" s="16">
        <v>42788</v>
      </c>
      <c r="B509" s="13" t="s">
        <v>616</v>
      </c>
      <c r="C509" s="13">
        <v>35</v>
      </c>
      <c r="D509" s="13">
        <v>1061.9000000000001</v>
      </c>
      <c r="E509" s="13" t="s">
        <v>71</v>
      </c>
      <c r="F509" s="13">
        <v>504</v>
      </c>
    </row>
    <row r="510" spans="1:6" hidden="1" x14ac:dyDescent="0.25">
      <c r="A510" s="16">
        <v>42788</v>
      </c>
      <c r="B510" s="13" t="s">
        <v>617</v>
      </c>
      <c r="C510" s="13">
        <v>41</v>
      </c>
      <c r="D510" s="13">
        <v>359.85</v>
      </c>
      <c r="E510" s="13" t="s">
        <v>71</v>
      </c>
      <c r="F510" s="13">
        <v>505</v>
      </c>
    </row>
    <row r="511" spans="1:6" hidden="1" x14ac:dyDescent="0.25">
      <c r="A511" s="16">
        <v>42788</v>
      </c>
      <c r="B511" s="13" t="s">
        <v>618</v>
      </c>
      <c r="C511" s="13">
        <v>43</v>
      </c>
      <c r="D511" s="13">
        <v>264.89999999999998</v>
      </c>
      <c r="E511" s="13" t="s">
        <v>71</v>
      </c>
      <c r="F511" s="13">
        <v>506</v>
      </c>
    </row>
    <row r="512" spans="1:6" hidden="1" x14ac:dyDescent="0.25">
      <c r="A512" s="16">
        <v>42788</v>
      </c>
      <c r="B512" s="13" t="s">
        <v>619</v>
      </c>
      <c r="C512" s="13">
        <v>101</v>
      </c>
      <c r="D512" s="13">
        <v>249.65</v>
      </c>
      <c r="E512" s="13" t="s">
        <v>71</v>
      </c>
      <c r="F512" s="13">
        <v>507</v>
      </c>
    </row>
    <row r="513" spans="1:6" hidden="1" x14ac:dyDescent="0.25">
      <c r="A513" s="16">
        <v>42788</v>
      </c>
      <c r="B513" s="13" t="s">
        <v>620</v>
      </c>
      <c r="C513" s="13">
        <v>201</v>
      </c>
      <c r="D513" s="13">
        <v>913</v>
      </c>
      <c r="E513" s="13" t="s">
        <v>71</v>
      </c>
      <c r="F513" s="13">
        <v>508</v>
      </c>
    </row>
    <row r="514" spans="1:6" hidden="1" x14ac:dyDescent="0.25">
      <c r="A514" s="16">
        <v>42788</v>
      </c>
      <c r="B514" s="13" t="s">
        <v>621</v>
      </c>
      <c r="C514" s="13">
        <v>37</v>
      </c>
      <c r="D514" s="13">
        <v>729.4</v>
      </c>
      <c r="E514" s="13" t="s">
        <v>71</v>
      </c>
      <c r="F514" s="13">
        <v>509</v>
      </c>
    </row>
    <row r="515" spans="1:6" x14ac:dyDescent="0.25">
      <c r="A515" s="16">
        <v>42789</v>
      </c>
      <c r="B515" s="13" t="s">
        <v>623</v>
      </c>
      <c r="C515" s="13">
        <v>103</v>
      </c>
      <c r="D515" s="13">
        <v>1051.8499999999999</v>
      </c>
      <c r="E515" s="13" t="s">
        <v>71</v>
      </c>
      <c r="F515" s="13">
        <v>510</v>
      </c>
    </row>
    <row r="516" spans="1:6" hidden="1" x14ac:dyDescent="0.25">
      <c r="A516" s="16">
        <v>42789</v>
      </c>
      <c r="B516" s="13" t="s">
        <v>624</v>
      </c>
      <c r="C516" s="13">
        <v>44</v>
      </c>
      <c r="D516" s="13">
        <v>992.9</v>
      </c>
      <c r="E516" s="13" t="s">
        <v>71</v>
      </c>
      <c r="F516" s="13">
        <v>511</v>
      </c>
    </row>
    <row r="517" spans="1:6" hidden="1" x14ac:dyDescent="0.25">
      <c r="A517" s="16">
        <v>42789</v>
      </c>
      <c r="B517" s="13" t="s">
        <v>625</v>
      </c>
      <c r="C517" s="13">
        <v>45</v>
      </c>
      <c r="D517" s="13">
        <v>1104.28</v>
      </c>
      <c r="E517" s="13" t="s">
        <v>71</v>
      </c>
      <c r="F517" s="13">
        <v>512</v>
      </c>
    </row>
    <row r="518" spans="1:6" hidden="1" x14ac:dyDescent="0.25">
      <c r="A518" s="16">
        <v>42789</v>
      </c>
      <c r="B518" s="13" t="s">
        <v>626</v>
      </c>
      <c r="C518" s="13">
        <v>38</v>
      </c>
      <c r="D518" s="13">
        <v>1884.65</v>
      </c>
      <c r="E518" s="13" t="s">
        <v>71</v>
      </c>
      <c r="F518" s="13">
        <v>513</v>
      </c>
    </row>
    <row r="519" spans="1:6" hidden="1" x14ac:dyDescent="0.25">
      <c r="A519" s="16">
        <v>42789</v>
      </c>
      <c r="B519" s="13" t="s">
        <v>627</v>
      </c>
      <c r="C519" s="13">
        <v>43</v>
      </c>
      <c r="D519" s="13">
        <v>290.64999999999998</v>
      </c>
      <c r="E519" s="13" t="s">
        <v>71</v>
      </c>
      <c r="F519" s="13">
        <v>514</v>
      </c>
    </row>
    <row r="520" spans="1:6" hidden="1" x14ac:dyDescent="0.25">
      <c r="A520" s="16">
        <v>42789</v>
      </c>
      <c r="B520" s="13" t="s">
        <v>628</v>
      </c>
      <c r="C520" s="13">
        <v>41</v>
      </c>
      <c r="D520" s="13">
        <v>1111.25</v>
      </c>
      <c r="E520" s="13" t="s">
        <v>71</v>
      </c>
      <c r="F520" s="13">
        <v>515</v>
      </c>
    </row>
    <row r="521" spans="1:6" hidden="1" x14ac:dyDescent="0.25">
      <c r="A521" s="16">
        <v>42789</v>
      </c>
      <c r="B521" s="13" t="s">
        <v>629</v>
      </c>
      <c r="C521" s="13">
        <v>101</v>
      </c>
      <c r="D521" s="13">
        <v>562.5</v>
      </c>
      <c r="E521" s="13" t="s">
        <v>71</v>
      </c>
      <c r="F521" s="13">
        <v>516</v>
      </c>
    </row>
    <row r="522" spans="1:6" hidden="1" x14ac:dyDescent="0.25">
      <c r="A522" s="16">
        <v>42789</v>
      </c>
      <c r="B522" s="13" t="s">
        <v>630</v>
      </c>
      <c r="C522" s="13">
        <v>35</v>
      </c>
      <c r="D522" s="13">
        <v>1219.5</v>
      </c>
      <c r="E522" s="13" t="s">
        <v>71</v>
      </c>
      <c r="F522" s="13">
        <v>517</v>
      </c>
    </row>
    <row r="523" spans="1:6" hidden="1" x14ac:dyDescent="0.25">
      <c r="A523" s="16">
        <v>42789</v>
      </c>
      <c r="B523" s="13" t="s">
        <v>631</v>
      </c>
      <c r="C523" s="13">
        <v>201</v>
      </c>
      <c r="D523" s="13">
        <v>359.45</v>
      </c>
      <c r="E523" s="13" t="s">
        <v>71</v>
      </c>
      <c r="F523" s="13">
        <v>518</v>
      </c>
    </row>
    <row r="524" spans="1:6" hidden="1" x14ac:dyDescent="0.25">
      <c r="A524" s="16">
        <v>42789</v>
      </c>
      <c r="B524" s="13" t="s">
        <v>632</v>
      </c>
      <c r="C524" s="13">
        <v>37</v>
      </c>
      <c r="D524" s="13">
        <v>2705.34</v>
      </c>
      <c r="E524" s="13" t="s">
        <v>71</v>
      </c>
      <c r="F524" s="13">
        <v>519</v>
      </c>
    </row>
    <row r="525" spans="1:6" x14ac:dyDescent="0.25">
      <c r="A525" s="16">
        <v>42792</v>
      </c>
      <c r="B525" s="13" t="s">
        <v>633</v>
      </c>
      <c r="C525" s="13">
        <v>103</v>
      </c>
      <c r="D525" s="13">
        <v>268.79000000000002</v>
      </c>
      <c r="E525" s="13" t="s">
        <v>71</v>
      </c>
      <c r="F525" s="13">
        <v>520</v>
      </c>
    </row>
    <row r="526" spans="1:6" hidden="1" x14ac:dyDescent="0.25">
      <c r="A526" s="16">
        <v>42792</v>
      </c>
      <c r="B526" s="13" t="s">
        <v>634</v>
      </c>
      <c r="C526" s="13">
        <v>35</v>
      </c>
      <c r="D526" s="13">
        <v>909.43</v>
      </c>
      <c r="E526" s="13" t="s">
        <v>71</v>
      </c>
      <c r="F526" s="13">
        <v>521</v>
      </c>
    </row>
    <row r="527" spans="1:6" hidden="1" x14ac:dyDescent="0.25">
      <c r="A527" s="16">
        <v>42792</v>
      </c>
      <c r="B527" s="13" t="s">
        <v>635</v>
      </c>
      <c r="C527" s="13">
        <v>101</v>
      </c>
      <c r="D527" s="13">
        <v>214.75</v>
      </c>
      <c r="E527" s="13" t="s">
        <v>71</v>
      </c>
      <c r="F527" s="13">
        <v>522</v>
      </c>
    </row>
    <row r="528" spans="1:6" hidden="1" x14ac:dyDescent="0.25">
      <c r="A528" s="16">
        <v>42792</v>
      </c>
      <c r="B528" s="13" t="s">
        <v>636</v>
      </c>
      <c r="C528" s="13">
        <v>41</v>
      </c>
      <c r="D528" s="13">
        <v>249.9</v>
      </c>
      <c r="E528" s="13" t="s">
        <v>71</v>
      </c>
      <c r="F528" s="13">
        <v>523</v>
      </c>
    </row>
    <row r="529" spans="1:6" hidden="1" x14ac:dyDescent="0.25">
      <c r="A529" s="16">
        <v>42792</v>
      </c>
      <c r="B529" s="13" t="s">
        <v>637</v>
      </c>
      <c r="C529" s="13">
        <v>43</v>
      </c>
      <c r="D529" s="13">
        <v>239.8</v>
      </c>
      <c r="E529" s="13" t="s">
        <v>71</v>
      </c>
      <c r="F529" s="13">
        <v>524</v>
      </c>
    </row>
    <row r="530" spans="1:6" hidden="1" x14ac:dyDescent="0.25">
      <c r="A530" s="16">
        <v>42792</v>
      </c>
      <c r="B530" s="13" t="s">
        <v>638</v>
      </c>
      <c r="C530" s="13">
        <v>38</v>
      </c>
      <c r="D530" s="13">
        <v>1040</v>
      </c>
      <c r="E530" s="13" t="s">
        <v>71</v>
      </c>
      <c r="F530" s="13">
        <v>525</v>
      </c>
    </row>
    <row r="531" spans="1:6" hidden="1" x14ac:dyDescent="0.25">
      <c r="A531" s="16">
        <v>42792</v>
      </c>
      <c r="B531" s="13" t="s">
        <v>639</v>
      </c>
      <c r="C531" s="13">
        <v>44</v>
      </c>
      <c r="D531" s="13">
        <v>412.81</v>
      </c>
      <c r="E531" s="13" t="s">
        <v>71</v>
      </c>
      <c r="F531" s="13">
        <v>526</v>
      </c>
    </row>
    <row r="532" spans="1:6" hidden="1" x14ac:dyDescent="0.25">
      <c r="A532" s="16">
        <v>42791</v>
      </c>
      <c r="B532" s="13" t="s">
        <v>640</v>
      </c>
      <c r="C532" s="13">
        <v>43</v>
      </c>
      <c r="D532" s="13">
        <v>165</v>
      </c>
      <c r="E532" s="13" t="s">
        <v>71</v>
      </c>
      <c r="F532" s="13">
        <v>527</v>
      </c>
    </row>
    <row r="533" spans="1:6" hidden="1" x14ac:dyDescent="0.25">
      <c r="A533" s="16">
        <v>42791</v>
      </c>
      <c r="B533" s="13" t="s">
        <v>641</v>
      </c>
      <c r="C533" s="13">
        <v>38</v>
      </c>
      <c r="D533" s="13">
        <v>1354.86</v>
      </c>
      <c r="E533" s="13" t="s">
        <v>71</v>
      </c>
      <c r="F533" s="13">
        <v>528</v>
      </c>
    </row>
    <row r="534" spans="1:6" hidden="1" x14ac:dyDescent="0.25">
      <c r="A534" s="16">
        <v>42791</v>
      </c>
      <c r="B534" s="13" t="s">
        <v>642</v>
      </c>
      <c r="C534" s="13">
        <v>101</v>
      </c>
      <c r="D534" s="13">
        <v>669.6</v>
      </c>
      <c r="E534" s="13" t="s">
        <v>71</v>
      </c>
      <c r="F534" s="13">
        <v>529</v>
      </c>
    </row>
    <row r="535" spans="1:6" hidden="1" x14ac:dyDescent="0.25">
      <c r="A535" s="16">
        <v>42791</v>
      </c>
      <c r="B535" s="13" t="s">
        <v>643</v>
      </c>
      <c r="C535" s="13">
        <v>44</v>
      </c>
      <c r="D535" s="13">
        <v>689.9</v>
      </c>
      <c r="E535" s="13" t="s">
        <v>71</v>
      </c>
      <c r="F535" s="13">
        <v>530</v>
      </c>
    </row>
    <row r="536" spans="1:6" hidden="1" x14ac:dyDescent="0.25">
      <c r="A536" s="16">
        <v>42791</v>
      </c>
      <c r="B536" s="13" t="s">
        <v>644</v>
      </c>
      <c r="C536" s="13">
        <v>41</v>
      </c>
      <c r="D536" s="13">
        <v>1054.55</v>
      </c>
      <c r="E536" s="13" t="s">
        <v>71</v>
      </c>
      <c r="F536" s="13">
        <v>531</v>
      </c>
    </row>
    <row r="537" spans="1:6" hidden="1" x14ac:dyDescent="0.25">
      <c r="A537" s="16">
        <v>42791</v>
      </c>
      <c r="B537" s="13" t="s">
        <v>645</v>
      </c>
      <c r="C537" s="13">
        <v>35</v>
      </c>
      <c r="D537" s="13">
        <v>1037.45</v>
      </c>
      <c r="E537" s="13" t="s">
        <v>71</v>
      </c>
      <c r="F537" s="13">
        <v>532</v>
      </c>
    </row>
    <row r="538" spans="1:6" x14ac:dyDescent="0.25">
      <c r="A538" s="16">
        <v>42791</v>
      </c>
      <c r="B538" s="13" t="s">
        <v>646</v>
      </c>
      <c r="C538" s="13">
        <v>103</v>
      </c>
      <c r="D538" s="13">
        <v>584.6</v>
      </c>
      <c r="E538" s="13" t="s">
        <v>71</v>
      </c>
      <c r="F538" s="13">
        <v>533</v>
      </c>
    </row>
    <row r="539" spans="1:6" x14ac:dyDescent="0.25">
      <c r="A539" s="16">
        <v>42790</v>
      </c>
      <c r="B539" s="13" t="s">
        <v>647</v>
      </c>
      <c r="C539" s="13">
        <v>103</v>
      </c>
      <c r="D539" s="13">
        <v>539.13</v>
      </c>
      <c r="E539" s="13" t="s">
        <v>71</v>
      </c>
      <c r="F539" s="13">
        <v>534</v>
      </c>
    </row>
    <row r="540" spans="1:6" hidden="1" x14ac:dyDescent="0.25">
      <c r="A540" s="16">
        <v>42790</v>
      </c>
      <c r="B540" s="13" t="s">
        <v>648</v>
      </c>
      <c r="C540" s="13">
        <v>38</v>
      </c>
      <c r="D540" s="13">
        <v>1119.54</v>
      </c>
      <c r="E540" s="13" t="s">
        <v>71</v>
      </c>
      <c r="F540" s="13">
        <v>535</v>
      </c>
    </row>
    <row r="541" spans="1:6" hidden="1" x14ac:dyDescent="0.25">
      <c r="A541" s="16">
        <v>42790</v>
      </c>
      <c r="B541" s="13" t="s">
        <v>649</v>
      </c>
      <c r="C541" s="13">
        <v>43</v>
      </c>
      <c r="D541" s="13">
        <v>419.8</v>
      </c>
      <c r="E541" s="13" t="s">
        <v>71</v>
      </c>
      <c r="F541" s="13">
        <v>536</v>
      </c>
    </row>
    <row r="542" spans="1:6" hidden="1" x14ac:dyDescent="0.25">
      <c r="A542" s="16">
        <v>42790</v>
      </c>
      <c r="B542" s="13" t="s">
        <v>650</v>
      </c>
      <c r="C542" s="13">
        <v>45</v>
      </c>
      <c r="D542" s="13">
        <v>539.70000000000005</v>
      </c>
      <c r="E542" s="13" t="s">
        <v>71</v>
      </c>
      <c r="F542" s="13">
        <v>537</v>
      </c>
    </row>
    <row r="543" spans="1:6" hidden="1" x14ac:dyDescent="0.25">
      <c r="A543" s="16">
        <v>42790</v>
      </c>
      <c r="B543" s="13" t="s">
        <v>651</v>
      </c>
      <c r="C543" s="13">
        <v>41</v>
      </c>
      <c r="D543" s="13">
        <v>774.05</v>
      </c>
      <c r="E543" s="13" t="s">
        <v>71</v>
      </c>
      <c r="F543" s="13">
        <v>538</v>
      </c>
    </row>
    <row r="544" spans="1:6" hidden="1" x14ac:dyDescent="0.25">
      <c r="A544" s="16">
        <v>42790</v>
      </c>
      <c r="B544" s="13" t="s">
        <v>652</v>
      </c>
      <c r="C544" s="13">
        <v>44</v>
      </c>
      <c r="D544" s="13">
        <v>439.58</v>
      </c>
      <c r="E544" s="13" t="s">
        <v>71</v>
      </c>
      <c r="F544" s="13">
        <v>539</v>
      </c>
    </row>
    <row r="545" spans="1:6" hidden="1" x14ac:dyDescent="0.25">
      <c r="A545" s="16">
        <v>42790</v>
      </c>
      <c r="B545" s="13" t="s">
        <v>653</v>
      </c>
      <c r="C545" s="13">
        <v>35</v>
      </c>
      <c r="D545" s="13">
        <v>854.6</v>
      </c>
      <c r="E545" s="13" t="s">
        <v>71</v>
      </c>
      <c r="F545" s="13">
        <v>540</v>
      </c>
    </row>
    <row r="546" spans="1:6" hidden="1" x14ac:dyDescent="0.25">
      <c r="A546" s="16">
        <v>42790</v>
      </c>
      <c r="B546" s="13" t="s">
        <v>654</v>
      </c>
      <c r="C546" s="13">
        <v>101</v>
      </c>
      <c r="D546" s="13">
        <v>1774.24</v>
      </c>
      <c r="E546" s="13" t="s">
        <v>71</v>
      </c>
      <c r="F546" s="13">
        <v>541</v>
      </c>
    </row>
    <row r="547" spans="1:6" hidden="1" x14ac:dyDescent="0.25">
      <c r="A547" s="16">
        <v>42792</v>
      </c>
      <c r="B547" s="13" t="s">
        <v>655</v>
      </c>
      <c r="C547" s="13">
        <v>37</v>
      </c>
      <c r="D547" s="13">
        <v>664.29</v>
      </c>
      <c r="E547" s="13" t="s">
        <v>71</v>
      </c>
      <c r="F547" s="13">
        <v>542</v>
      </c>
    </row>
    <row r="548" spans="1:6" hidden="1" x14ac:dyDescent="0.25">
      <c r="A548" s="16">
        <v>42792</v>
      </c>
      <c r="B548" s="13" t="s">
        <v>656</v>
      </c>
      <c r="C548" s="13">
        <v>201</v>
      </c>
      <c r="D548" s="13">
        <v>264.77999999999997</v>
      </c>
      <c r="E548" s="13" t="s">
        <v>71</v>
      </c>
      <c r="F548" s="13">
        <v>543</v>
      </c>
    </row>
    <row r="549" spans="1:6" hidden="1" x14ac:dyDescent="0.25">
      <c r="A549" s="16">
        <v>42791</v>
      </c>
      <c r="B549" s="13" t="s">
        <v>657</v>
      </c>
      <c r="C549" s="13">
        <v>201</v>
      </c>
      <c r="D549" s="13">
        <v>384.95</v>
      </c>
      <c r="E549" s="13" t="s">
        <v>71</v>
      </c>
      <c r="F549" s="13">
        <v>544</v>
      </c>
    </row>
    <row r="550" spans="1:6" hidden="1" x14ac:dyDescent="0.25">
      <c r="A550" s="16">
        <v>42791</v>
      </c>
      <c r="B550" s="13" t="s">
        <v>658</v>
      </c>
      <c r="C550" s="13">
        <v>37</v>
      </c>
      <c r="D550" s="13">
        <v>1402.46</v>
      </c>
      <c r="E550" s="13" t="s">
        <v>71</v>
      </c>
      <c r="F550" s="13">
        <v>545</v>
      </c>
    </row>
    <row r="551" spans="1:6" hidden="1" x14ac:dyDescent="0.25">
      <c r="A551" s="16">
        <v>42790</v>
      </c>
      <c r="B551" s="13" t="s">
        <v>659</v>
      </c>
      <c r="C551" s="13">
        <v>201</v>
      </c>
      <c r="D551" s="13">
        <v>224.6</v>
      </c>
      <c r="E551" s="13" t="s">
        <v>71</v>
      </c>
      <c r="F551" s="13">
        <v>546</v>
      </c>
    </row>
    <row r="552" spans="1:6" hidden="1" x14ac:dyDescent="0.25">
      <c r="A552" s="16">
        <v>42790</v>
      </c>
      <c r="B552" s="13" t="s">
        <v>660</v>
      </c>
      <c r="C552" s="13">
        <v>37</v>
      </c>
      <c r="D552" s="13">
        <v>1774.18</v>
      </c>
      <c r="E552" s="13" t="s">
        <v>71</v>
      </c>
      <c r="F552" s="13">
        <v>547</v>
      </c>
    </row>
    <row r="553" spans="1:6" hidden="1" x14ac:dyDescent="0.25">
      <c r="A553" s="16">
        <v>42795</v>
      </c>
      <c r="B553" s="13" t="s">
        <v>661</v>
      </c>
      <c r="C553" s="13">
        <v>41</v>
      </c>
      <c r="D553" s="13">
        <v>429.75</v>
      </c>
      <c r="E553" s="13" t="s">
        <v>71</v>
      </c>
      <c r="F553" s="13">
        <v>548</v>
      </c>
    </row>
    <row r="554" spans="1:6" x14ac:dyDescent="0.25">
      <c r="A554" s="16">
        <v>42795</v>
      </c>
      <c r="B554" s="13" t="s">
        <v>662</v>
      </c>
      <c r="C554" s="13">
        <v>103</v>
      </c>
      <c r="D554" s="13">
        <v>489.7</v>
      </c>
      <c r="E554" s="13" t="s">
        <v>71</v>
      </c>
      <c r="F554" s="13">
        <v>549</v>
      </c>
    </row>
    <row r="555" spans="1:6" hidden="1" x14ac:dyDescent="0.25">
      <c r="A555" s="16">
        <v>42795</v>
      </c>
      <c r="B555" s="13" t="s">
        <v>663</v>
      </c>
      <c r="C555" s="13">
        <v>35</v>
      </c>
      <c r="D555" s="13">
        <v>759.6</v>
      </c>
      <c r="E555" s="13" t="s">
        <v>71</v>
      </c>
      <c r="F555" s="13">
        <v>550</v>
      </c>
    </row>
    <row r="556" spans="1:6" hidden="1" x14ac:dyDescent="0.25">
      <c r="A556" s="16">
        <v>42795</v>
      </c>
      <c r="B556" s="13" t="s">
        <v>664</v>
      </c>
      <c r="C556" s="13">
        <v>44</v>
      </c>
      <c r="D556" s="13">
        <v>309.8</v>
      </c>
      <c r="E556" s="13" t="s">
        <v>71</v>
      </c>
      <c r="F556" s="13">
        <v>551</v>
      </c>
    </row>
    <row r="557" spans="1:6" hidden="1" x14ac:dyDescent="0.25">
      <c r="A557" s="16">
        <v>42795</v>
      </c>
      <c r="B557" s="13" t="s">
        <v>665</v>
      </c>
      <c r="C557" s="13">
        <v>43</v>
      </c>
      <c r="D557" s="13">
        <v>274.83</v>
      </c>
      <c r="E557" s="13" t="s">
        <v>71</v>
      </c>
      <c r="F557" s="13">
        <v>552</v>
      </c>
    </row>
    <row r="558" spans="1:6" hidden="1" x14ac:dyDescent="0.25">
      <c r="A558" s="16">
        <v>42795</v>
      </c>
      <c r="B558" s="13" t="s">
        <v>666</v>
      </c>
      <c r="C558" s="13">
        <v>38</v>
      </c>
      <c r="D558" s="13">
        <v>265</v>
      </c>
      <c r="E558" s="13" t="s">
        <v>71</v>
      </c>
      <c r="F558" s="13">
        <v>553</v>
      </c>
    </row>
    <row r="559" spans="1:6" hidden="1" x14ac:dyDescent="0.25">
      <c r="A559" s="16">
        <v>42795</v>
      </c>
      <c r="B559" s="13" t="s">
        <v>667</v>
      </c>
      <c r="C559" s="13">
        <v>101</v>
      </c>
      <c r="D559" s="13">
        <v>319.89999999999998</v>
      </c>
      <c r="E559" s="13" t="s">
        <v>71</v>
      </c>
      <c r="F559" s="13">
        <v>554</v>
      </c>
    </row>
    <row r="560" spans="1:6" hidden="1" x14ac:dyDescent="0.25">
      <c r="A560" s="16">
        <v>42794</v>
      </c>
      <c r="B560" s="13" t="s">
        <v>668</v>
      </c>
      <c r="C560" s="13">
        <v>43</v>
      </c>
      <c r="D560" s="13">
        <v>429.9</v>
      </c>
      <c r="E560" s="13" t="s">
        <v>71</v>
      </c>
      <c r="F560" s="13">
        <v>555</v>
      </c>
    </row>
    <row r="561" spans="1:6" hidden="1" x14ac:dyDescent="0.25">
      <c r="A561" s="16">
        <v>42794</v>
      </c>
      <c r="B561" s="13" t="s">
        <v>669</v>
      </c>
      <c r="C561" s="13">
        <v>44</v>
      </c>
      <c r="D561" s="13">
        <v>439.85</v>
      </c>
      <c r="E561" s="13" t="s">
        <v>71</v>
      </c>
      <c r="F561" s="13">
        <v>556</v>
      </c>
    </row>
    <row r="562" spans="1:6" hidden="1" x14ac:dyDescent="0.25">
      <c r="A562" s="16">
        <v>42794</v>
      </c>
      <c r="B562" s="13" t="s">
        <v>670</v>
      </c>
      <c r="C562" s="13">
        <v>101</v>
      </c>
      <c r="D562" s="13">
        <v>135</v>
      </c>
      <c r="E562" s="13" t="s">
        <v>71</v>
      </c>
      <c r="F562" s="13">
        <v>557</v>
      </c>
    </row>
    <row r="563" spans="1:6" hidden="1" x14ac:dyDescent="0.25">
      <c r="A563" s="16">
        <v>42794</v>
      </c>
      <c r="B563" s="13" t="s">
        <v>671</v>
      </c>
      <c r="C563" s="13">
        <v>41</v>
      </c>
      <c r="D563" s="13">
        <v>389.95</v>
      </c>
      <c r="E563" s="13" t="s">
        <v>71</v>
      </c>
      <c r="F563" s="13">
        <v>558</v>
      </c>
    </row>
    <row r="564" spans="1:6" x14ac:dyDescent="0.25">
      <c r="A564" s="16">
        <v>42794</v>
      </c>
      <c r="B564" s="13" t="s">
        <v>672</v>
      </c>
      <c r="C564" s="13">
        <v>103</v>
      </c>
      <c r="D564" s="13">
        <v>304.7</v>
      </c>
      <c r="E564" s="13" t="s">
        <v>71</v>
      </c>
      <c r="F564" s="13">
        <v>559</v>
      </c>
    </row>
    <row r="565" spans="1:6" hidden="1" x14ac:dyDescent="0.25">
      <c r="A565" s="1">
        <v>42794</v>
      </c>
      <c r="B565" t="s">
        <v>673</v>
      </c>
      <c r="C565">
        <v>35</v>
      </c>
      <c r="D565">
        <v>812.8</v>
      </c>
      <c r="F565">
        <v>560</v>
      </c>
    </row>
    <row r="566" spans="1:6" hidden="1" x14ac:dyDescent="0.25">
      <c r="A566" s="16">
        <v>42794</v>
      </c>
      <c r="B566" s="13" t="s">
        <v>673</v>
      </c>
      <c r="C566" s="13">
        <v>35</v>
      </c>
      <c r="D566" s="13">
        <v>772.8</v>
      </c>
      <c r="E566" s="13" t="s">
        <v>71</v>
      </c>
      <c r="F566" s="13">
        <v>575</v>
      </c>
    </row>
    <row r="567" spans="1:6" hidden="1" x14ac:dyDescent="0.25">
      <c r="A567" s="16">
        <v>42794</v>
      </c>
      <c r="B567" s="13" t="s">
        <v>674</v>
      </c>
      <c r="C567" s="13">
        <v>38</v>
      </c>
      <c r="D567" s="13">
        <v>414.9</v>
      </c>
      <c r="E567" s="13" t="s">
        <v>71</v>
      </c>
      <c r="F567" s="13">
        <v>561</v>
      </c>
    </row>
    <row r="568" spans="1:6" x14ac:dyDescent="0.25">
      <c r="A568" s="16">
        <v>42793</v>
      </c>
      <c r="B568" s="13" t="s">
        <v>675</v>
      </c>
      <c r="C568" s="13">
        <v>103</v>
      </c>
      <c r="D568" s="13">
        <v>469.48</v>
      </c>
      <c r="E568" s="13" t="s">
        <v>71</v>
      </c>
      <c r="F568" s="13">
        <v>562</v>
      </c>
    </row>
    <row r="569" spans="1:6" hidden="1" x14ac:dyDescent="0.25">
      <c r="A569" s="16">
        <v>42793</v>
      </c>
      <c r="B569" s="13" t="s">
        <v>676</v>
      </c>
      <c r="C569" s="13">
        <v>38</v>
      </c>
      <c r="D569" s="13">
        <v>400.03</v>
      </c>
      <c r="E569" s="13" t="s">
        <v>71</v>
      </c>
      <c r="F569" s="13">
        <v>563</v>
      </c>
    </row>
    <row r="570" spans="1:6" hidden="1" x14ac:dyDescent="0.25">
      <c r="A570" s="16">
        <v>42793</v>
      </c>
      <c r="B570" s="13" t="s">
        <v>677</v>
      </c>
      <c r="C570" s="13">
        <v>35</v>
      </c>
      <c r="D570" s="13">
        <v>789.95</v>
      </c>
      <c r="E570" s="13" t="s">
        <v>71</v>
      </c>
      <c r="F570" s="13">
        <v>564</v>
      </c>
    </row>
    <row r="571" spans="1:6" hidden="1" x14ac:dyDescent="0.25">
      <c r="A571" s="16">
        <v>42793</v>
      </c>
      <c r="B571" s="13" t="s">
        <v>678</v>
      </c>
      <c r="C571" s="13">
        <v>43</v>
      </c>
      <c r="D571" s="13">
        <v>316.62</v>
      </c>
      <c r="E571" s="13" t="s">
        <v>71</v>
      </c>
      <c r="F571" s="13">
        <v>565</v>
      </c>
    </row>
    <row r="572" spans="1:6" hidden="1" x14ac:dyDescent="0.25">
      <c r="A572" s="16">
        <v>42793</v>
      </c>
      <c r="B572" s="13" t="s">
        <v>679</v>
      </c>
      <c r="C572" s="13">
        <v>101</v>
      </c>
      <c r="D572" s="13">
        <v>394.65</v>
      </c>
      <c r="E572" s="13" t="s">
        <v>71</v>
      </c>
      <c r="F572" s="13">
        <v>566</v>
      </c>
    </row>
    <row r="573" spans="1:6" hidden="1" x14ac:dyDescent="0.25">
      <c r="A573" s="16">
        <v>42793</v>
      </c>
      <c r="B573" s="13" t="s">
        <v>680</v>
      </c>
      <c r="C573" s="13">
        <v>41</v>
      </c>
      <c r="D573" s="13">
        <v>600.79999999999995</v>
      </c>
      <c r="E573" s="13" t="s">
        <v>71</v>
      </c>
      <c r="F573" s="13">
        <v>567</v>
      </c>
    </row>
    <row r="574" spans="1:6" hidden="1" x14ac:dyDescent="0.25">
      <c r="A574" s="16">
        <v>42793</v>
      </c>
      <c r="B574" s="13" t="s">
        <v>681</v>
      </c>
      <c r="C574" s="13">
        <v>44</v>
      </c>
      <c r="D574" s="13">
        <v>239.83</v>
      </c>
      <c r="E574" s="13" t="s">
        <v>71</v>
      </c>
      <c r="F574" s="13">
        <v>568</v>
      </c>
    </row>
    <row r="575" spans="1:6" hidden="1" x14ac:dyDescent="0.25">
      <c r="A575" s="16">
        <v>42795</v>
      </c>
      <c r="B575" s="13" t="s">
        <v>683</v>
      </c>
      <c r="C575" s="13">
        <v>201</v>
      </c>
      <c r="D575" s="13">
        <v>379.88</v>
      </c>
      <c r="E575" s="13" t="s">
        <v>71</v>
      </c>
      <c r="F575" s="13">
        <v>569</v>
      </c>
    </row>
    <row r="576" spans="1:6" hidden="1" x14ac:dyDescent="0.25">
      <c r="A576" s="16">
        <v>42795</v>
      </c>
      <c r="B576" s="13" t="s">
        <v>684</v>
      </c>
      <c r="C576" s="13">
        <v>37</v>
      </c>
      <c r="D576" s="13">
        <v>473.75</v>
      </c>
      <c r="E576" s="13" t="s">
        <v>71</v>
      </c>
      <c r="F576" s="13">
        <v>570</v>
      </c>
    </row>
    <row r="577" spans="1:6" hidden="1" x14ac:dyDescent="0.25">
      <c r="A577" s="16">
        <v>42794</v>
      </c>
      <c r="B577" s="13" t="s">
        <v>685</v>
      </c>
      <c r="C577" s="13">
        <v>201</v>
      </c>
      <c r="D577" s="13">
        <v>349</v>
      </c>
      <c r="E577" s="13" t="s">
        <v>71</v>
      </c>
      <c r="F577" s="13">
        <v>571</v>
      </c>
    </row>
    <row r="578" spans="1:6" hidden="1" x14ac:dyDescent="0.25">
      <c r="A578" s="16">
        <v>42794</v>
      </c>
      <c r="B578" s="13" t="s">
        <v>686</v>
      </c>
      <c r="C578" s="13">
        <v>37</v>
      </c>
      <c r="D578" s="13">
        <v>324</v>
      </c>
      <c r="E578" s="13" t="s">
        <v>71</v>
      </c>
      <c r="F578" s="13">
        <v>572</v>
      </c>
    </row>
    <row r="579" spans="1:6" hidden="1" x14ac:dyDescent="0.25">
      <c r="A579" s="16">
        <v>42793</v>
      </c>
      <c r="B579" s="13" t="s">
        <v>688</v>
      </c>
      <c r="C579" s="13">
        <v>201</v>
      </c>
      <c r="D579" s="13">
        <v>240</v>
      </c>
      <c r="E579" s="13" t="s">
        <v>71</v>
      </c>
      <c r="F579" s="13">
        <v>573</v>
      </c>
    </row>
    <row r="580" spans="1:6" hidden="1" x14ac:dyDescent="0.25">
      <c r="A580" s="16">
        <v>42793</v>
      </c>
      <c r="B580" s="13" t="s">
        <v>689</v>
      </c>
      <c r="C580" s="13">
        <v>37</v>
      </c>
      <c r="D580" s="13">
        <v>379.65</v>
      </c>
      <c r="E580" s="13" t="s">
        <v>71</v>
      </c>
      <c r="F580" s="13">
        <v>574</v>
      </c>
    </row>
    <row r="581" spans="1:6" x14ac:dyDescent="0.25">
      <c r="A581" s="16">
        <v>42796</v>
      </c>
      <c r="B581" s="13" t="s">
        <v>691</v>
      </c>
      <c r="C581" s="13">
        <v>103</v>
      </c>
      <c r="D581" s="13">
        <v>972.65</v>
      </c>
      <c r="E581" s="13" t="s">
        <v>71</v>
      </c>
      <c r="F581" s="13">
        <v>576</v>
      </c>
    </row>
    <row r="582" spans="1:6" hidden="1" x14ac:dyDescent="0.25">
      <c r="A582" s="16">
        <v>42796</v>
      </c>
      <c r="B582" s="13" t="s">
        <v>692</v>
      </c>
      <c r="C582" s="13">
        <v>44</v>
      </c>
      <c r="D582" s="13">
        <v>439.8</v>
      </c>
      <c r="E582" s="13" t="s">
        <v>71</v>
      </c>
      <c r="F582" s="13">
        <v>577</v>
      </c>
    </row>
    <row r="583" spans="1:6" hidden="1" x14ac:dyDescent="0.25">
      <c r="A583" s="16">
        <v>42796</v>
      </c>
      <c r="B583" s="13" t="s">
        <v>693</v>
      </c>
      <c r="C583" s="13">
        <v>38</v>
      </c>
      <c r="D583" s="13">
        <v>979.93</v>
      </c>
      <c r="E583" s="13" t="s">
        <v>71</v>
      </c>
      <c r="F583" s="13">
        <v>578</v>
      </c>
    </row>
    <row r="584" spans="1:6" hidden="1" x14ac:dyDescent="0.25">
      <c r="A584" s="16">
        <v>42796</v>
      </c>
      <c r="B584" s="13" t="s">
        <v>694</v>
      </c>
      <c r="C584" s="13">
        <v>41</v>
      </c>
      <c r="D584" s="13">
        <v>755.78</v>
      </c>
      <c r="E584" s="13" t="s">
        <v>71</v>
      </c>
      <c r="F584" s="13">
        <v>579</v>
      </c>
    </row>
    <row r="585" spans="1:6" hidden="1" x14ac:dyDescent="0.25">
      <c r="A585" s="16">
        <v>42796</v>
      </c>
      <c r="B585" s="13" t="s">
        <v>695</v>
      </c>
      <c r="C585" s="13">
        <v>35</v>
      </c>
      <c r="D585" s="13">
        <v>1354.78</v>
      </c>
      <c r="E585" s="13" t="s">
        <v>71</v>
      </c>
      <c r="F585" s="13">
        <v>580</v>
      </c>
    </row>
    <row r="586" spans="1:6" hidden="1" x14ac:dyDescent="0.25">
      <c r="A586" s="16">
        <v>42796</v>
      </c>
      <c r="B586" s="13" t="s">
        <v>696</v>
      </c>
      <c r="C586" s="13">
        <v>101</v>
      </c>
      <c r="D586" s="13">
        <v>349.9</v>
      </c>
      <c r="E586" s="13" t="s">
        <v>71</v>
      </c>
      <c r="F586" s="13">
        <v>581</v>
      </c>
    </row>
    <row r="587" spans="1:6" hidden="1" x14ac:dyDescent="0.25">
      <c r="A587" s="16">
        <v>42796</v>
      </c>
      <c r="B587" s="13" t="s">
        <v>697</v>
      </c>
      <c r="C587" s="13">
        <v>43</v>
      </c>
      <c r="D587" s="13">
        <v>325</v>
      </c>
      <c r="E587" s="13" t="s">
        <v>71</v>
      </c>
      <c r="F587" s="13">
        <v>582</v>
      </c>
    </row>
    <row r="588" spans="1:6" hidden="1" x14ac:dyDescent="0.25">
      <c r="A588" s="16">
        <v>42796</v>
      </c>
      <c r="B588" s="13" t="s">
        <v>698</v>
      </c>
      <c r="C588" s="13">
        <v>201</v>
      </c>
      <c r="D588" s="13">
        <v>549.44000000000005</v>
      </c>
      <c r="E588" s="13" t="s">
        <v>71</v>
      </c>
      <c r="F588" s="13">
        <v>583</v>
      </c>
    </row>
    <row r="589" spans="1:6" hidden="1" x14ac:dyDescent="0.25">
      <c r="A589" s="16">
        <v>42796</v>
      </c>
      <c r="B589" s="13" t="s">
        <v>699</v>
      </c>
      <c r="C589" s="13">
        <v>37</v>
      </c>
      <c r="D589" s="13">
        <v>983.35</v>
      </c>
      <c r="E589" s="13" t="s">
        <v>71</v>
      </c>
      <c r="F589" s="13">
        <v>584</v>
      </c>
    </row>
    <row r="590" spans="1:6" hidden="1" x14ac:dyDescent="0.25">
      <c r="A590" s="16">
        <v>42799</v>
      </c>
      <c r="B590" s="13" t="s">
        <v>701</v>
      </c>
      <c r="C590" s="13">
        <v>41</v>
      </c>
      <c r="D590" s="13">
        <v>269.94</v>
      </c>
      <c r="E590" s="13" t="s">
        <v>71</v>
      </c>
      <c r="F590" s="13">
        <v>585</v>
      </c>
    </row>
    <row r="591" spans="1:6" hidden="1" x14ac:dyDescent="0.25">
      <c r="A591" s="16">
        <v>42799</v>
      </c>
      <c r="B591" s="13" t="s">
        <v>702</v>
      </c>
      <c r="C591" s="13">
        <v>101</v>
      </c>
      <c r="D591" s="13">
        <v>414.6</v>
      </c>
      <c r="E591" s="13" t="s">
        <v>71</v>
      </c>
      <c r="F591" s="13">
        <v>586</v>
      </c>
    </row>
    <row r="592" spans="1:6" hidden="1" x14ac:dyDescent="0.25">
      <c r="A592" s="16">
        <v>42799</v>
      </c>
      <c r="B592" s="13" t="s">
        <v>703</v>
      </c>
      <c r="C592" s="13">
        <v>44</v>
      </c>
      <c r="D592" s="13">
        <v>179.91</v>
      </c>
      <c r="E592" s="13" t="s">
        <v>71</v>
      </c>
      <c r="F592" s="13">
        <v>587</v>
      </c>
    </row>
    <row r="593" spans="1:6" hidden="1" x14ac:dyDescent="0.25">
      <c r="A593" s="16">
        <v>42799</v>
      </c>
      <c r="B593" s="13" t="s">
        <v>704</v>
      </c>
      <c r="C593" s="13">
        <v>38</v>
      </c>
      <c r="D593" s="13">
        <v>504.92</v>
      </c>
      <c r="E593" s="13" t="s">
        <v>71</v>
      </c>
      <c r="F593" s="13">
        <v>588</v>
      </c>
    </row>
    <row r="594" spans="1:6" x14ac:dyDescent="0.25">
      <c r="A594" s="16">
        <v>42799</v>
      </c>
      <c r="B594" s="13" t="s">
        <v>705</v>
      </c>
      <c r="C594" s="13">
        <v>103</v>
      </c>
      <c r="D594" s="13">
        <v>374.91</v>
      </c>
      <c r="E594" s="13" t="s">
        <v>71</v>
      </c>
      <c r="F594" s="13">
        <v>589</v>
      </c>
    </row>
    <row r="595" spans="1:6" hidden="1" x14ac:dyDescent="0.25">
      <c r="A595" s="16">
        <v>42799</v>
      </c>
      <c r="B595" s="13" t="s">
        <v>706</v>
      </c>
      <c r="C595" s="13">
        <v>43</v>
      </c>
      <c r="D595" s="13">
        <v>289.7</v>
      </c>
      <c r="E595" s="13" t="s">
        <v>71</v>
      </c>
      <c r="F595" s="13">
        <v>590</v>
      </c>
    </row>
    <row r="596" spans="1:6" hidden="1" x14ac:dyDescent="0.25">
      <c r="A596" s="16">
        <v>42798</v>
      </c>
      <c r="B596" s="13" t="s">
        <v>707</v>
      </c>
      <c r="C596" s="13">
        <v>35</v>
      </c>
      <c r="D596" s="13">
        <v>752.68</v>
      </c>
      <c r="E596" s="13" t="s">
        <v>71</v>
      </c>
      <c r="F596" s="13">
        <v>591</v>
      </c>
    </row>
    <row r="597" spans="1:6" x14ac:dyDescent="0.25">
      <c r="A597" s="16">
        <v>42798</v>
      </c>
      <c r="B597" s="13" t="s">
        <v>708</v>
      </c>
      <c r="C597" s="13">
        <v>103</v>
      </c>
      <c r="D597" s="13">
        <v>564.91</v>
      </c>
      <c r="E597" s="13" t="s">
        <v>71</v>
      </c>
      <c r="F597" s="13">
        <v>592</v>
      </c>
    </row>
    <row r="598" spans="1:6" hidden="1" x14ac:dyDescent="0.25">
      <c r="A598" s="16">
        <v>42798</v>
      </c>
      <c r="B598" s="13" t="s">
        <v>709</v>
      </c>
      <c r="C598" s="13">
        <v>44</v>
      </c>
      <c r="D598" s="13">
        <v>149.93</v>
      </c>
      <c r="E598" s="13" t="s">
        <v>71</v>
      </c>
      <c r="F598" s="13">
        <v>593</v>
      </c>
    </row>
    <row r="599" spans="1:6" hidden="1" x14ac:dyDescent="0.25">
      <c r="A599" s="16">
        <v>42798</v>
      </c>
      <c r="B599" s="13" t="s">
        <v>710</v>
      </c>
      <c r="C599" s="13">
        <v>43</v>
      </c>
      <c r="D599" s="13">
        <v>604.77</v>
      </c>
      <c r="E599" s="13" t="s">
        <v>71</v>
      </c>
      <c r="F599" s="13">
        <v>594</v>
      </c>
    </row>
    <row r="600" spans="1:6" hidden="1" x14ac:dyDescent="0.25">
      <c r="A600" s="16">
        <v>42798</v>
      </c>
      <c r="B600" s="13" t="s">
        <v>711</v>
      </c>
      <c r="C600" s="13">
        <v>38</v>
      </c>
      <c r="D600" s="13">
        <v>869.89</v>
      </c>
      <c r="E600" s="13" t="s">
        <v>71</v>
      </c>
      <c r="F600" s="13">
        <v>595</v>
      </c>
    </row>
    <row r="601" spans="1:6" hidden="1" x14ac:dyDescent="0.25">
      <c r="A601" s="16">
        <v>42798</v>
      </c>
      <c r="B601" s="13" t="s">
        <v>712</v>
      </c>
      <c r="C601" s="13">
        <v>101</v>
      </c>
      <c r="D601" s="13">
        <v>244.74</v>
      </c>
      <c r="E601" s="13" t="s">
        <v>71</v>
      </c>
      <c r="F601" s="13">
        <v>596</v>
      </c>
    </row>
    <row r="602" spans="1:6" hidden="1" x14ac:dyDescent="0.25">
      <c r="A602" s="16">
        <v>42798</v>
      </c>
      <c r="B602" s="13" t="s">
        <v>713</v>
      </c>
      <c r="C602" s="13">
        <v>41</v>
      </c>
      <c r="D602" s="13">
        <v>919.32</v>
      </c>
      <c r="E602" s="13" t="s">
        <v>71</v>
      </c>
      <c r="F602" s="13">
        <v>597</v>
      </c>
    </row>
    <row r="603" spans="1:6" hidden="1" x14ac:dyDescent="0.25">
      <c r="A603" s="16">
        <v>42797</v>
      </c>
      <c r="B603" s="13" t="s">
        <v>714</v>
      </c>
      <c r="C603" s="13">
        <v>35</v>
      </c>
      <c r="D603" s="13">
        <v>484.86</v>
      </c>
      <c r="E603" s="13" t="s">
        <v>71</v>
      </c>
      <c r="F603" s="13">
        <v>598</v>
      </c>
    </row>
    <row r="604" spans="1:6" hidden="1" x14ac:dyDescent="0.25">
      <c r="A604" s="16">
        <v>42797</v>
      </c>
      <c r="B604" s="13" t="s">
        <v>715</v>
      </c>
      <c r="C604" s="13">
        <v>38</v>
      </c>
      <c r="D604" s="13">
        <v>424.98</v>
      </c>
      <c r="E604" s="13" t="s">
        <v>71</v>
      </c>
      <c r="F604" s="13">
        <v>599</v>
      </c>
    </row>
    <row r="605" spans="1:6" hidden="1" x14ac:dyDescent="0.25">
      <c r="A605" s="16">
        <v>42797</v>
      </c>
      <c r="B605" s="13" t="s">
        <v>716</v>
      </c>
      <c r="C605" s="13">
        <v>101</v>
      </c>
      <c r="D605" s="13">
        <v>259.79000000000002</v>
      </c>
      <c r="E605" s="13" t="s">
        <v>71</v>
      </c>
      <c r="F605" s="13">
        <v>600</v>
      </c>
    </row>
    <row r="606" spans="1:6" x14ac:dyDescent="0.25">
      <c r="A606" s="16">
        <v>42797</v>
      </c>
      <c r="B606" s="13" t="s">
        <v>717</v>
      </c>
      <c r="C606" s="13">
        <v>103</v>
      </c>
      <c r="D606" s="13">
        <v>917.19</v>
      </c>
      <c r="E606" s="13" t="s">
        <v>71</v>
      </c>
      <c r="F606" s="13">
        <v>601</v>
      </c>
    </row>
    <row r="607" spans="1:6" hidden="1" x14ac:dyDescent="0.25">
      <c r="A607" s="16">
        <v>42797</v>
      </c>
      <c r="B607" s="13" t="s">
        <v>718</v>
      </c>
      <c r="C607" s="13">
        <v>44</v>
      </c>
      <c r="D607" s="13">
        <v>239.83</v>
      </c>
      <c r="E607" s="13" t="s">
        <v>71</v>
      </c>
      <c r="F607" s="13">
        <v>602</v>
      </c>
    </row>
    <row r="608" spans="1:6" hidden="1" x14ac:dyDescent="0.25">
      <c r="A608" s="16">
        <v>42797</v>
      </c>
      <c r="B608" s="13" t="s">
        <v>719</v>
      </c>
      <c r="C608" s="13">
        <v>43</v>
      </c>
      <c r="D608" s="13">
        <v>499.69</v>
      </c>
      <c r="E608" s="13" t="s">
        <v>71</v>
      </c>
      <c r="F608" s="13">
        <v>603</v>
      </c>
    </row>
    <row r="609" spans="1:6" hidden="1" x14ac:dyDescent="0.25">
      <c r="A609" s="16">
        <v>42797</v>
      </c>
      <c r="B609" s="13" t="s">
        <v>720</v>
      </c>
      <c r="C609" s="13">
        <v>41</v>
      </c>
      <c r="D609" s="13">
        <v>342.9</v>
      </c>
      <c r="E609" s="13" t="s">
        <v>71</v>
      </c>
      <c r="F609" s="13">
        <v>604</v>
      </c>
    </row>
    <row r="610" spans="1:6" hidden="1" x14ac:dyDescent="0.25">
      <c r="A610" s="16">
        <v>42799</v>
      </c>
      <c r="B610" s="13" t="s">
        <v>721</v>
      </c>
      <c r="C610" s="13">
        <v>201</v>
      </c>
      <c r="D610" s="13">
        <v>197.98</v>
      </c>
      <c r="E610" s="13" t="s">
        <v>71</v>
      </c>
      <c r="F610" s="13">
        <v>605</v>
      </c>
    </row>
    <row r="611" spans="1:6" hidden="1" x14ac:dyDescent="0.25">
      <c r="A611" s="16">
        <v>42799</v>
      </c>
      <c r="B611" s="13" t="s">
        <v>722</v>
      </c>
      <c r="C611" s="13">
        <v>37</v>
      </c>
      <c r="D611" s="13">
        <v>458.88</v>
      </c>
      <c r="E611" s="13" t="s">
        <v>71</v>
      </c>
      <c r="F611" s="13">
        <v>606</v>
      </c>
    </row>
    <row r="612" spans="1:6" hidden="1" x14ac:dyDescent="0.25">
      <c r="A612" s="16">
        <v>42798</v>
      </c>
      <c r="B612" s="13" t="s">
        <v>723</v>
      </c>
      <c r="C612" s="13">
        <v>201</v>
      </c>
      <c r="D612" s="13">
        <v>325.93</v>
      </c>
      <c r="E612" s="13" t="s">
        <v>71</v>
      </c>
      <c r="F612" s="13">
        <v>607</v>
      </c>
    </row>
    <row r="613" spans="1:6" hidden="1" x14ac:dyDescent="0.25">
      <c r="A613" s="16">
        <v>42798</v>
      </c>
      <c r="B613" s="13" t="s">
        <v>724</v>
      </c>
      <c r="C613" s="13">
        <v>37</v>
      </c>
      <c r="D613" s="13">
        <v>574.05999999999995</v>
      </c>
      <c r="E613" s="13" t="s">
        <v>71</v>
      </c>
      <c r="F613" s="13">
        <v>608</v>
      </c>
    </row>
    <row r="614" spans="1:6" hidden="1" x14ac:dyDescent="0.25">
      <c r="A614" s="16">
        <v>42797</v>
      </c>
      <c r="B614" s="13" t="s">
        <v>725</v>
      </c>
      <c r="C614" s="13">
        <v>37</v>
      </c>
      <c r="D614" s="13">
        <v>304.75</v>
      </c>
      <c r="E614" s="13" t="s">
        <v>71</v>
      </c>
      <c r="F614" s="13">
        <v>609</v>
      </c>
    </row>
    <row r="615" spans="1:6" hidden="1" x14ac:dyDescent="0.25">
      <c r="A615" s="16">
        <v>42797</v>
      </c>
      <c r="B615" s="13" t="s">
        <v>726</v>
      </c>
      <c r="C615" s="13">
        <v>201</v>
      </c>
      <c r="D615" s="13">
        <v>559.84</v>
      </c>
      <c r="E615" s="13" t="s">
        <v>71</v>
      </c>
      <c r="F615" s="13">
        <v>610</v>
      </c>
    </row>
    <row r="616" spans="1:6" hidden="1" x14ac:dyDescent="0.25">
      <c r="A616" s="16">
        <v>42800</v>
      </c>
      <c r="B616" s="13" t="s">
        <v>728</v>
      </c>
      <c r="C616" s="13">
        <v>101</v>
      </c>
      <c r="D616" s="13">
        <v>224.94</v>
      </c>
      <c r="E616" s="13" t="s">
        <v>71</v>
      </c>
      <c r="F616" s="13">
        <v>611</v>
      </c>
    </row>
    <row r="617" spans="1:6" hidden="1" x14ac:dyDescent="0.25">
      <c r="A617" s="16">
        <v>42800</v>
      </c>
      <c r="B617" s="13" t="s">
        <v>729</v>
      </c>
      <c r="C617" s="13">
        <v>38</v>
      </c>
      <c r="D617" s="13">
        <v>249.85</v>
      </c>
      <c r="E617" s="13" t="s">
        <v>71</v>
      </c>
      <c r="F617" s="13">
        <v>612</v>
      </c>
    </row>
    <row r="618" spans="1:6" x14ac:dyDescent="0.25">
      <c r="A618" s="16">
        <v>42800</v>
      </c>
      <c r="B618" s="13" t="s">
        <v>730</v>
      </c>
      <c r="C618" s="13">
        <v>103</v>
      </c>
      <c r="D618" s="13">
        <v>322.81</v>
      </c>
      <c r="E618" s="13" t="s">
        <v>71</v>
      </c>
      <c r="F618" s="13">
        <v>613</v>
      </c>
    </row>
    <row r="619" spans="1:6" hidden="1" x14ac:dyDescent="0.25">
      <c r="A619" s="16">
        <v>42800</v>
      </c>
      <c r="B619" s="13" t="s">
        <v>731</v>
      </c>
      <c r="C619" s="13">
        <v>35</v>
      </c>
      <c r="D619" s="13">
        <v>1637.53</v>
      </c>
      <c r="E619" s="13" t="s">
        <v>71</v>
      </c>
      <c r="F619" s="13">
        <v>614</v>
      </c>
    </row>
    <row r="620" spans="1:6" hidden="1" x14ac:dyDescent="0.25">
      <c r="A620" s="16">
        <v>42800</v>
      </c>
      <c r="B620" s="13" t="s">
        <v>731</v>
      </c>
      <c r="C620" s="13">
        <v>35</v>
      </c>
      <c r="D620" s="15">
        <v>819.71</v>
      </c>
      <c r="E620" s="13" t="s">
        <v>71</v>
      </c>
      <c r="F620" s="13">
        <v>620</v>
      </c>
    </row>
    <row r="621" spans="1:6" hidden="1" x14ac:dyDescent="0.25">
      <c r="A621" s="16">
        <v>42800</v>
      </c>
      <c r="B621" s="13" t="s">
        <v>731</v>
      </c>
      <c r="C621" s="13">
        <v>35</v>
      </c>
      <c r="D621" s="15">
        <v>817.82</v>
      </c>
      <c r="E621" s="13" t="s">
        <v>71</v>
      </c>
      <c r="F621" s="13">
        <v>621</v>
      </c>
    </row>
    <row r="622" spans="1:6" hidden="1" x14ac:dyDescent="0.25">
      <c r="A622" s="16">
        <v>42800</v>
      </c>
      <c r="B622" s="13" t="s">
        <v>732</v>
      </c>
      <c r="C622" s="13">
        <v>41</v>
      </c>
      <c r="D622" s="13">
        <v>194.94</v>
      </c>
      <c r="E622" s="13" t="s">
        <v>71</v>
      </c>
      <c r="F622" s="13">
        <v>615</v>
      </c>
    </row>
    <row r="623" spans="1:6" hidden="1" x14ac:dyDescent="0.25">
      <c r="A623" s="16">
        <v>42800</v>
      </c>
      <c r="B623" s="13" t="s">
        <v>733</v>
      </c>
      <c r="C623" s="13">
        <v>44</v>
      </c>
      <c r="D623" s="13">
        <v>344.9</v>
      </c>
      <c r="E623" s="13" t="s">
        <v>71</v>
      </c>
      <c r="F623" s="13">
        <v>616</v>
      </c>
    </row>
    <row r="624" spans="1:6" hidden="1" x14ac:dyDescent="0.25">
      <c r="A624" s="16">
        <v>42800</v>
      </c>
      <c r="B624" s="13" t="s">
        <v>734</v>
      </c>
      <c r="C624" s="13">
        <v>43</v>
      </c>
      <c r="D624" s="13">
        <v>229.83</v>
      </c>
      <c r="E624" s="13" t="s">
        <v>71</v>
      </c>
      <c r="F624" s="13">
        <v>617</v>
      </c>
    </row>
    <row r="625" spans="1:6" hidden="1" x14ac:dyDescent="0.25">
      <c r="A625" s="16">
        <v>42800</v>
      </c>
      <c r="B625" s="13" t="s">
        <v>736</v>
      </c>
      <c r="C625" s="13">
        <v>201</v>
      </c>
      <c r="D625" s="13">
        <v>155</v>
      </c>
      <c r="E625" s="13" t="s">
        <v>71</v>
      </c>
      <c r="F625" s="13">
        <v>618</v>
      </c>
    </row>
    <row r="626" spans="1:6" hidden="1" x14ac:dyDescent="0.25">
      <c r="A626" s="16">
        <v>42800</v>
      </c>
      <c r="B626" s="13" t="s">
        <v>737</v>
      </c>
      <c r="C626" s="13">
        <v>37</v>
      </c>
      <c r="D626" s="13">
        <v>329.34</v>
      </c>
      <c r="E626" s="13" t="s">
        <v>71</v>
      </c>
      <c r="F626" s="13">
        <v>619</v>
      </c>
    </row>
    <row r="627" spans="1:6" hidden="1" x14ac:dyDescent="0.25">
      <c r="A627" s="16">
        <v>42801</v>
      </c>
      <c r="B627" s="13" t="s">
        <v>738</v>
      </c>
      <c r="C627" s="13">
        <v>38</v>
      </c>
      <c r="D627" s="13">
        <v>234.83</v>
      </c>
      <c r="E627" s="13" t="s">
        <v>71</v>
      </c>
      <c r="F627" s="13">
        <v>622</v>
      </c>
    </row>
    <row r="628" spans="1:6" hidden="1" x14ac:dyDescent="0.25">
      <c r="A628" s="16">
        <v>42801</v>
      </c>
      <c r="B628" s="13" t="s">
        <v>739</v>
      </c>
      <c r="C628" s="13">
        <v>101</v>
      </c>
      <c r="D628" s="13">
        <v>179.78</v>
      </c>
      <c r="E628" s="13" t="s">
        <v>71</v>
      </c>
      <c r="F628" s="13">
        <v>623</v>
      </c>
    </row>
    <row r="629" spans="1:6" hidden="1" x14ac:dyDescent="0.25">
      <c r="A629" s="16">
        <v>42801</v>
      </c>
      <c r="B629" s="13" t="s">
        <v>740</v>
      </c>
      <c r="C629" s="13">
        <v>35</v>
      </c>
      <c r="D629" s="13">
        <v>364.93</v>
      </c>
      <c r="E629" s="13" t="s">
        <v>71</v>
      </c>
      <c r="F629" s="13">
        <v>624</v>
      </c>
    </row>
    <row r="630" spans="1:6" hidden="1" x14ac:dyDescent="0.25">
      <c r="A630" s="16">
        <v>42801</v>
      </c>
      <c r="B630" s="13" t="s">
        <v>741</v>
      </c>
      <c r="C630" s="13">
        <v>43</v>
      </c>
      <c r="D630" s="13">
        <v>247.87</v>
      </c>
      <c r="E630" s="13" t="s">
        <v>71</v>
      </c>
      <c r="F630" s="13">
        <v>625</v>
      </c>
    </row>
    <row r="631" spans="1:6" hidden="1" x14ac:dyDescent="0.25">
      <c r="A631" s="16">
        <v>42801</v>
      </c>
      <c r="B631" s="13" t="s">
        <v>742</v>
      </c>
      <c r="C631" s="13">
        <v>44</v>
      </c>
      <c r="D631" s="13">
        <v>259.83</v>
      </c>
      <c r="E631" s="13" t="s">
        <v>71</v>
      </c>
      <c r="F631" s="13">
        <v>626</v>
      </c>
    </row>
    <row r="632" spans="1:6" hidden="1" x14ac:dyDescent="0.25">
      <c r="A632" s="16">
        <v>42801</v>
      </c>
      <c r="B632" s="13" t="s">
        <v>743</v>
      </c>
      <c r="C632" s="13">
        <v>41</v>
      </c>
      <c r="D632" s="13">
        <v>135.9</v>
      </c>
      <c r="E632" s="13" t="s">
        <v>71</v>
      </c>
      <c r="F632" s="13">
        <v>627</v>
      </c>
    </row>
    <row r="633" spans="1:6" x14ac:dyDescent="0.25">
      <c r="A633" s="16">
        <v>42801</v>
      </c>
      <c r="B633" s="13" t="s">
        <v>744</v>
      </c>
      <c r="C633" s="13">
        <v>103</v>
      </c>
      <c r="D633" s="13">
        <v>339.87</v>
      </c>
      <c r="E633" s="13" t="s">
        <v>71</v>
      </c>
      <c r="F633" s="13">
        <v>628</v>
      </c>
    </row>
    <row r="634" spans="1:6" hidden="1" x14ac:dyDescent="0.25">
      <c r="A634" s="16">
        <v>42801</v>
      </c>
      <c r="B634" s="13" t="s">
        <v>745</v>
      </c>
      <c r="C634" s="13">
        <v>37</v>
      </c>
      <c r="D634" s="13">
        <v>524.23</v>
      </c>
      <c r="E634" s="13" t="s">
        <v>71</v>
      </c>
      <c r="F634" s="13">
        <v>629</v>
      </c>
    </row>
    <row r="635" spans="1:6" hidden="1" x14ac:dyDescent="0.25">
      <c r="A635" s="16">
        <v>42801</v>
      </c>
      <c r="B635" s="13" t="s">
        <v>746</v>
      </c>
      <c r="C635" s="13">
        <v>201</v>
      </c>
      <c r="D635" s="13">
        <v>85</v>
      </c>
      <c r="E635" s="13" t="s">
        <v>71</v>
      </c>
      <c r="F635" s="13">
        <v>630</v>
      </c>
    </row>
    <row r="636" spans="1:6" hidden="1" x14ac:dyDescent="0.25">
      <c r="A636" s="16">
        <v>42802</v>
      </c>
      <c r="B636" s="13" t="s">
        <v>747</v>
      </c>
      <c r="C636" s="13">
        <v>44</v>
      </c>
      <c r="D636" s="13">
        <v>194.93</v>
      </c>
      <c r="E636" s="13" t="s">
        <v>71</v>
      </c>
      <c r="F636" s="13">
        <v>631</v>
      </c>
    </row>
    <row r="637" spans="1:6" x14ac:dyDescent="0.25">
      <c r="A637" s="16">
        <v>42802</v>
      </c>
      <c r="B637" s="13" t="s">
        <v>748</v>
      </c>
      <c r="C637" s="13">
        <v>103</v>
      </c>
      <c r="D637" s="13">
        <v>429.79</v>
      </c>
      <c r="E637" s="13" t="s">
        <v>71</v>
      </c>
      <c r="F637" s="13">
        <v>632</v>
      </c>
    </row>
    <row r="638" spans="1:6" hidden="1" x14ac:dyDescent="0.25">
      <c r="A638" s="16">
        <v>42802</v>
      </c>
      <c r="B638" s="13" t="s">
        <v>749</v>
      </c>
      <c r="C638" s="13">
        <v>43</v>
      </c>
      <c r="D638" s="13">
        <v>269.83999999999997</v>
      </c>
      <c r="E638" s="13" t="s">
        <v>71</v>
      </c>
      <c r="F638" s="13">
        <v>633</v>
      </c>
    </row>
    <row r="639" spans="1:6" hidden="1" x14ac:dyDescent="0.25">
      <c r="A639" s="16">
        <v>42802</v>
      </c>
      <c r="B639" s="13" t="s">
        <v>750</v>
      </c>
      <c r="C639" s="13">
        <v>101</v>
      </c>
      <c r="D639" s="13">
        <v>219.85</v>
      </c>
      <c r="E639" s="13" t="s">
        <v>71</v>
      </c>
      <c r="F639" s="13">
        <v>634</v>
      </c>
    </row>
    <row r="640" spans="1:6" hidden="1" x14ac:dyDescent="0.25">
      <c r="A640" s="16">
        <v>42802</v>
      </c>
      <c r="B640" s="13" t="s">
        <v>751</v>
      </c>
      <c r="C640" s="13">
        <v>35</v>
      </c>
      <c r="D640" s="13">
        <v>629.71</v>
      </c>
      <c r="E640" s="13" t="s">
        <v>71</v>
      </c>
      <c r="F640" s="13">
        <v>635</v>
      </c>
    </row>
    <row r="641" spans="1:6" hidden="1" x14ac:dyDescent="0.25">
      <c r="A641" s="16">
        <v>42802</v>
      </c>
      <c r="B641" s="13" t="s">
        <v>752</v>
      </c>
      <c r="C641" s="13">
        <v>41</v>
      </c>
      <c r="D641" s="13">
        <v>477.79</v>
      </c>
      <c r="E641" s="13" t="s">
        <v>71</v>
      </c>
      <c r="F641" s="13">
        <v>636</v>
      </c>
    </row>
    <row r="642" spans="1:6" hidden="1" x14ac:dyDescent="0.25">
      <c r="A642" s="16">
        <v>42802</v>
      </c>
      <c r="B642" s="13" t="s">
        <v>753</v>
      </c>
      <c r="C642" s="13">
        <v>38</v>
      </c>
      <c r="D642" s="13">
        <v>659.86</v>
      </c>
      <c r="E642" s="13" t="s">
        <v>71</v>
      </c>
      <c r="F642" s="13">
        <v>637</v>
      </c>
    </row>
    <row r="643" spans="1:6" hidden="1" x14ac:dyDescent="0.25">
      <c r="A643" s="16">
        <v>42802</v>
      </c>
      <c r="B643" s="13" t="s">
        <v>754</v>
      </c>
      <c r="C643" s="13">
        <v>37</v>
      </c>
      <c r="D643" s="13">
        <v>509.52</v>
      </c>
      <c r="E643" s="13" t="s">
        <v>71</v>
      </c>
      <c r="F643" s="13">
        <v>638</v>
      </c>
    </row>
    <row r="644" spans="1:6" hidden="1" x14ac:dyDescent="0.25">
      <c r="A644" s="16">
        <v>42802</v>
      </c>
      <c r="B644" s="13" t="s">
        <v>755</v>
      </c>
      <c r="C644" s="13">
        <v>201</v>
      </c>
      <c r="D644" s="13">
        <v>139.85</v>
      </c>
      <c r="E644" s="13" t="s">
        <v>71</v>
      </c>
      <c r="F644" s="13">
        <v>639</v>
      </c>
    </row>
    <row r="645" spans="1:6" x14ac:dyDescent="0.25">
      <c r="A645" s="16">
        <v>42803</v>
      </c>
      <c r="B645" s="13" t="s">
        <v>756</v>
      </c>
      <c r="C645" s="13">
        <v>103</v>
      </c>
      <c r="D645" s="13">
        <v>870.97</v>
      </c>
      <c r="E645" s="13" t="s">
        <v>71</v>
      </c>
      <c r="F645" s="13">
        <v>640</v>
      </c>
    </row>
    <row r="646" spans="1:6" hidden="1" x14ac:dyDescent="0.25">
      <c r="A646" s="16">
        <v>42803</v>
      </c>
      <c r="B646" s="13" t="s">
        <v>757</v>
      </c>
      <c r="C646" s="13">
        <v>44</v>
      </c>
      <c r="D646" s="13">
        <v>714.59</v>
      </c>
      <c r="E646" s="13" t="s">
        <v>71</v>
      </c>
      <c r="F646" s="13">
        <v>641</v>
      </c>
    </row>
    <row r="647" spans="1:6" hidden="1" x14ac:dyDescent="0.25">
      <c r="A647" s="16">
        <v>42803</v>
      </c>
      <c r="B647" s="13" t="s">
        <v>758</v>
      </c>
      <c r="C647" s="13">
        <v>41</v>
      </c>
      <c r="D647" s="13">
        <v>490.78</v>
      </c>
      <c r="E647" s="13" t="s">
        <v>71</v>
      </c>
      <c r="F647" s="13">
        <v>642</v>
      </c>
    </row>
    <row r="648" spans="1:6" hidden="1" x14ac:dyDescent="0.25">
      <c r="A648" s="16">
        <v>42803</v>
      </c>
      <c r="B648" s="13" t="s">
        <v>759</v>
      </c>
      <c r="C648" s="13">
        <v>38</v>
      </c>
      <c r="D648" s="13">
        <v>1192.45</v>
      </c>
      <c r="E648" s="13" t="s">
        <v>71</v>
      </c>
      <c r="F648" s="13">
        <v>643</v>
      </c>
    </row>
    <row r="649" spans="1:6" hidden="1" x14ac:dyDescent="0.25">
      <c r="A649" s="16">
        <v>42803</v>
      </c>
      <c r="B649" s="13" t="s">
        <v>760</v>
      </c>
      <c r="C649" s="13">
        <v>43</v>
      </c>
      <c r="D649" s="13">
        <v>762.62</v>
      </c>
      <c r="E649" s="13" t="s">
        <v>71</v>
      </c>
      <c r="F649" s="13">
        <v>644</v>
      </c>
    </row>
    <row r="650" spans="1:6" hidden="1" x14ac:dyDescent="0.25">
      <c r="A650" s="16">
        <v>42803</v>
      </c>
      <c r="B650" s="13" t="s">
        <v>761</v>
      </c>
      <c r="C650" s="13">
        <v>101</v>
      </c>
      <c r="D650" s="13">
        <v>279.83</v>
      </c>
      <c r="E650" s="13" t="s">
        <v>71</v>
      </c>
      <c r="F650" s="13">
        <v>645</v>
      </c>
    </row>
    <row r="651" spans="1:6" hidden="1" x14ac:dyDescent="0.25">
      <c r="A651" s="16">
        <v>42803</v>
      </c>
      <c r="B651" s="13" t="s">
        <v>762</v>
      </c>
      <c r="C651" s="13">
        <v>35</v>
      </c>
      <c r="D651" s="13">
        <v>714.74</v>
      </c>
      <c r="E651" s="13" t="s">
        <v>71</v>
      </c>
      <c r="F651" s="13">
        <v>646</v>
      </c>
    </row>
    <row r="652" spans="1:6" hidden="1" x14ac:dyDescent="0.25">
      <c r="A652" s="16">
        <v>42803</v>
      </c>
      <c r="B652" s="13" t="s">
        <v>763</v>
      </c>
      <c r="C652" s="13">
        <v>37</v>
      </c>
      <c r="D652" s="13">
        <v>807.33</v>
      </c>
      <c r="E652" s="13" t="s">
        <v>71</v>
      </c>
      <c r="F652" s="13">
        <v>647</v>
      </c>
    </row>
    <row r="653" spans="1:6" hidden="1" x14ac:dyDescent="0.25">
      <c r="A653" s="16">
        <v>42803</v>
      </c>
      <c r="B653" s="13" t="s">
        <v>764</v>
      </c>
      <c r="C653" s="13">
        <v>201</v>
      </c>
      <c r="D653" s="13">
        <v>307.83</v>
      </c>
      <c r="E653" s="13" t="s">
        <v>71</v>
      </c>
      <c r="F653" s="13">
        <v>648</v>
      </c>
    </row>
    <row r="654" spans="1:6" hidden="1" x14ac:dyDescent="0.25">
      <c r="A654" s="16">
        <v>42806</v>
      </c>
      <c r="B654" s="13" t="s">
        <v>765</v>
      </c>
      <c r="C654" s="13">
        <v>101</v>
      </c>
      <c r="D654" s="13">
        <v>254.82</v>
      </c>
      <c r="E654" s="13" t="s">
        <v>71</v>
      </c>
      <c r="F654" s="13">
        <v>649</v>
      </c>
    </row>
    <row r="655" spans="1:6" hidden="1" x14ac:dyDescent="0.25">
      <c r="A655" s="16">
        <v>42806</v>
      </c>
      <c r="B655" s="13" t="s">
        <v>766</v>
      </c>
      <c r="C655" s="13">
        <v>35</v>
      </c>
      <c r="D655" s="13">
        <v>252.88</v>
      </c>
      <c r="E655" s="13" t="s">
        <v>71</v>
      </c>
      <c r="F655" s="13">
        <v>650</v>
      </c>
    </row>
    <row r="656" spans="1:6" x14ac:dyDescent="0.25">
      <c r="A656" s="16">
        <v>42806</v>
      </c>
      <c r="B656" s="13" t="s">
        <v>767</v>
      </c>
      <c r="C656" s="13">
        <v>103</v>
      </c>
      <c r="D656" s="13">
        <v>300.89999999999998</v>
      </c>
      <c r="E656" s="13" t="s">
        <v>71</v>
      </c>
      <c r="F656" s="13">
        <v>651</v>
      </c>
    </row>
    <row r="657" spans="1:6" hidden="1" x14ac:dyDescent="0.25">
      <c r="A657" s="16">
        <v>42806</v>
      </c>
      <c r="B657" s="13" t="s">
        <v>768</v>
      </c>
      <c r="C657" s="13">
        <v>41</v>
      </c>
      <c r="D657" s="13">
        <v>107.85</v>
      </c>
      <c r="E657" s="13" t="s">
        <v>71</v>
      </c>
      <c r="F657" s="13">
        <v>652</v>
      </c>
    </row>
    <row r="658" spans="1:6" hidden="1" x14ac:dyDescent="0.25">
      <c r="A658" s="16">
        <v>42806</v>
      </c>
      <c r="B658" s="13" t="s">
        <v>769</v>
      </c>
      <c r="C658" s="13">
        <v>44</v>
      </c>
      <c r="D658" s="13">
        <v>155.44999999999999</v>
      </c>
      <c r="E658" s="13" t="s">
        <v>71</v>
      </c>
      <c r="F658" s="13">
        <v>653</v>
      </c>
    </row>
    <row r="659" spans="1:6" hidden="1" x14ac:dyDescent="0.25">
      <c r="A659" s="16">
        <v>42806</v>
      </c>
      <c r="B659" s="13" t="s">
        <v>770</v>
      </c>
      <c r="C659" s="13">
        <v>43</v>
      </c>
      <c r="D659" s="13">
        <v>89.95</v>
      </c>
      <c r="E659" s="13" t="s">
        <v>71</v>
      </c>
      <c r="F659" s="13">
        <v>654</v>
      </c>
    </row>
    <row r="660" spans="1:6" hidden="1" x14ac:dyDescent="0.25">
      <c r="A660" s="16">
        <v>42806</v>
      </c>
      <c r="B660" s="13" t="s">
        <v>771</v>
      </c>
      <c r="C660" s="13">
        <v>38</v>
      </c>
      <c r="D660" s="13">
        <v>234.83</v>
      </c>
      <c r="E660" s="13" t="s">
        <v>71</v>
      </c>
      <c r="F660" s="13">
        <v>655</v>
      </c>
    </row>
    <row r="661" spans="1:6" hidden="1" x14ac:dyDescent="0.25">
      <c r="A661" s="16">
        <v>42805</v>
      </c>
      <c r="B661" s="13" t="s">
        <v>772</v>
      </c>
      <c r="C661" s="13">
        <v>101</v>
      </c>
      <c r="D661" s="13">
        <v>440.68</v>
      </c>
      <c r="E661" s="13" t="s">
        <v>71</v>
      </c>
      <c r="F661" s="13">
        <v>656</v>
      </c>
    </row>
    <row r="662" spans="1:6" x14ac:dyDescent="0.25">
      <c r="A662" s="16">
        <v>42805</v>
      </c>
      <c r="B662" s="13" t="s">
        <v>773</v>
      </c>
      <c r="C662" s="13">
        <v>103</v>
      </c>
      <c r="D662" s="13">
        <v>973.13</v>
      </c>
      <c r="E662" s="13" t="s">
        <v>71</v>
      </c>
      <c r="F662" s="13">
        <v>657</v>
      </c>
    </row>
    <row r="663" spans="1:6" hidden="1" x14ac:dyDescent="0.25">
      <c r="A663" s="16">
        <v>42805</v>
      </c>
      <c r="B663" s="13" t="s">
        <v>774</v>
      </c>
      <c r="C663" s="13">
        <v>43</v>
      </c>
      <c r="D663" s="13">
        <v>349.71</v>
      </c>
      <c r="E663" s="13" t="s">
        <v>71</v>
      </c>
      <c r="F663" s="13">
        <v>658</v>
      </c>
    </row>
    <row r="664" spans="1:6" hidden="1" x14ac:dyDescent="0.25">
      <c r="A664" s="16">
        <v>42805</v>
      </c>
      <c r="B664" s="13" t="s">
        <v>775</v>
      </c>
      <c r="C664" s="13">
        <v>41</v>
      </c>
      <c r="D664" s="13">
        <v>458.47</v>
      </c>
      <c r="E664" s="13" t="s">
        <v>71</v>
      </c>
      <c r="F664" s="13">
        <v>659</v>
      </c>
    </row>
    <row r="665" spans="1:6" hidden="1" x14ac:dyDescent="0.25">
      <c r="A665" s="16">
        <v>42805</v>
      </c>
      <c r="B665" s="13" t="s">
        <v>776</v>
      </c>
      <c r="C665" s="13">
        <v>44</v>
      </c>
      <c r="D665" s="13">
        <v>575.54</v>
      </c>
      <c r="E665" s="13" t="s">
        <v>71</v>
      </c>
      <c r="F665" s="13">
        <v>660</v>
      </c>
    </row>
    <row r="666" spans="1:6" hidden="1" x14ac:dyDescent="0.25">
      <c r="A666" s="16">
        <v>42805</v>
      </c>
      <c r="B666" s="13" t="s">
        <v>777</v>
      </c>
      <c r="C666" s="13">
        <v>38</v>
      </c>
      <c r="D666" s="13">
        <v>654.74</v>
      </c>
      <c r="E666" s="13" t="s">
        <v>71</v>
      </c>
      <c r="F666" s="13">
        <v>661</v>
      </c>
    </row>
    <row r="667" spans="1:6" hidden="1" x14ac:dyDescent="0.25">
      <c r="A667" s="16">
        <v>42805</v>
      </c>
      <c r="B667" s="13" t="s">
        <v>778</v>
      </c>
      <c r="C667" s="13">
        <v>35</v>
      </c>
      <c r="D667" s="13">
        <v>726.27</v>
      </c>
      <c r="E667" s="13" t="s">
        <v>71</v>
      </c>
      <c r="F667" s="13">
        <v>662</v>
      </c>
    </row>
    <row r="668" spans="1:6" hidden="1" x14ac:dyDescent="0.25">
      <c r="A668" s="16">
        <v>42804</v>
      </c>
      <c r="B668" s="13" t="s">
        <v>779</v>
      </c>
      <c r="C668" s="13">
        <v>35</v>
      </c>
      <c r="D668" s="13">
        <v>1113.73</v>
      </c>
      <c r="E668" s="13" t="s">
        <v>71</v>
      </c>
      <c r="F668" s="13">
        <v>663</v>
      </c>
    </row>
    <row r="669" spans="1:6" hidden="1" x14ac:dyDescent="0.25">
      <c r="A669" s="16">
        <v>42804</v>
      </c>
      <c r="B669" s="13" t="s">
        <v>780</v>
      </c>
      <c r="C669" s="13">
        <v>101</v>
      </c>
      <c r="D669" s="13">
        <v>79.900000000000006</v>
      </c>
      <c r="E669" s="13" t="s">
        <v>71</v>
      </c>
      <c r="F669" s="13">
        <v>664</v>
      </c>
    </row>
    <row r="670" spans="1:6" hidden="1" x14ac:dyDescent="0.25">
      <c r="A670" s="16">
        <v>42804</v>
      </c>
      <c r="B670" s="13" t="s">
        <v>781</v>
      </c>
      <c r="C670" s="13">
        <v>38</v>
      </c>
      <c r="D670" s="13">
        <v>324.74</v>
      </c>
      <c r="E670" s="13" t="s">
        <v>71</v>
      </c>
      <c r="F670" s="13">
        <v>665</v>
      </c>
    </row>
    <row r="671" spans="1:6" hidden="1" x14ac:dyDescent="0.25">
      <c r="A671" s="16">
        <v>42804</v>
      </c>
      <c r="B671" s="13" t="s">
        <v>782</v>
      </c>
      <c r="C671" s="13">
        <v>43</v>
      </c>
      <c r="D671" s="13">
        <v>214.83</v>
      </c>
      <c r="E671" s="13" t="s">
        <v>71</v>
      </c>
      <c r="F671" s="13">
        <v>666</v>
      </c>
    </row>
    <row r="672" spans="1:6" hidden="1" x14ac:dyDescent="0.25">
      <c r="A672" s="16">
        <v>42804</v>
      </c>
      <c r="B672" s="13" t="s">
        <v>783</v>
      </c>
      <c r="C672" s="13">
        <v>44</v>
      </c>
      <c r="D672" s="13">
        <v>414.44</v>
      </c>
      <c r="E672" s="13" t="s">
        <v>71</v>
      </c>
      <c r="F672" s="13">
        <v>667</v>
      </c>
    </row>
    <row r="673" spans="1:6" x14ac:dyDescent="0.25">
      <c r="A673" s="16">
        <v>42804</v>
      </c>
      <c r="B673" s="13" t="s">
        <v>784</v>
      </c>
      <c r="C673" s="13">
        <v>103</v>
      </c>
      <c r="D673" s="13">
        <v>305.77999999999997</v>
      </c>
      <c r="E673" s="13" t="s">
        <v>71</v>
      </c>
      <c r="F673" s="13">
        <v>668</v>
      </c>
    </row>
    <row r="674" spans="1:6" hidden="1" x14ac:dyDescent="0.25">
      <c r="A674" s="16">
        <v>42804</v>
      </c>
      <c r="B674" s="13" t="s">
        <v>785</v>
      </c>
      <c r="C674" s="13">
        <v>41</v>
      </c>
      <c r="D674" s="13">
        <v>444.73</v>
      </c>
      <c r="E674" s="13" t="s">
        <v>71</v>
      </c>
      <c r="F674" s="13">
        <v>669</v>
      </c>
    </row>
    <row r="675" spans="1:6" hidden="1" x14ac:dyDescent="0.25">
      <c r="A675" s="16">
        <v>42806</v>
      </c>
      <c r="B675" s="13" t="s">
        <v>787</v>
      </c>
      <c r="C675" s="13">
        <v>201</v>
      </c>
      <c r="D675" s="13">
        <v>232</v>
      </c>
      <c r="E675" s="13" t="s">
        <v>71</v>
      </c>
      <c r="F675" s="13">
        <v>670</v>
      </c>
    </row>
    <row r="676" spans="1:6" hidden="1" x14ac:dyDescent="0.25">
      <c r="A676" s="16">
        <v>42806</v>
      </c>
      <c r="B676" s="13" t="s">
        <v>788</v>
      </c>
      <c r="C676" s="13">
        <v>37</v>
      </c>
      <c r="D676" s="13">
        <v>285.5</v>
      </c>
      <c r="E676" s="13" t="s">
        <v>71</v>
      </c>
      <c r="F676" s="13">
        <v>671</v>
      </c>
    </row>
    <row r="677" spans="1:6" hidden="1" x14ac:dyDescent="0.25">
      <c r="A677" s="16">
        <v>42805</v>
      </c>
      <c r="B677" s="13" t="s">
        <v>789</v>
      </c>
      <c r="C677" s="13">
        <v>201</v>
      </c>
      <c r="D677" s="13">
        <v>469.05</v>
      </c>
      <c r="E677" s="13" t="s">
        <v>71</v>
      </c>
      <c r="F677" s="13">
        <v>672</v>
      </c>
    </row>
    <row r="678" spans="1:6" hidden="1" x14ac:dyDescent="0.25">
      <c r="A678" s="16">
        <v>42805</v>
      </c>
      <c r="B678" s="13" t="s">
        <v>790</v>
      </c>
      <c r="C678" s="13">
        <v>37</v>
      </c>
      <c r="D678" s="13">
        <v>975.33</v>
      </c>
      <c r="E678" s="13" t="s">
        <v>71</v>
      </c>
      <c r="F678" s="13">
        <v>673</v>
      </c>
    </row>
    <row r="679" spans="1:6" hidden="1" x14ac:dyDescent="0.25">
      <c r="A679" s="16">
        <v>42804</v>
      </c>
      <c r="B679" s="13" t="s">
        <v>791</v>
      </c>
      <c r="C679" s="13">
        <v>201</v>
      </c>
      <c r="D679" s="13">
        <v>319.58</v>
      </c>
      <c r="E679" s="13" t="s">
        <v>71</v>
      </c>
      <c r="F679" s="13">
        <v>674</v>
      </c>
    </row>
    <row r="680" spans="1:6" hidden="1" x14ac:dyDescent="0.25">
      <c r="A680" s="16">
        <v>42804</v>
      </c>
      <c r="B680" s="13" t="s">
        <v>792</v>
      </c>
      <c r="C680" s="13">
        <v>37</v>
      </c>
      <c r="D680" s="13">
        <v>940.05</v>
      </c>
      <c r="E680" s="13" t="s">
        <v>71</v>
      </c>
      <c r="F680" s="13">
        <v>675</v>
      </c>
    </row>
    <row r="681" spans="1:6" x14ac:dyDescent="0.25">
      <c r="A681" s="16">
        <v>42807</v>
      </c>
      <c r="B681" s="13" t="s">
        <v>793</v>
      </c>
      <c r="C681" s="13">
        <v>103</v>
      </c>
      <c r="D681" s="13">
        <v>245.73</v>
      </c>
      <c r="E681" s="13" t="s">
        <v>71</v>
      </c>
      <c r="F681" s="13">
        <v>676</v>
      </c>
    </row>
    <row r="682" spans="1:6" hidden="1" x14ac:dyDescent="0.25">
      <c r="A682" s="16">
        <v>42807</v>
      </c>
      <c r="B682" s="13" t="s">
        <v>794</v>
      </c>
      <c r="C682" s="13">
        <v>44</v>
      </c>
      <c r="D682" s="13">
        <v>139.80000000000001</v>
      </c>
      <c r="E682" s="13" t="s">
        <v>71</v>
      </c>
      <c r="F682" s="13">
        <v>677</v>
      </c>
    </row>
    <row r="683" spans="1:6" hidden="1" x14ac:dyDescent="0.25">
      <c r="A683" s="16">
        <v>42807</v>
      </c>
      <c r="B683" s="13" t="s">
        <v>795</v>
      </c>
      <c r="C683" s="13">
        <v>35</v>
      </c>
      <c r="D683" s="13">
        <v>542.58000000000004</v>
      </c>
      <c r="E683" s="13" t="s">
        <v>71</v>
      </c>
      <c r="F683" s="13">
        <v>678</v>
      </c>
    </row>
    <row r="684" spans="1:6" hidden="1" x14ac:dyDescent="0.25">
      <c r="A684" s="16">
        <v>42807</v>
      </c>
      <c r="B684" s="13" t="s">
        <v>796</v>
      </c>
      <c r="C684" s="13">
        <v>43</v>
      </c>
      <c r="D684" s="13">
        <v>304.95</v>
      </c>
      <c r="E684" s="13" t="s">
        <v>71</v>
      </c>
      <c r="F684" s="13">
        <v>679</v>
      </c>
    </row>
    <row r="685" spans="1:6" hidden="1" x14ac:dyDescent="0.25">
      <c r="A685" s="16">
        <v>42807</v>
      </c>
      <c r="B685" s="13" t="s">
        <v>797</v>
      </c>
      <c r="C685" s="13">
        <v>41</v>
      </c>
      <c r="D685" s="13">
        <v>273.64999999999998</v>
      </c>
      <c r="E685" s="13" t="s">
        <v>71</v>
      </c>
      <c r="F685" s="13">
        <v>680</v>
      </c>
    </row>
    <row r="686" spans="1:6" hidden="1" x14ac:dyDescent="0.25">
      <c r="A686" s="16">
        <v>42807</v>
      </c>
      <c r="B686" s="13" t="s">
        <v>798</v>
      </c>
      <c r="C686" s="13">
        <v>101</v>
      </c>
      <c r="D686" s="13">
        <v>251.1</v>
      </c>
      <c r="E686" s="13" t="s">
        <v>71</v>
      </c>
      <c r="F686" s="13">
        <v>681</v>
      </c>
    </row>
    <row r="687" spans="1:6" hidden="1" x14ac:dyDescent="0.25">
      <c r="A687" s="16">
        <v>42807</v>
      </c>
      <c r="B687" s="13" t="s">
        <v>799</v>
      </c>
      <c r="C687" s="13">
        <v>38</v>
      </c>
      <c r="D687" s="13">
        <v>327.7</v>
      </c>
      <c r="E687" s="13" t="s">
        <v>71</v>
      </c>
      <c r="F687" s="13">
        <v>682</v>
      </c>
    </row>
    <row r="688" spans="1:6" hidden="1" x14ac:dyDescent="0.25">
      <c r="A688" s="16">
        <v>42807</v>
      </c>
      <c r="B688" s="13" t="s">
        <v>802</v>
      </c>
      <c r="C688" s="13">
        <v>37</v>
      </c>
      <c r="D688" s="13">
        <v>220.25</v>
      </c>
      <c r="E688" s="13" t="s">
        <v>71</v>
      </c>
      <c r="F688" s="13">
        <v>683</v>
      </c>
    </row>
    <row r="689" spans="1:6" hidden="1" x14ac:dyDescent="0.25">
      <c r="A689" s="16">
        <v>42808</v>
      </c>
      <c r="B689" s="13" t="s">
        <v>803</v>
      </c>
      <c r="C689" s="13">
        <v>41</v>
      </c>
      <c r="D689" s="13">
        <v>284.93</v>
      </c>
      <c r="E689" s="13" t="s">
        <v>71</v>
      </c>
      <c r="F689" s="13">
        <v>684</v>
      </c>
    </row>
    <row r="690" spans="1:6" hidden="1" x14ac:dyDescent="0.25">
      <c r="A690" s="16">
        <v>42808</v>
      </c>
      <c r="B690" s="13" t="s">
        <v>804</v>
      </c>
      <c r="C690" s="13">
        <v>38</v>
      </c>
      <c r="D690" s="13">
        <v>187.9</v>
      </c>
      <c r="E690" s="13" t="s">
        <v>71</v>
      </c>
      <c r="F690" s="13">
        <v>685</v>
      </c>
    </row>
    <row r="691" spans="1:6" hidden="1" x14ac:dyDescent="0.25">
      <c r="A691" s="16">
        <v>42808</v>
      </c>
      <c r="B691" s="13" t="s">
        <v>805</v>
      </c>
      <c r="C691" s="13">
        <v>101</v>
      </c>
      <c r="D691" s="13">
        <v>367.38</v>
      </c>
      <c r="E691" s="13" t="s">
        <v>71</v>
      </c>
      <c r="F691" s="13">
        <v>686</v>
      </c>
    </row>
    <row r="692" spans="1:6" hidden="1" x14ac:dyDescent="0.25">
      <c r="A692" s="16">
        <v>42808</v>
      </c>
      <c r="B692" s="13" t="s">
        <v>806</v>
      </c>
      <c r="C692" s="13">
        <v>35</v>
      </c>
      <c r="D692" s="13">
        <v>604.4</v>
      </c>
      <c r="E692" s="13" t="s">
        <v>71</v>
      </c>
      <c r="F692" s="13">
        <v>687</v>
      </c>
    </row>
    <row r="693" spans="1:6" hidden="1" x14ac:dyDescent="0.25">
      <c r="A693" s="16">
        <v>42808</v>
      </c>
      <c r="B693" s="13" t="s">
        <v>807</v>
      </c>
      <c r="C693" s="13">
        <v>44</v>
      </c>
      <c r="D693" s="13">
        <v>483.4</v>
      </c>
      <c r="E693" s="13" t="s">
        <v>71</v>
      </c>
      <c r="F693" s="13">
        <v>688</v>
      </c>
    </row>
    <row r="694" spans="1:6" x14ac:dyDescent="0.25">
      <c r="A694" s="16">
        <v>42808</v>
      </c>
      <c r="B694" s="13" t="s">
        <v>808</v>
      </c>
      <c r="C694" s="13">
        <v>103</v>
      </c>
      <c r="D694" s="13">
        <v>534.25</v>
      </c>
      <c r="E694" s="13" t="s">
        <v>71</v>
      </c>
      <c r="F694" s="13">
        <v>689</v>
      </c>
    </row>
    <row r="695" spans="1:6" hidden="1" x14ac:dyDescent="0.25">
      <c r="A695" s="16">
        <v>42808</v>
      </c>
      <c r="B695" s="13" t="s">
        <v>809</v>
      </c>
      <c r="C695" s="13">
        <v>43</v>
      </c>
      <c r="D695" s="13">
        <v>102.9</v>
      </c>
      <c r="E695" s="13" t="s">
        <v>71</v>
      </c>
      <c r="F695" s="13">
        <v>690</v>
      </c>
    </row>
    <row r="696" spans="1:6" hidden="1" x14ac:dyDescent="0.25">
      <c r="A696" s="16">
        <v>42808</v>
      </c>
      <c r="B696" s="13" t="s">
        <v>810</v>
      </c>
      <c r="C696" s="13">
        <v>201</v>
      </c>
      <c r="D696" s="13">
        <v>240</v>
      </c>
      <c r="E696" s="13" t="s">
        <v>71</v>
      </c>
      <c r="F696" s="13">
        <v>691</v>
      </c>
    </row>
    <row r="697" spans="1:6" hidden="1" x14ac:dyDescent="0.25">
      <c r="A697" s="16">
        <v>42808</v>
      </c>
      <c r="B697" s="13" t="s">
        <v>811</v>
      </c>
      <c r="C697" s="13">
        <v>37</v>
      </c>
      <c r="D697" s="13">
        <v>417.3</v>
      </c>
      <c r="E697" s="13" t="s">
        <v>71</v>
      </c>
      <c r="F697" s="13">
        <v>692</v>
      </c>
    </row>
    <row r="698" spans="1:6" x14ac:dyDescent="0.25">
      <c r="A698" s="16">
        <v>42809</v>
      </c>
      <c r="B698" s="13" t="s">
        <v>812</v>
      </c>
      <c r="C698" s="13">
        <v>41</v>
      </c>
      <c r="D698" s="13">
        <v>236.55</v>
      </c>
      <c r="E698" s="13" t="s">
        <v>71</v>
      </c>
      <c r="F698" s="13">
        <v>693</v>
      </c>
    </row>
    <row r="699" spans="1:6" x14ac:dyDescent="0.25">
      <c r="A699" s="16">
        <v>42809</v>
      </c>
      <c r="B699" s="13" t="s">
        <v>813</v>
      </c>
      <c r="C699" s="13">
        <v>43</v>
      </c>
      <c r="D699" s="13">
        <v>224.81</v>
      </c>
      <c r="E699" s="13" t="s">
        <v>71</v>
      </c>
      <c r="F699" s="13">
        <v>694</v>
      </c>
    </row>
    <row r="700" spans="1:6" x14ac:dyDescent="0.25">
      <c r="A700" s="16">
        <v>42809</v>
      </c>
      <c r="B700" s="13" t="s">
        <v>814</v>
      </c>
      <c r="C700" s="13">
        <v>35</v>
      </c>
      <c r="D700" s="13">
        <v>388.7</v>
      </c>
      <c r="E700" s="13" t="s">
        <v>71</v>
      </c>
      <c r="F700" s="13">
        <v>695</v>
      </c>
    </row>
    <row r="701" spans="1:6" x14ac:dyDescent="0.25">
      <c r="A701" s="16">
        <v>42809</v>
      </c>
      <c r="B701" s="13" t="s">
        <v>815</v>
      </c>
      <c r="C701" s="13">
        <v>101</v>
      </c>
      <c r="D701" s="13">
        <v>191.75</v>
      </c>
      <c r="E701" s="13" t="s">
        <v>71</v>
      </c>
      <c r="F701" s="13">
        <v>696</v>
      </c>
    </row>
    <row r="702" spans="1:6" x14ac:dyDescent="0.25">
      <c r="A702" s="16">
        <v>42809</v>
      </c>
      <c r="B702" s="13" t="s">
        <v>816</v>
      </c>
      <c r="C702" s="13">
        <v>38</v>
      </c>
      <c r="D702" s="13">
        <v>482.66</v>
      </c>
      <c r="E702" s="13" t="s">
        <v>71</v>
      </c>
      <c r="F702" s="13">
        <v>697</v>
      </c>
    </row>
    <row r="703" spans="1:6" x14ac:dyDescent="0.25">
      <c r="A703" s="16">
        <v>42809</v>
      </c>
      <c r="B703" s="13" t="s">
        <v>817</v>
      </c>
      <c r="C703" s="13">
        <v>103</v>
      </c>
      <c r="D703" s="13">
        <v>827.13</v>
      </c>
      <c r="E703" s="13" t="s">
        <v>71</v>
      </c>
      <c r="F703" s="13">
        <v>698</v>
      </c>
    </row>
    <row r="704" spans="1:6" x14ac:dyDescent="0.25">
      <c r="A704" s="16">
        <v>42809</v>
      </c>
      <c r="B704" s="13" t="s">
        <v>818</v>
      </c>
      <c r="C704" s="13">
        <v>44</v>
      </c>
      <c r="D704" s="13">
        <v>177.75</v>
      </c>
      <c r="E704" s="13" t="s">
        <v>71</v>
      </c>
      <c r="F704" s="13">
        <v>699</v>
      </c>
    </row>
    <row r="705" spans="1:6" x14ac:dyDescent="0.25">
      <c r="A705" s="16">
        <v>42809</v>
      </c>
      <c r="B705" s="13" t="s">
        <v>821</v>
      </c>
      <c r="C705" s="13">
        <v>201</v>
      </c>
      <c r="D705" s="13">
        <v>411.7</v>
      </c>
      <c r="E705" s="13" t="s">
        <v>71</v>
      </c>
      <c r="F705" s="13">
        <v>700</v>
      </c>
    </row>
    <row r="706" spans="1:6" x14ac:dyDescent="0.25">
      <c r="A706" s="16">
        <v>42809</v>
      </c>
      <c r="B706" s="13" t="s">
        <v>822</v>
      </c>
      <c r="C706" s="13">
        <v>37</v>
      </c>
      <c r="D706" s="13">
        <v>654.38</v>
      </c>
      <c r="E706" s="13" t="s">
        <v>71</v>
      </c>
      <c r="F706" s="13">
        <v>701</v>
      </c>
    </row>
    <row r="707" spans="1:6" x14ac:dyDescent="0.25">
      <c r="A707" s="16">
        <v>42810</v>
      </c>
      <c r="B707" s="13" t="s">
        <v>823</v>
      </c>
      <c r="C707" s="13">
        <v>35</v>
      </c>
      <c r="D707" s="13">
        <v>883.51</v>
      </c>
      <c r="E707" s="13" t="s">
        <v>71</v>
      </c>
      <c r="F707" s="13">
        <v>702</v>
      </c>
    </row>
    <row r="708" spans="1:6" x14ac:dyDescent="0.25">
      <c r="A708" s="16">
        <v>42810</v>
      </c>
      <c r="B708" s="13" t="s">
        <v>824</v>
      </c>
      <c r="C708" s="13">
        <v>103</v>
      </c>
      <c r="D708" s="13">
        <v>1005.04</v>
      </c>
      <c r="E708" s="13" t="s">
        <v>71</v>
      </c>
      <c r="F708" s="13">
        <v>703</v>
      </c>
    </row>
    <row r="709" spans="1:6" x14ac:dyDescent="0.25">
      <c r="A709" s="16">
        <v>42810</v>
      </c>
      <c r="B709" s="13" t="s">
        <v>825</v>
      </c>
      <c r="C709" s="13">
        <v>41</v>
      </c>
      <c r="D709" s="13">
        <v>584.57000000000005</v>
      </c>
      <c r="E709" s="13" t="s">
        <v>71</v>
      </c>
      <c r="F709" s="13">
        <v>704</v>
      </c>
    </row>
    <row r="710" spans="1:6" x14ac:dyDescent="0.25">
      <c r="A710" s="16">
        <v>42810</v>
      </c>
      <c r="B710" s="13" t="s">
        <v>826</v>
      </c>
      <c r="C710" s="13">
        <v>44</v>
      </c>
      <c r="D710" s="13">
        <v>379.46</v>
      </c>
      <c r="E710" s="13" t="s">
        <v>71</v>
      </c>
      <c r="F710" s="13">
        <v>705</v>
      </c>
    </row>
    <row r="711" spans="1:6" x14ac:dyDescent="0.25">
      <c r="A711" s="16">
        <v>42810</v>
      </c>
      <c r="B711" s="13" t="s">
        <v>827</v>
      </c>
      <c r="C711" s="13">
        <v>43</v>
      </c>
      <c r="D711" s="13">
        <v>664.79</v>
      </c>
      <c r="E711" s="13" t="s">
        <v>71</v>
      </c>
      <c r="F711" s="13">
        <v>706</v>
      </c>
    </row>
    <row r="712" spans="1:6" x14ac:dyDescent="0.25">
      <c r="A712" s="16">
        <v>42810</v>
      </c>
      <c r="B712" s="13" t="s">
        <v>828</v>
      </c>
      <c r="C712" s="13">
        <v>38</v>
      </c>
      <c r="D712" s="13">
        <v>942.09</v>
      </c>
      <c r="E712" s="13" t="s">
        <v>71</v>
      </c>
      <c r="F712" s="13">
        <v>707</v>
      </c>
    </row>
    <row r="713" spans="1:6" x14ac:dyDescent="0.25">
      <c r="A713" s="16">
        <v>42810</v>
      </c>
      <c r="B713" s="13" t="s">
        <v>829</v>
      </c>
      <c r="C713" s="13">
        <v>101</v>
      </c>
      <c r="D713" s="13">
        <v>270.8</v>
      </c>
      <c r="E713" s="13" t="s">
        <v>71</v>
      </c>
      <c r="F713" s="13">
        <v>708</v>
      </c>
    </row>
    <row r="714" spans="1:6" x14ac:dyDescent="0.25">
      <c r="A714" s="16">
        <v>42810</v>
      </c>
      <c r="B714" s="13" t="s">
        <v>830</v>
      </c>
      <c r="C714" s="13">
        <v>201</v>
      </c>
      <c r="D714" s="13">
        <v>662.61</v>
      </c>
      <c r="E714" s="13" t="s">
        <v>71</v>
      </c>
      <c r="F714" s="13">
        <v>709</v>
      </c>
    </row>
    <row r="715" spans="1:6" x14ac:dyDescent="0.25">
      <c r="A715" s="16">
        <v>42810</v>
      </c>
      <c r="B715" s="13" t="s">
        <v>831</v>
      </c>
      <c r="C715" s="13">
        <v>37</v>
      </c>
      <c r="D715" s="13">
        <v>622.20000000000005</v>
      </c>
      <c r="E715" s="13" t="s">
        <v>71</v>
      </c>
      <c r="F715" s="13">
        <v>710</v>
      </c>
    </row>
    <row r="716" spans="1:6" x14ac:dyDescent="0.25">
      <c r="A716" s="16">
        <v>42813</v>
      </c>
      <c r="B716" s="13" t="s">
        <v>833</v>
      </c>
      <c r="C716" s="13">
        <v>38</v>
      </c>
      <c r="D716" s="13">
        <v>527.83000000000004</v>
      </c>
      <c r="E716" s="13" t="s">
        <v>71</v>
      </c>
      <c r="F716" s="13">
        <v>711</v>
      </c>
    </row>
    <row r="717" spans="1:6" x14ac:dyDescent="0.25">
      <c r="A717" s="16">
        <v>42813</v>
      </c>
      <c r="B717" s="13" t="s">
        <v>834</v>
      </c>
      <c r="C717" s="13">
        <v>35</v>
      </c>
      <c r="D717" s="13">
        <v>687.5</v>
      </c>
      <c r="E717" s="13" t="s">
        <v>71</v>
      </c>
      <c r="F717" s="13">
        <v>712</v>
      </c>
    </row>
    <row r="718" spans="1:6" x14ac:dyDescent="0.25">
      <c r="A718" s="16">
        <v>42813</v>
      </c>
      <c r="B718" s="13" t="s">
        <v>835</v>
      </c>
      <c r="C718" s="13">
        <v>44</v>
      </c>
      <c r="D718" s="13">
        <v>507.53</v>
      </c>
      <c r="E718" s="13" t="s">
        <v>71</v>
      </c>
      <c r="F718" s="13">
        <v>713</v>
      </c>
    </row>
    <row r="719" spans="1:6" x14ac:dyDescent="0.25">
      <c r="A719" s="16">
        <v>42813</v>
      </c>
      <c r="B719" s="13" t="s">
        <v>836</v>
      </c>
      <c r="C719" s="13">
        <v>41</v>
      </c>
      <c r="D719" s="13">
        <v>594.75</v>
      </c>
      <c r="E719" s="13" t="s">
        <v>71</v>
      </c>
      <c r="F719" s="13">
        <v>714</v>
      </c>
    </row>
    <row r="720" spans="1:6" x14ac:dyDescent="0.25">
      <c r="A720" s="16">
        <v>42813</v>
      </c>
      <c r="B720" s="13" t="s">
        <v>837</v>
      </c>
      <c r="C720" s="13">
        <v>43</v>
      </c>
      <c r="D720" s="13">
        <v>164.95</v>
      </c>
      <c r="E720" s="13" t="s">
        <v>71</v>
      </c>
      <c r="F720" s="13">
        <v>715</v>
      </c>
    </row>
    <row r="721" spans="1:6" x14ac:dyDescent="0.25">
      <c r="A721" s="16">
        <v>42813</v>
      </c>
      <c r="B721" s="13" t="s">
        <v>838</v>
      </c>
      <c r="C721" s="13">
        <v>101</v>
      </c>
      <c r="D721" s="13">
        <v>80</v>
      </c>
      <c r="E721" s="13" t="s">
        <v>71</v>
      </c>
      <c r="F721" s="13">
        <v>716</v>
      </c>
    </row>
    <row r="722" spans="1:6" x14ac:dyDescent="0.25">
      <c r="A722" s="16">
        <v>42813</v>
      </c>
      <c r="B722" s="13" t="s">
        <v>839</v>
      </c>
      <c r="C722" s="13">
        <v>103</v>
      </c>
      <c r="D722" s="13">
        <v>331</v>
      </c>
      <c r="E722" s="13" t="s">
        <v>71</v>
      </c>
      <c r="F722" s="13">
        <v>717</v>
      </c>
    </row>
    <row r="723" spans="1:6" x14ac:dyDescent="0.25">
      <c r="A723" s="16">
        <v>42812</v>
      </c>
      <c r="B723" s="13" t="s">
        <v>840</v>
      </c>
      <c r="C723" s="13">
        <v>43</v>
      </c>
      <c r="D723" s="13">
        <v>532.75</v>
      </c>
      <c r="E723" s="13" t="s">
        <v>71</v>
      </c>
      <c r="F723" s="13">
        <v>718</v>
      </c>
    </row>
    <row r="724" spans="1:6" x14ac:dyDescent="0.25">
      <c r="A724" s="16">
        <v>42812</v>
      </c>
      <c r="B724" s="13" t="s">
        <v>841</v>
      </c>
      <c r="C724" s="13">
        <v>103</v>
      </c>
      <c r="D724" s="13">
        <v>1102.75</v>
      </c>
      <c r="E724" s="13" t="s">
        <v>71</v>
      </c>
      <c r="F724" s="13">
        <v>719</v>
      </c>
    </row>
    <row r="725" spans="1:6" x14ac:dyDescent="0.25">
      <c r="A725" s="16">
        <v>42812</v>
      </c>
      <c r="B725" s="13" t="s">
        <v>842</v>
      </c>
      <c r="C725" s="13">
        <v>41</v>
      </c>
      <c r="D725" s="13">
        <v>800.61</v>
      </c>
      <c r="E725" s="13" t="s">
        <v>71</v>
      </c>
      <c r="F725" s="13">
        <v>720</v>
      </c>
    </row>
    <row r="726" spans="1:6" x14ac:dyDescent="0.25">
      <c r="A726" s="16">
        <v>42812</v>
      </c>
      <c r="B726" s="13" t="s">
        <v>843</v>
      </c>
      <c r="C726" s="13">
        <v>35</v>
      </c>
      <c r="D726" s="13">
        <v>1495.15</v>
      </c>
      <c r="E726" s="13" t="s">
        <v>71</v>
      </c>
      <c r="F726" s="13">
        <v>721</v>
      </c>
    </row>
    <row r="727" spans="1:6" x14ac:dyDescent="0.25">
      <c r="A727" s="16">
        <v>42812</v>
      </c>
      <c r="B727" s="13" t="s">
        <v>844</v>
      </c>
      <c r="C727" s="13">
        <v>38</v>
      </c>
      <c r="D727" s="13">
        <v>1220.43</v>
      </c>
      <c r="E727" s="13" t="s">
        <v>71</v>
      </c>
      <c r="F727" s="13">
        <v>722</v>
      </c>
    </row>
    <row r="728" spans="1:6" x14ac:dyDescent="0.25">
      <c r="A728" s="16">
        <v>42812</v>
      </c>
      <c r="B728" s="13" t="s">
        <v>845</v>
      </c>
      <c r="C728" s="13">
        <v>44</v>
      </c>
      <c r="D728" s="13">
        <v>528.73</v>
      </c>
      <c r="E728" s="13" t="s">
        <v>71</v>
      </c>
      <c r="F728" s="13">
        <v>723</v>
      </c>
    </row>
    <row r="729" spans="1:6" x14ac:dyDescent="0.25">
      <c r="A729" s="16">
        <v>42812</v>
      </c>
      <c r="B729" s="13" t="s">
        <v>846</v>
      </c>
      <c r="C729" s="13">
        <v>101</v>
      </c>
      <c r="D729" s="13">
        <v>229.85</v>
      </c>
      <c r="E729" s="13" t="s">
        <v>71</v>
      </c>
      <c r="F729" s="13">
        <v>724</v>
      </c>
    </row>
    <row r="730" spans="1:6" x14ac:dyDescent="0.25">
      <c r="A730" s="16">
        <v>42811</v>
      </c>
      <c r="B730" s="13" t="s">
        <v>847</v>
      </c>
      <c r="C730" s="13">
        <v>103</v>
      </c>
      <c r="D730" s="13">
        <v>565.35</v>
      </c>
      <c r="E730" s="13" t="s">
        <v>71</v>
      </c>
      <c r="F730" s="13">
        <v>725</v>
      </c>
    </row>
    <row r="731" spans="1:6" x14ac:dyDescent="0.25">
      <c r="A731" s="16">
        <v>42811</v>
      </c>
      <c r="B731" s="13" t="s">
        <v>848</v>
      </c>
      <c r="C731" s="13">
        <v>38</v>
      </c>
      <c r="D731" s="13">
        <v>224.85</v>
      </c>
      <c r="E731" s="13" t="s">
        <v>71</v>
      </c>
      <c r="F731" s="13">
        <v>726</v>
      </c>
    </row>
    <row r="732" spans="1:6" x14ac:dyDescent="0.25">
      <c r="A732" s="16">
        <v>42811</v>
      </c>
      <c r="B732" s="13" t="s">
        <v>849</v>
      </c>
      <c r="C732" s="13">
        <v>41</v>
      </c>
      <c r="D732" s="13">
        <v>594.75</v>
      </c>
      <c r="E732" s="13" t="s">
        <v>71</v>
      </c>
      <c r="F732" s="13">
        <v>727</v>
      </c>
    </row>
    <row r="733" spans="1:6" x14ac:dyDescent="0.25">
      <c r="A733" s="16">
        <v>42811</v>
      </c>
      <c r="B733" s="13" t="s">
        <v>850</v>
      </c>
      <c r="C733" s="13">
        <v>101</v>
      </c>
      <c r="D733" s="13">
        <v>245.75</v>
      </c>
      <c r="E733" s="13" t="s">
        <v>71</v>
      </c>
      <c r="F733" s="13">
        <v>728</v>
      </c>
    </row>
    <row r="734" spans="1:6" x14ac:dyDescent="0.25">
      <c r="A734" s="16">
        <v>42811</v>
      </c>
      <c r="B734" s="13" t="s">
        <v>851</v>
      </c>
      <c r="C734" s="13">
        <v>43</v>
      </c>
      <c r="D734" s="13">
        <v>689.78</v>
      </c>
      <c r="E734" s="13" t="s">
        <v>71</v>
      </c>
      <c r="F734" s="13">
        <v>729</v>
      </c>
    </row>
    <row r="735" spans="1:6" x14ac:dyDescent="0.25">
      <c r="A735" s="16">
        <v>42811</v>
      </c>
      <c r="B735" s="13" t="s">
        <v>852</v>
      </c>
      <c r="C735" s="13">
        <v>35</v>
      </c>
      <c r="D735" s="13">
        <v>838.66</v>
      </c>
      <c r="E735" s="13" t="s">
        <v>71</v>
      </c>
      <c r="F735" s="13">
        <v>730</v>
      </c>
    </row>
    <row r="736" spans="1:6" x14ac:dyDescent="0.25">
      <c r="A736" s="16">
        <v>42811</v>
      </c>
      <c r="B736" s="13" t="s">
        <v>853</v>
      </c>
      <c r="C736" s="13">
        <v>44</v>
      </c>
      <c r="D736" s="13">
        <v>459.41</v>
      </c>
      <c r="E736" s="13" t="s">
        <v>71</v>
      </c>
      <c r="F736" s="13">
        <v>731</v>
      </c>
    </row>
    <row r="737" spans="1:6" x14ac:dyDescent="0.25">
      <c r="A737" s="16">
        <v>42813</v>
      </c>
      <c r="B737" s="13" t="s">
        <v>854</v>
      </c>
      <c r="C737" s="13">
        <v>201</v>
      </c>
      <c r="D737" s="13">
        <v>70</v>
      </c>
      <c r="E737" s="13" t="s">
        <v>71</v>
      </c>
      <c r="F737" s="13">
        <v>732</v>
      </c>
    </row>
    <row r="738" spans="1:6" x14ac:dyDescent="0.25">
      <c r="A738" s="16">
        <v>42813</v>
      </c>
      <c r="B738" s="13" t="s">
        <v>855</v>
      </c>
      <c r="C738" s="13">
        <v>37</v>
      </c>
      <c r="D738" s="13">
        <v>549.61</v>
      </c>
      <c r="E738" s="13" t="s">
        <v>71</v>
      </c>
      <c r="F738" s="13">
        <v>733</v>
      </c>
    </row>
    <row r="739" spans="1:6" x14ac:dyDescent="0.25">
      <c r="A739" s="16">
        <v>42812</v>
      </c>
      <c r="B739" s="13" t="s">
        <v>856</v>
      </c>
      <c r="C739" s="13">
        <v>201</v>
      </c>
      <c r="D739" s="13">
        <v>450</v>
      </c>
      <c r="E739" s="13" t="s">
        <v>71</v>
      </c>
      <c r="F739" s="13">
        <v>734</v>
      </c>
    </row>
    <row r="740" spans="1:6" x14ac:dyDescent="0.25">
      <c r="A740" s="16">
        <v>42812</v>
      </c>
      <c r="B740" s="13" t="s">
        <v>857</v>
      </c>
      <c r="C740" s="13">
        <v>37</v>
      </c>
      <c r="D740" s="13">
        <v>1095.96</v>
      </c>
      <c r="E740" s="13" t="s">
        <v>71</v>
      </c>
      <c r="F740" s="13">
        <v>735</v>
      </c>
    </row>
    <row r="741" spans="1:6" x14ac:dyDescent="0.25">
      <c r="A741" s="16">
        <v>42811</v>
      </c>
      <c r="B741" s="13" t="s">
        <v>858</v>
      </c>
      <c r="C741" s="13">
        <v>201</v>
      </c>
      <c r="D741" s="13">
        <v>479.84</v>
      </c>
      <c r="E741" s="13" t="s">
        <v>71</v>
      </c>
      <c r="F741" s="13">
        <v>736</v>
      </c>
    </row>
    <row r="742" spans="1:6" x14ac:dyDescent="0.25">
      <c r="A742" s="16">
        <v>42811</v>
      </c>
      <c r="B742" s="13" t="s">
        <v>859</v>
      </c>
      <c r="C742" s="13">
        <v>37</v>
      </c>
      <c r="D742" s="13">
        <v>552.45000000000005</v>
      </c>
      <c r="E742" s="13" t="s">
        <v>71</v>
      </c>
      <c r="F742" s="13">
        <v>737</v>
      </c>
    </row>
    <row r="743" spans="1:6" x14ac:dyDescent="0.25">
      <c r="A743" s="16">
        <v>42814</v>
      </c>
      <c r="B743" s="13" t="s">
        <v>860</v>
      </c>
      <c r="C743" s="13">
        <v>103</v>
      </c>
      <c r="D743" s="13">
        <v>380.56</v>
      </c>
      <c r="E743" s="13" t="s">
        <v>71</v>
      </c>
      <c r="F743" s="13">
        <v>738</v>
      </c>
    </row>
    <row r="744" spans="1:6" x14ac:dyDescent="0.25">
      <c r="A744" s="16">
        <v>42814</v>
      </c>
      <c r="B744" s="13" t="s">
        <v>861</v>
      </c>
      <c r="C744" s="13">
        <v>38</v>
      </c>
      <c r="D744" s="13">
        <v>415.05</v>
      </c>
      <c r="E744" s="13" t="s">
        <v>71</v>
      </c>
      <c r="F744" s="13">
        <v>739</v>
      </c>
    </row>
    <row r="745" spans="1:6" x14ac:dyDescent="0.25">
      <c r="A745" s="16">
        <v>42814</v>
      </c>
      <c r="B745" s="13" t="s">
        <v>862</v>
      </c>
      <c r="C745" s="13">
        <v>41</v>
      </c>
      <c r="D745" s="13">
        <v>124.95</v>
      </c>
      <c r="E745" s="13" t="s">
        <v>71</v>
      </c>
      <c r="F745" s="13">
        <v>740</v>
      </c>
    </row>
    <row r="746" spans="1:6" x14ac:dyDescent="0.25">
      <c r="A746" s="16">
        <v>42814</v>
      </c>
      <c r="B746" s="13" t="s">
        <v>863</v>
      </c>
      <c r="C746" s="13">
        <v>44</v>
      </c>
      <c r="D746" s="13">
        <v>189.7</v>
      </c>
      <c r="E746" s="13" t="s">
        <v>71</v>
      </c>
      <c r="F746" s="13">
        <v>741</v>
      </c>
    </row>
    <row r="747" spans="1:6" x14ac:dyDescent="0.25">
      <c r="A747" s="16">
        <v>42814</v>
      </c>
      <c r="B747" s="13" t="s">
        <v>864</v>
      </c>
      <c r="C747" s="13">
        <v>101</v>
      </c>
      <c r="D747" s="13">
        <v>120</v>
      </c>
      <c r="E747" s="13" t="s">
        <v>71</v>
      </c>
      <c r="F747" s="13">
        <v>742</v>
      </c>
    </row>
    <row r="748" spans="1:6" x14ac:dyDescent="0.25">
      <c r="A748" s="16">
        <v>42814</v>
      </c>
      <c r="B748" s="13" t="s">
        <v>865</v>
      </c>
      <c r="C748" s="13">
        <v>35</v>
      </c>
      <c r="D748" s="13">
        <v>294.95999999999998</v>
      </c>
      <c r="E748" s="13" t="s">
        <v>71</v>
      </c>
      <c r="F748" s="13">
        <v>743</v>
      </c>
    </row>
    <row r="749" spans="1:6" x14ac:dyDescent="0.25">
      <c r="A749" s="16">
        <v>42814</v>
      </c>
      <c r="B749" s="13" t="s">
        <v>866</v>
      </c>
      <c r="C749" s="13">
        <v>43</v>
      </c>
      <c r="D749" s="13">
        <v>164.85</v>
      </c>
      <c r="E749" s="13" t="s">
        <v>71</v>
      </c>
      <c r="F749" s="13">
        <v>744</v>
      </c>
    </row>
    <row r="750" spans="1:6" x14ac:dyDescent="0.25">
      <c r="A750" s="16">
        <v>42814</v>
      </c>
      <c r="B750" s="13" t="s">
        <v>868</v>
      </c>
      <c r="C750" s="13">
        <v>37</v>
      </c>
      <c r="D750" s="13">
        <v>319.14999999999998</v>
      </c>
      <c r="E750" s="13" t="s">
        <v>71</v>
      </c>
      <c r="F750" s="13">
        <v>745</v>
      </c>
    </row>
    <row r="751" spans="1:6" x14ac:dyDescent="0.25">
      <c r="A751" s="16">
        <v>42814</v>
      </c>
      <c r="B751" s="13" t="s">
        <v>869</v>
      </c>
      <c r="C751" s="13">
        <v>201</v>
      </c>
      <c r="D751" s="13">
        <v>155</v>
      </c>
      <c r="E751" s="13" t="s">
        <v>71</v>
      </c>
      <c r="F751" s="13">
        <v>746</v>
      </c>
    </row>
    <row r="752" spans="1:6" x14ac:dyDescent="0.25">
      <c r="A752" s="16">
        <v>42815</v>
      </c>
      <c r="B752" s="13" t="s">
        <v>872</v>
      </c>
      <c r="C752" s="13">
        <v>44</v>
      </c>
      <c r="D752" s="13">
        <v>249.95</v>
      </c>
      <c r="E752" s="13" t="s">
        <v>71</v>
      </c>
      <c r="F752" s="13">
        <v>747</v>
      </c>
    </row>
    <row r="753" spans="1:6" x14ac:dyDescent="0.25">
      <c r="A753" s="16">
        <v>42815</v>
      </c>
      <c r="B753" s="13" t="s">
        <v>873</v>
      </c>
      <c r="C753" s="13">
        <v>101</v>
      </c>
      <c r="D753" s="13">
        <v>267.89999999999998</v>
      </c>
      <c r="E753" s="13" t="s">
        <v>71</v>
      </c>
      <c r="F753" s="13">
        <v>748</v>
      </c>
    </row>
    <row r="754" spans="1:6" x14ac:dyDescent="0.25">
      <c r="A754" s="16">
        <v>42815</v>
      </c>
      <c r="B754" s="13" t="s">
        <v>874</v>
      </c>
      <c r="C754" s="13">
        <v>35</v>
      </c>
      <c r="D754" s="13">
        <v>987.89</v>
      </c>
      <c r="E754" s="13" t="s">
        <v>71</v>
      </c>
      <c r="F754" s="13">
        <v>749</v>
      </c>
    </row>
    <row r="755" spans="1:6" x14ac:dyDescent="0.25">
      <c r="A755" s="16">
        <v>42815</v>
      </c>
      <c r="B755" s="13" t="s">
        <v>875</v>
      </c>
      <c r="C755" s="13">
        <v>41</v>
      </c>
      <c r="D755" s="13">
        <v>465.85</v>
      </c>
      <c r="E755" s="13" t="s">
        <v>71</v>
      </c>
      <c r="F755" s="13">
        <v>750</v>
      </c>
    </row>
    <row r="756" spans="1:6" x14ac:dyDescent="0.25">
      <c r="A756" s="16">
        <v>42815</v>
      </c>
      <c r="B756" s="13" t="s">
        <v>876</v>
      </c>
      <c r="C756" s="13">
        <v>103</v>
      </c>
      <c r="D756" s="13">
        <v>455.83</v>
      </c>
      <c r="E756" s="13" t="s">
        <v>71</v>
      </c>
      <c r="F756" s="13">
        <v>751</v>
      </c>
    </row>
    <row r="757" spans="1:6" x14ac:dyDescent="0.25">
      <c r="A757" s="16">
        <v>42815</v>
      </c>
      <c r="B757" s="13" t="s">
        <v>877</v>
      </c>
      <c r="C757" s="13">
        <v>43</v>
      </c>
      <c r="D757" s="13">
        <v>525</v>
      </c>
      <c r="E757" s="13" t="s">
        <v>71</v>
      </c>
      <c r="F757" s="13">
        <v>752</v>
      </c>
    </row>
    <row r="758" spans="1:6" x14ac:dyDescent="0.25">
      <c r="A758" s="16">
        <v>42815</v>
      </c>
      <c r="B758" s="13" t="s">
        <v>878</v>
      </c>
      <c r="C758" s="13">
        <v>201</v>
      </c>
      <c r="D758" s="13">
        <v>335</v>
      </c>
      <c r="E758" s="13" t="s">
        <v>71</v>
      </c>
      <c r="F758" s="13">
        <v>753</v>
      </c>
    </row>
    <row r="759" spans="1:6" x14ac:dyDescent="0.25">
      <c r="A759" s="16">
        <v>42815</v>
      </c>
      <c r="B759" s="13" t="s">
        <v>879</v>
      </c>
      <c r="C759" s="13">
        <v>37</v>
      </c>
      <c r="D759" s="13">
        <v>374.65</v>
      </c>
      <c r="E759" s="13" t="s">
        <v>71</v>
      </c>
      <c r="F759" s="13">
        <v>754</v>
      </c>
    </row>
    <row r="760" spans="1:6" x14ac:dyDescent="0.25">
      <c r="A760" s="16">
        <v>42816</v>
      </c>
      <c r="B760" s="13" t="s">
        <v>904</v>
      </c>
      <c r="C760" s="13">
        <v>35</v>
      </c>
      <c r="D760" s="13">
        <v>637.66</v>
      </c>
      <c r="E760" s="13" t="s">
        <v>71</v>
      </c>
      <c r="F760" s="13">
        <v>755</v>
      </c>
    </row>
    <row r="761" spans="1:6" x14ac:dyDescent="0.25">
      <c r="A761" s="16">
        <v>42816</v>
      </c>
      <c r="B761" s="13" t="s">
        <v>905</v>
      </c>
      <c r="C761" s="13">
        <v>103</v>
      </c>
      <c r="D761" s="13">
        <v>319.85000000000002</v>
      </c>
      <c r="E761" s="13" t="s">
        <v>71</v>
      </c>
      <c r="F761" s="13">
        <v>756</v>
      </c>
    </row>
    <row r="762" spans="1:6" x14ac:dyDescent="0.25">
      <c r="A762" s="16">
        <v>42816</v>
      </c>
      <c r="B762" s="13" t="s">
        <v>906</v>
      </c>
      <c r="C762" s="13">
        <v>41</v>
      </c>
      <c r="D762" s="13">
        <v>355</v>
      </c>
      <c r="E762" s="13" t="s">
        <v>71</v>
      </c>
      <c r="F762" s="13">
        <v>757</v>
      </c>
    </row>
    <row r="763" spans="1:6" x14ac:dyDescent="0.25">
      <c r="A763" s="16">
        <v>42816</v>
      </c>
      <c r="B763" s="13" t="s">
        <v>907</v>
      </c>
      <c r="C763" s="13">
        <v>44</v>
      </c>
      <c r="D763" s="13">
        <v>267.95</v>
      </c>
      <c r="E763" s="13" t="s">
        <v>71</v>
      </c>
      <c r="F763" s="13">
        <v>758</v>
      </c>
    </row>
    <row r="764" spans="1:6" x14ac:dyDescent="0.25">
      <c r="A764" s="16">
        <v>42816</v>
      </c>
      <c r="B764" s="13" t="s">
        <v>908</v>
      </c>
      <c r="C764" s="13">
        <v>101</v>
      </c>
      <c r="D764" s="13">
        <v>374.92</v>
      </c>
      <c r="E764" s="13" t="s">
        <v>71</v>
      </c>
      <c r="F764" s="13">
        <v>759</v>
      </c>
    </row>
    <row r="765" spans="1:6" x14ac:dyDescent="0.25">
      <c r="A765" s="16">
        <v>42816</v>
      </c>
      <c r="B765" s="13" t="s">
        <v>909</v>
      </c>
      <c r="C765" s="13">
        <v>43</v>
      </c>
      <c r="D765" s="13">
        <v>564.92999999999995</v>
      </c>
      <c r="E765" s="13" t="s">
        <v>71</v>
      </c>
      <c r="F765" s="13">
        <v>760</v>
      </c>
    </row>
    <row r="766" spans="1:6" x14ac:dyDescent="0.25">
      <c r="A766" s="16">
        <v>42816</v>
      </c>
      <c r="B766" s="13" t="s">
        <v>910</v>
      </c>
      <c r="C766" s="13">
        <v>37</v>
      </c>
      <c r="D766" s="13">
        <v>634.33000000000004</v>
      </c>
      <c r="E766" s="13" t="s">
        <v>71</v>
      </c>
      <c r="F766" s="13">
        <v>761</v>
      </c>
    </row>
    <row r="767" spans="1:6" x14ac:dyDescent="0.25">
      <c r="A767" s="16">
        <v>42816</v>
      </c>
      <c r="B767" s="13" t="s">
        <v>911</v>
      </c>
      <c r="C767" s="13">
        <v>201</v>
      </c>
      <c r="D767" s="13">
        <v>414.98</v>
      </c>
      <c r="E767" s="13" t="s">
        <v>71</v>
      </c>
      <c r="F767" s="13">
        <v>762</v>
      </c>
    </row>
    <row r="768" spans="1:6" x14ac:dyDescent="0.25">
      <c r="A768" s="16">
        <v>42817</v>
      </c>
      <c r="B768" s="13" t="s">
        <v>912</v>
      </c>
      <c r="C768" s="13">
        <v>101</v>
      </c>
      <c r="D768" s="13">
        <v>287.95</v>
      </c>
      <c r="E768" s="13" t="s">
        <v>71</v>
      </c>
      <c r="F768" s="13">
        <v>763</v>
      </c>
    </row>
    <row r="769" spans="1:6" x14ac:dyDescent="0.25">
      <c r="A769" s="16">
        <v>42817</v>
      </c>
      <c r="B769" s="13" t="s">
        <v>913</v>
      </c>
      <c r="C769" s="13">
        <v>44</v>
      </c>
      <c r="D769" s="13">
        <v>317.95</v>
      </c>
      <c r="E769" s="13" t="s">
        <v>71</v>
      </c>
      <c r="F769" s="13">
        <v>764</v>
      </c>
    </row>
    <row r="770" spans="1:6" x14ac:dyDescent="0.25">
      <c r="A770" s="16">
        <v>42817</v>
      </c>
      <c r="B770" s="13" t="s">
        <v>914</v>
      </c>
      <c r="C770" s="13">
        <v>43</v>
      </c>
      <c r="D770" s="13">
        <v>450</v>
      </c>
      <c r="E770" s="13" t="s">
        <v>71</v>
      </c>
      <c r="F770" s="13">
        <v>765</v>
      </c>
    </row>
    <row r="771" spans="1:6" x14ac:dyDescent="0.25">
      <c r="A771" s="16">
        <v>42817</v>
      </c>
      <c r="B771" s="13" t="s">
        <v>915</v>
      </c>
      <c r="C771" s="13">
        <v>103</v>
      </c>
      <c r="D771" s="13">
        <v>907.8</v>
      </c>
      <c r="E771" s="13" t="s">
        <v>71</v>
      </c>
      <c r="F771" s="13">
        <v>766</v>
      </c>
    </row>
    <row r="772" spans="1:6" x14ac:dyDescent="0.25">
      <c r="A772" s="16">
        <v>42817</v>
      </c>
      <c r="B772" s="13" t="s">
        <v>916</v>
      </c>
      <c r="C772" s="13">
        <v>41</v>
      </c>
      <c r="D772" s="13">
        <v>908.91</v>
      </c>
      <c r="E772" s="13" t="s">
        <v>71</v>
      </c>
      <c r="F772" s="13">
        <v>767</v>
      </c>
    </row>
    <row r="773" spans="1:6" x14ac:dyDescent="0.25">
      <c r="A773" s="16">
        <v>42817</v>
      </c>
      <c r="B773" s="13" t="s">
        <v>917</v>
      </c>
      <c r="C773" s="13">
        <v>35</v>
      </c>
      <c r="D773" s="13">
        <v>1707.37</v>
      </c>
      <c r="E773" s="13" t="s">
        <v>71</v>
      </c>
      <c r="F773" s="13">
        <v>768</v>
      </c>
    </row>
    <row r="774" spans="1:6" x14ac:dyDescent="0.25">
      <c r="A774" s="16">
        <v>42817</v>
      </c>
      <c r="B774" s="13" t="s">
        <v>919</v>
      </c>
      <c r="C774" s="13">
        <v>37</v>
      </c>
      <c r="D774" s="13">
        <v>1369</v>
      </c>
      <c r="E774" s="13" t="s">
        <v>71</v>
      </c>
      <c r="F774" s="13">
        <v>769</v>
      </c>
    </row>
    <row r="775" spans="1:6" x14ac:dyDescent="0.25">
      <c r="A775" s="16">
        <v>42817</v>
      </c>
      <c r="B775" s="13" t="s">
        <v>920</v>
      </c>
      <c r="C775" s="13">
        <v>201</v>
      </c>
      <c r="D775" s="13">
        <v>682.81</v>
      </c>
      <c r="E775" s="13" t="s">
        <v>71</v>
      </c>
      <c r="F775" s="13">
        <v>770</v>
      </c>
    </row>
    <row r="776" spans="1:6" x14ac:dyDescent="0.25">
      <c r="A776" s="16">
        <v>42820</v>
      </c>
      <c r="B776" s="13" t="s">
        <v>880</v>
      </c>
      <c r="C776" s="13">
        <v>103</v>
      </c>
      <c r="D776" s="13">
        <v>360</v>
      </c>
      <c r="E776" s="13" t="s">
        <v>71</v>
      </c>
      <c r="F776" s="13">
        <v>771</v>
      </c>
    </row>
    <row r="777" spans="1:6" x14ac:dyDescent="0.25">
      <c r="A777" s="16">
        <v>42820</v>
      </c>
      <c r="B777" s="13" t="s">
        <v>881</v>
      </c>
      <c r="C777" s="13">
        <v>35</v>
      </c>
      <c r="D777" s="13">
        <v>634.89</v>
      </c>
      <c r="E777" s="13" t="s">
        <v>71</v>
      </c>
      <c r="F777" s="13">
        <v>772</v>
      </c>
    </row>
    <row r="778" spans="1:6" x14ac:dyDescent="0.25">
      <c r="A778" s="16">
        <v>42820</v>
      </c>
      <c r="B778" s="13" t="s">
        <v>882</v>
      </c>
      <c r="C778" s="13">
        <v>101</v>
      </c>
      <c r="D778" s="13">
        <v>50</v>
      </c>
      <c r="E778" s="13" t="s">
        <v>71</v>
      </c>
      <c r="F778" s="13">
        <v>773</v>
      </c>
    </row>
    <row r="779" spans="1:6" x14ac:dyDescent="0.25">
      <c r="A779" s="16">
        <v>42820</v>
      </c>
      <c r="B779" s="13" t="s">
        <v>883</v>
      </c>
      <c r="C779" s="13">
        <v>41</v>
      </c>
      <c r="D779" s="13">
        <v>135</v>
      </c>
      <c r="E779" s="13" t="s">
        <v>71</v>
      </c>
      <c r="F779" s="13">
        <v>774</v>
      </c>
    </row>
    <row r="780" spans="1:6" x14ac:dyDescent="0.25">
      <c r="A780" s="16">
        <v>42820</v>
      </c>
      <c r="B780" s="13" t="s">
        <v>884</v>
      </c>
      <c r="C780" s="13">
        <v>43</v>
      </c>
      <c r="D780" s="13">
        <v>340</v>
      </c>
      <c r="E780" s="13" t="s">
        <v>71</v>
      </c>
      <c r="F780" s="13">
        <v>775</v>
      </c>
    </row>
    <row r="781" spans="1:6" x14ac:dyDescent="0.25">
      <c r="A781" s="16">
        <v>42820</v>
      </c>
      <c r="B781" s="13" t="s">
        <v>885</v>
      </c>
      <c r="C781" s="13">
        <v>44</v>
      </c>
      <c r="D781" s="13">
        <v>307.5</v>
      </c>
      <c r="E781" s="13" t="s">
        <v>71</v>
      </c>
      <c r="F781" s="13">
        <v>776</v>
      </c>
    </row>
    <row r="782" spans="1:6" x14ac:dyDescent="0.25">
      <c r="A782" s="16">
        <v>42819</v>
      </c>
      <c r="B782" s="13" t="s">
        <v>886</v>
      </c>
      <c r="C782" s="13">
        <v>43</v>
      </c>
      <c r="D782" s="13">
        <v>569.98</v>
      </c>
      <c r="E782" s="13" t="s">
        <v>71</v>
      </c>
      <c r="F782" s="13">
        <v>777</v>
      </c>
    </row>
    <row r="783" spans="1:6" x14ac:dyDescent="0.25">
      <c r="A783" s="16">
        <v>42819</v>
      </c>
      <c r="B783" s="13" t="s">
        <v>887</v>
      </c>
      <c r="C783" s="13">
        <v>101</v>
      </c>
      <c r="D783" s="13">
        <v>408.83</v>
      </c>
      <c r="E783" s="13" t="s">
        <v>71</v>
      </c>
      <c r="F783" s="13">
        <v>778</v>
      </c>
    </row>
    <row r="784" spans="1:6" x14ac:dyDescent="0.25">
      <c r="A784" s="16">
        <v>42819</v>
      </c>
      <c r="B784" s="13" t="s">
        <v>888</v>
      </c>
      <c r="C784" s="13">
        <v>44</v>
      </c>
      <c r="D784" s="13">
        <v>337.95</v>
      </c>
      <c r="E784" s="13" t="s">
        <v>71</v>
      </c>
      <c r="F784" s="13">
        <v>779</v>
      </c>
    </row>
    <row r="785" spans="1:6" x14ac:dyDescent="0.25">
      <c r="A785" s="16">
        <v>42819</v>
      </c>
      <c r="B785" s="13" t="s">
        <v>889</v>
      </c>
      <c r="C785" s="13">
        <v>41</v>
      </c>
      <c r="D785" s="13">
        <v>634.9</v>
      </c>
      <c r="E785" s="13" t="s">
        <v>71</v>
      </c>
      <c r="F785" s="13">
        <v>780</v>
      </c>
    </row>
    <row r="786" spans="1:6" x14ac:dyDescent="0.25">
      <c r="A786" s="16">
        <v>42819</v>
      </c>
      <c r="B786" s="13" t="s">
        <v>890</v>
      </c>
      <c r="C786" s="13">
        <v>35</v>
      </c>
      <c r="D786" s="13">
        <v>879.96</v>
      </c>
      <c r="E786" s="13" t="s">
        <v>71</v>
      </c>
      <c r="F786" s="13">
        <v>781</v>
      </c>
    </row>
    <row r="787" spans="1:6" x14ac:dyDescent="0.25">
      <c r="A787" s="16">
        <v>42819</v>
      </c>
      <c r="B787" s="13" t="s">
        <v>891</v>
      </c>
      <c r="C787" s="13">
        <v>103</v>
      </c>
      <c r="D787" s="13">
        <v>868.24</v>
      </c>
      <c r="E787" s="13" t="s">
        <v>71</v>
      </c>
      <c r="F787" s="13">
        <v>782</v>
      </c>
    </row>
    <row r="788" spans="1:6" x14ac:dyDescent="0.25">
      <c r="A788" s="16">
        <v>42818</v>
      </c>
      <c r="B788" s="13" t="s">
        <v>892</v>
      </c>
      <c r="C788" s="13">
        <v>101</v>
      </c>
      <c r="D788" s="13">
        <v>239.98</v>
      </c>
      <c r="E788" s="13" t="s">
        <v>71</v>
      </c>
      <c r="F788" s="13">
        <v>783</v>
      </c>
    </row>
    <row r="789" spans="1:6" x14ac:dyDescent="0.25">
      <c r="A789" s="16">
        <v>42818</v>
      </c>
      <c r="B789" s="13" t="s">
        <v>893</v>
      </c>
      <c r="C789" s="13">
        <v>44</v>
      </c>
      <c r="D789" s="13">
        <v>375.83</v>
      </c>
      <c r="E789" s="13" t="s">
        <v>71</v>
      </c>
      <c r="F789" s="13">
        <v>784</v>
      </c>
    </row>
    <row r="790" spans="1:6" x14ac:dyDescent="0.25">
      <c r="A790" s="16">
        <v>42818</v>
      </c>
      <c r="B790" s="13" t="s">
        <v>894</v>
      </c>
      <c r="C790" s="13">
        <v>103</v>
      </c>
      <c r="D790" s="13">
        <v>845.82</v>
      </c>
      <c r="E790" s="13" t="s">
        <v>71</v>
      </c>
      <c r="F790" s="13">
        <v>785</v>
      </c>
    </row>
    <row r="791" spans="1:6" x14ac:dyDescent="0.25">
      <c r="A791" s="16">
        <v>42818</v>
      </c>
      <c r="B791" s="13" t="s">
        <v>895</v>
      </c>
      <c r="C791" s="13">
        <v>41</v>
      </c>
      <c r="D791" s="13">
        <v>685</v>
      </c>
      <c r="E791" s="13" t="s">
        <v>71</v>
      </c>
      <c r="F791" s="13">
        <v>786</v>
      </c>
    </row>
    <row r="792" spans="1:6" x14ac:dyDescent="0.25">
      <c r="A792" s="16">
        <v>42818</v>
      </c>
      <c r="B792" s="13" t="s">
        <v>896</v>
      </c>
      <c r="C792" s="13">
        <v>35</v>
      </c>
      <c r="D792" s="13">
        <v>837.93</v>
      </c>
      <c r="E792" s="13" t="s">
        <v>71</v>
      </c>
      <c r="F792" s="13">
        <v>787</v>
      </c>
    </row>
    <row r="793" spans="1:6" x14ac:dyDescent="0.25">
      <c r="A793" s="16">
        <v>42818</v>
      </c>
      <c r="B793" s="13" t="s">
        <v>897</v>
      </c>
      <c r="C793" s="13">
        <v>43</v>
      </c>
      <c r="D793" s="13">
        <v>489.9</v>
      </c>
      <c r="E793" s="13" t="s">
        <v>71</v>
      </c>
      <c r="F793" s="13">
        <v>788</v>
      </c>
    </row>
    <row r="794" spans="1:6" x14ac:dyDescent="0.25">
      <c r="A794" s="16">
        <v>42820</v>
      </c>
      <c r="B794" s="13" t="s">
        <v>898</v>
      </c>
      <c r="C794" s="13">
        <v>201</v>
      </c>
      <c r="D794" s="13">
        <v>120</v>
      </c>
      <c r="E794" s="13" t="s">
        <v>71</v>
      </c>
      <c r="F794" s="13">
        <v>789</v>
      </c>
    </row>
    <row r="795" spans="1:6" x14ac:dyDescent="0.25">
      <c r="A795" s="16">
        <v>42820</v>
      </c>
      <c r="B795" s="13" t="s">
        <v>899</v>
      </c>
      <c r="C795" s="13">
        <v>37</v>
      </c>
      <c r="D795" s="13">
        <v>454.78</v>
      </c>
      <c r="E795" s="13" t="s">
        <v>71</v>
      </c>
      <c r="F795" s="13">
        <v>790</v>
      </c>
    </row>
    <row r="796" spans="1:6" x14ac:dyDescent="0.25">
      <c r="A796" s="16">
        <v>42819</v>
      </c>
      <c r="B796" s="13" t="s">
        <v>900</v>
      </c>
      <c r="C796" s="13">
        <v>37</v>
      </c>
      <c r="D796" s="13">
        <v>769.65</v>
      </c>
      <c r="E796" s="13" t="s">
        <v>71</v>
      </c>
      <c r="F796" s="13">
        <v>791</v>
      </c>
    </row>
    <row r="797" spans="1:6" x14ac:dyDescent="0.25">
      <c r="A797" s="16">
        <v>42819</v>
      </c>
      <c r="B797" s="13" t="s">
        <v>901</v>
      </c>
      <c r="C797" s="13">
        <v>201</v>
      </c>
      <c r="D797" s="13">
        <v>515.91999999999996</v>
      </c>
      <c r="E797" s="13" t="s">
        <v>71</v>
      </c>
      <c r="F797" s="13">
        <v>792</v>
      </c>
    </row>
    <row r="798" spans="1:6" x14ac:dyDescent="0.25">
      <c r="A798" s="16">
        <v>42818</v>
      </c>
      <c r="B798" s="13" t="s">
        <v>902</v>
      </c>
      <c r="C798" s="13">
        <v>37</v>
      </c>
      <c r="D798" s="13">
        <v>952.53</v>
      </c>
      <c r="E798" s="13" t="s">
        <v>71</v>
      </c>
      <c r="F798" s="13">
        <v>793</v>
      </c>
    </row>
    <row r="799" spans="1:6" x14ac:dyDescent="0.25">
      <c r="A799" s="16">
        <v>42818</v>
      </c>
      <c r="B799" s="13" t="s">
        <v>903</v>
      </c>
      <c r="C799" s="13">
        <v>201</v>
      </c>
      <c r="D799" s="13">
        <v>320</v>
      </c>
      <c r="E799" s="13" t="s">
        <v>71</v>
      </c>
      <c r="F799" s="13">
        <v>794</v>
      </c>
    </row>
    <row r="800" spans="1:6" x14ac:dyDescent="0.25">
      <c r="A800" s="16">
        <v>42821</v>
      </c>
      <c r="B800" s="13" t="s">
        <v>921</v>
      </c>
      <c r="C800" s="13">
        <v>35</v>
      </c>
      <c r="D800" s="13">
        <v>335.88</v>
      </c>
      <c r="E800" s="13" t="s">
        <v>71</v>
      </c>
      <c r="F800" s="13">
        <v>795</v>
      </c>
    </row>
    <row r="801" spans="1:6" x14ac:dyDescent="0.25">
      <c r="A801" s="16">
        <v>42821</v>
      </c>
      <c r="B801" s="13" t="s">
        <v>922</v>
      </c>
      <c r="C801" s="13">
        <v>103</v>
      </c>
      <c r="D801" s="13">
        <v>330</v>
      </c>
      <c r="E801" s="13" t="s">
        <v>71</v>
      </c>
      <c r="F801" s="13">
        <v>796</v>
      </c>
    </row>
    <row r="802" spans="1:6" x14ac:dyDescent="0.25">
      <c r="A802" s="16">
        <v>42821</v>
      </c>
      <c r="B802" s="13" t="s">
        <v>923</v>
      </c>
      <c r="C802" s="13">
        <v>101</v>
      </c>
      <c r="D802" s="13">
        <v>112.95</v>
      </c>
      <c r="E802" s="13" t="s">
        <v>71</v>
      </c>
      <c r="F802" s="13">
        <v>797</v>
      </c>
    </row>
    <row r="803" spans="1:6" x14ac:dyDescent="0.25">
      <c r="A803" s="16">
        <v>42821</v>
      </c>
      <c r="B803" s="13" t="s">
        <v>924</v>
      </c>
      <c r="C803" s="13">
        <v>41</v>
      </c>
      <c r="D803" s="13">
        <v>152.94999999999999</v>
      </c>
      <c r="E803" s="13" t="s">
        <v>71</v>
      </c>
      <c r="F803" s="13">
        <v>798</v>
      </c>
    </row>
    <row r="804" spans="1:6" x14ac:dyDescent="0.25">
      <c r="A804" s="16">
        <v>42821</v>
      </c>
      <c r="B804" s="13" t="s">
        <v>925</v>
      </c>
      <c r="C804" s="13">
        <v>44</v>
      </c>
      <c r="D804" s="13">
        <v>235</v>
      </c>
      <c r="E804" s="13" t="s">
        <v>71</v>
      </c>
      <c r="F804" s="13">
        <v>799</v>
      </c>
    </row>
    <row r="805" spans="1:6" x14ac:dyDescent="0.25">
      <c r="A805" s="16">
        <v>42821</v>
      </c>
      <c r="B805" s="13" t="s">
        <v>926</v>
      </c>
      <c r="C805" s="13">
        <v>43</v>
      </c>
      <c r="D805" s="13">
        <v>235</v>
      </c>
      <c r="E805" s="13" t="s">
        <v>71</v>
      </c>
      <c r="F805" s="13">
        <v>800</v>
      </c>
    </row>
    <row r="806" spans="1:6" x14ac:dyDescent="0.25">
      <c r="A806" s="16">
        <v>42821</v>
      </c>
      <c r="B806" s="13" t="s">
        <v>927</v>
      </c>
      <c r="C806" s="13">
        <v>37</v>
      </c>
      <c r="D806" s="13">
        <v>135</v>
      </c>
      <c r="E806" s="13" t="s">
        <v>71</v>
      </c>
      <c r="F806" s="13">
        <v>801</v>
      </c>
    </row>
    <row r="807" spans="1:6" x14ac:dyDescent="0.25">
      <c r="A807" s="16">
        <v>42821</v>
      </c>
      <c r="B807" s="13" t="s">
        <v>928</v>
      </c>
      <c r="C807" s="13">
        <v>201</v>
      </c>
      <c r="D807" s="13">
        <v>210</v>
      </c>
      <c r="E807" s="13" t="s">
        <v>71</v>
      </c>
      <c r="F807" s="13">
        <v>802</v>
      </c>
    </row>
    <row r="808" spans="1:6" x14ac:dyDescent="0.25">
      <c r="A808" s="16">
        <v>42822</v>
      </c>
      <c r="B808" s="13" t="s">
        <v>930</v>
      </c>
      <c r="C808" s="13">
        <v>43</v>
      </c>
      <c r="D808" s="13">
        <v>424.88</v>
      </c>
      <c r="E808" s="13" t="s">
        <v>71</v>
      </c>
      <c r="F808" s="13">
        <v>803</v>
      </c>
    </row>
    <row r="809" spans="1:6" x14ac:dyDescent="0.25">
      <c r="A809" s="16">
        <v>42822</v>
      </c>
      <c r="B809" s="13" t="s">
        <v>931</v>
      </c>
      <c r="C809" s="13">
        <v>44</v>
      </c>
      <c r="D809" s="13">
        <v>257.89999999999998</v>
      </c>
      <c r="E809" s="13" t="s">
        <v>71</v>
      </c>
      <c r="F809" s="13">
        <v>804</v>
      </c>
    </row>
    <row r="810" spans="1:6" x14ac:dyDescent="0.25">
      <c r="A810" s="16">
        <v>42822</v>
      </c>
      <c r="B810" s="13" t="s">
        <v>932</v>
      </c>
      <c r="C810" s="13">
        <v>103</v>
      </c>
      <c r="D810" s="13">
        <v>282.8</v>
      </c>
      <c r="E810" s="13" t="s">
        <v>71</v>
      </c>
      <c r="F810" s="13">
        <v>805</v>
      </c>
    </row>
    <row r="811" spans="1:6" x14ac:dyDescent="0.25">
      <c r="A811" s="16">
        <v>42822</v>
      </c>
      <c r="B811" s="13" t="s">
        <v>933</v>
      </c>
      <c r="C811" s="13">
        <v>41</v>
      </c>
      <c r="D811" s="13">
        <v>161.80000000000001</v>
      </c>
      <c r="E811" s="13" t="s">
        <v>71</v>
      </c>
      <c r="F811" s="13">
        <v>806</v>
      </c>
    </row>
    <row r="812" spans="1:6" x14ac:dyDescent="0.25">
      <c r="A812" s="16">
        <v>42822</v>
      </c>
      <c r="B812" s="13" t="s">
        <v>934</v>
      </c>
      <c r="C812" s="13">
        <v>101</v>
      </c>
      <c r="D812" s="13">
        <v>155</v>
      </c>
      <c r="E812" s="13" t="s">
        <v>71</v>
      </c>
      <c r="F812" s="13">
        <v>807</v>
      </c>
    </row>
    <row r="813" spans="1:6" x14ac:dyDescent="0.25">
      <c r="A813" s="16">
        <v>42822</v>
      </c>
      <c r="B813" s="13" t="s">
        <v>935</v>
      </c>
      <c r="C813" s="13">
        <v>35</v>
      </c>
      <c r="D813" s="13">
        <v>529.73</v>
      </c>
      <c r="E813" s="13" t="s">
        <v>71</v>
      </c>
      <c r="F813" s="13">
        <v>808</v>
      </c>
    </row>
    <row r="814" spans="1:6" x14ac:dyDescent="0.25">
      <c r="A814" s="16">
        <v>42822</v>
      </c>
      <c r="B814" s="13" t="s">
        <v>936</v>
      </c>
      <c r="C814" s="13">
        <v>201</v>
      </c>
      <c r="D814" s="13">
        <v>325</v>
      </c>
      <c r="E814" s="13" t="s">
        <v>71</v>
      </c>
      <c r="F814" s="13">
        <v>809</v>
      </c>
    </row>
    <row r="815" spans="1:6" x14ac:dyDescent="0.25">
      <c r="A815" s="16">
        <v>42822</v>
      </c>
      <c r="B815" s="13" t="s">
        <v>937</v>
      </c>
      <c r="C815" s="13">
        <v>37</v>
      </c>
      <c r="D815" s="13">
        <v>455.85</v>
      </c>
      <c r="E815" s="13" t="s">
        <v>71</v>
      </c>
      <c r="F815" s="13">
        <v>810</v>
      </c>
    </row>
    <row r="816" spans="1:6" x14ac:dyDescent="0.25">
      <c r="A816" s="16">
        <v>42823</v>
      </c>
      <c r="B816" s="13" t="s">
        <v>938</v>
      </c>
      <c r="C816" s="13">
        <v>44</v>
      </c>
      <c r="D816" s="13">
        <v>127.95</v>
      </c>
      <c r="E816" s="13" t="s">
        <v>71</v>
      </c>
      <c r="F816" s="13">
        <v>811</v>
      </c>
    </row>
    <row r="817" spans="1:6" x14ac:dyDescent="0.25">
      <c r="A817" s="16">
        <v>42823</v>
      </c>
      <c r="B817" s="13" t="s">
        <v>939</v>
      </c>
      <c r="C817" s="13">
        <v>101</v>
      </c>
      <c r="D817" s="13">
        <v>167.95</v>
      </c>
      <c r="E817" s="13" t="s">
        <v>71</v>
      </c>
      <c r="F817" s="13">
        <v>812</v>
      </c>
    </row>
    <row r="818" spans="1:6" x14ac:dyDescent="0.25">
      <c r="A818" s="16">
        <v>42823</v>
      </c>
      <c r="B818" s="13" t="s">
        <v>940</v>
      </c>
      <c r="C818" s="13">
        <v>41</v>
      </c>
      <c r="D818" s="13">
        <v>419.98</v>
      </c>
      <c r="E818" s="13" t="s">
        <v>71</v>
      </c>
      <c r="F818" s="13">
        <v>813</v>
      </c>
    </row>
    <row r="819" spans="1:6" x14ac:dyDescent="0.25">
      <c r="A819" s="16">
        <v>42823</v>
      </c>
      <c r="B819" s="13" t="s">
        <v>941</v>
      </c>
      <c r="C819" s="13">
        <v>43</v>
      </c>
      <c r="D819" s="13">
        <v>290</v>
      </c>
      <c r="E819" s="13" t="s">
        <v>71</v>
      </c>
      <c r="F819" s="13">
        <v>814</v>
      </c>
    </row>
    <row r="820" spans="1:6" x14ac:dyDescent="0.25">
      <c r="A820" s="16">
        <v>42823</v>
      </c>
      <c r="B820" s="13" t="s">
        <v>942</v>
      </c>
      <c r="C820" s="13">
        <v>103</v>
      </c>
      <c r="D820" s="13">
        <v>579.70000000000005</v>
      </c>
      <c r="E820" s="13" t="s">
        <v>71</v>
      </c>
      <c r="F820" s="13">
        <v>815</v>
      </c>
    </row>
    <row r="821" spans="1:6" x14ac:dyDescent="0.25">
      <c r="A821" s="16">
        <v>42823</v>
      </c>
      <c r="B821" s="13" t="s">
        <v>943</v>
      </c>
      <c r="C821" s="13">
        <v>35</v>
      </c>
      <c r="D821" s="13">
        <v>673.77</v>
      </c>
      <c r="E821" s="13" t="s">
        <v>71</v>
      </c>
      <c r="F821" s="13">
        <v>816</v>
      </c>
    </row>
    <row r="822" spans="1:6" x14ac:dyDescent="0.25">
      <c r="A822" s="16">
        <v>42823</v>
      </c>
      <c r="B822" s="13" t="s">
        <v>944</v>
      </c>
      <c r="C822" s="13">
        <v>37</v>
      </c>
      <c r="D822" s="13">
        <v>194.88</v>
      </c>
      <c r="E822" s="13" t="s">
        <v>71</v>
      </c>
      <c r="F822" s="13">
        <v>817</v>
      </c>
    </row>
    <row r="823" spans="1:6" x14ac:dyDescent="0.25">
      <c r="A823" s="16">
        <v>42823</v>
      </c>
      <c r="B823" s="13" t="s">
        <v>945</v>
      </c>
      <c r="C823" s="13">
        <v>201</v>
      </c>
      <c r="D823" s="13">
        <v>209.98</v>
      </c>
      <c r="E823" s="13" t="s">
        <v>71</v>
      </c>
      <c r="F823" s="13">
        <v>818</v>
      </c>
    </row>
    <row r="824" spans="1:6" x14ac:dyDescent="0.25">
      <c r="A824" s="16">
        <v>42824</v>
      </c>
      <c r="B824" s="13" t="s">
        <v>946</v>
      </c>
      <c r="C824" s="13">
        <v>41</v>
      </c>
      <c r="D824" s="13">
        <v>559.91</v>
      </c>
      <c r="E824" s="13" t="s">
        <v>71</v>
      </c>
      <c r="F824" s="13">
        <v>819</v>
      </c>
    </row>
    <row r="825" spans="1:6" x14ac:dyDescent="0.25">
      <c r="A825" s="16">
        <v>42824</v>
      </c>
      <c r="B825" s="13" t="s">
        <v>947</v>
      </c>
      <c r="C825" s="13">
        <v>103</v>
      </c>
      <c r="D825" s="13">
        <v>1075.74</v>
      </c>
      <c r="E825" s="13" t="s">
        <v>71</v>
      </c>
      <c r="F825" s="13">
        <v>820</v>
      </c>
    </row>
    <row r="826" spans="1:6" x14ac:dyDescent="0.25">
      <c r="A826" s="16">
        <v>42824</v>
      </c>
      <c r="B826" s="13" t="s">
        <v>948</v>
      </c>
      <c r="C826" s="13">
        <v>101</v>
      </c>
      <c r="D826" s="13">
        <v>454.92</v>
      </c>
      <c r="E826" s="13" t="s">
        <v>71</v>
      </c>
      <c r="F826" s="13">
        <v>821</v>
      </c>
    </row>
    <row r="827" spans="1:6" x14ac:dyDescent="0.25">
      <c r="A827" s="16">
        <v>42824</v>
      </c>
      <c r="B827" s="13" t="s">
        <v>949</v>
      </c>
      <c r="C827" s="13">
        <v>43</v>
      </c>
      <c r="D827" s="13">
        <v>450</v>
      </c>
      <c r="E827" s="13" t="s">
        <v>71</v>
      </c>
      <c r="F827" s="13">
        <v>822</v>
      </c>
    </row>
    <row r="828" spans="1:6" x14ac:dyDescent="0.25">
      <c r="A828" s="16">
        <v>42824</v>
      </c>
      <c r="B828" s="13" t="s">
        <v>950</v>
      </c>
      <c r="C828" s="13">
        <v>35</v>
      </c>
      <c r="D828" s="13">
        <v>921.76</v>
      </c>
      <c r="E828" s="13" t="s">
        <v>71</v>
      </c>
      <c r="F828" s="13">
        <v>823</v>
      </c>
    </row>
    <row r="829" spans="1:6" x14ac:dyDescent="0.25">
      <c r="A829" s="16">
        <v>42824</v>
      </c>
      <c r="B829" s="13" t="s">
        <v>951</v>
      </c>
      <c r="C829" s="13">
        <v>44</v>
      </c>
      <c r="D829" s="13">
        <v>350</v>
      </c>
      <c r="E829" s="13" t="s">
        <v>71</v>
      </c>
      <c r="F829" s="13">
        <v>824</v>
      </c>
    </row>
    <row r="830" spans="1:6" x14ac:dyDescent="0.25">
      <c r="A830" s="16">
        <v>42824</v>
      </c>
      <c r="B830" s="13" t="s">
        <v>952</v>
      </c>
      <c r="C830" s="13">
        <v>37</v>
      </c>
      <c r="D830" s="13">
        <v>1022.93</v>
      </c>
      <c r="E830" s="13" t="s">
        <v>71</v>
      </c>
      <c r="F830" s="13">
        <v>825</v>
      </c>
    </row>
    <row r="831" spans="1:6" x14ac:dyDescent="0.25">
      <c r="A831" s="16">
        <v>42824</v>
      </c>
      <c r="B831" s="13" t="s">
        <v>953</v>
      </c>
      <c r="C831" s="13">
        <v>201</v>
      </c>
      <c r="D831" s="13">
        <v>689.73</v>
      </c>
      <c r="E831" s="13" t="s">
        <v>71</v>
      </c>
      <c r="F831" s="13">
        <v>826</v>
      </c>
    </row>
    <row r="832" spans="1:6" x14ac:dyDescent="0.25">
      <c r="A832" s="16">
        <v>42827</v>
      </c>
      <c r="B832" s="13" t="s">
        <v>954</v>
      </c>
      <c r="C832" s="13">
        <v>44</v>
      </c>
      <c r="D832" s="13">
        <v>175</v>
      </c>
      <c r="E832" s="13" t="s">
        <v>71</v>
      </c>
      <c r="F832" s="13">
        <v>827</v>
      </c>
    </row>
    <row r="833" spans="1:6" x14ac:dyDescent="0.25">
      <c r="A833" s="16">
        <v>42827</v>
      </c>
      <c r="B833" s="13" t="s">
        <v>955</v>
      </c>
      <c r="C833" s="13">
        <v>103</v>
      </c>
      <c r="D833" s="13">
        <v>185</v>
      </c>
      <c r="E833" s="13" t="s">
        <v>71</v>
      </c>
      <c r="F833" s="13">
        <v>828</v>
      </c>
    </row>
    <row r="834" spans="1:6" x14ac:dyDescent="0.25">
      <c r="A834" s="16">
        <v>42827</v>
      </c>
      <c r="B834" s="13" t="s">
        <v>956</v>
      </c>
      <c r="C834" s="13">
        <v>101</v>
      </c>
      <c r="D834" s="13">
        <v>70</v>
      </c>
      <c r="E834" s="13" t="s">
        <v>71</v>
      </c>
      <c r="F834" s="13">
        <v>829</v>
      </c>
    </row>
    <row r="835" spans="1:6" x14ac:dyDescent="0.25">
      <c r="A835" s="16">
        <v>42827</v>
      </c>
      <c r="B835" s="13" t="s">
        <v>957</v>
      </c>
      <c r="C835" s="13">
        <v>41</v>
      </c>
      <c r="D835" s="13">
        <v>270</v>
      </c>
      <c r="E835" s="13" t="s">
        <v>71</v>
      </c>
      <c r="F835" s="13">
        <v>830</v>
      </c>
    </row>
    <row r="836" spans="1:6" x14ac:dyDescent="0.25">
      <c r="A836" s="16">
        <v>42827</v>
      </c>
      <c r="B836" s="13" t="s">
        <v>958</v>
      </c>
      <c r="C836" s="13">
        <v>35</v>
      </c>
      <c r="D836" s="13">
        <v>762.6</v>
      </c>
      <c r="E836" s="13" t="s">
        <v>71</v>
      </c>
      <c r="F836" s="13">
        <v>831</v>
      </c>
    </row>
    <row r="837" spans="1:6" x14ac:dyDescent="0.25">
      <c r="A837" s="16">
        <v>42827</v>
      </c>
      <c r="B837" s="13" t="s">
        <v>959</v>
      </c>
      <c r="C837" s="13">
        <v>43</v>
      </c>
      <c r="D837" s="13">
        <v>374.96</v>
      </c>
      <c r="E837" s="13" t="s">
        <v>71</v>
      </c>
      <c r="F837" s="13">
        <v>832</v>
      </c>
    </row>
    <row r="838" spans="1:6" x14ac:dyDescent="0.25">
      <c r="A838" s="16">
        <v>42826</v>
      </c>
      <c r="B838" s="13" t="s">
        <v>960</v>
      </c>
      <c r="C838" s="13">
        <v>41</v>
      </c>
      <c r="D838" s="13">
        <v>375</v>
      </c>
      <c r="E838" s="13" t="s">
        <v>71</v>
      </c>
      <c r="F838" s="13">
        <v>833</v>
      </c>
    </row>
    <row r="839" spans="1:6" x14ac:dyDescent="0.25">
      <c r="A839" s="16">
        <v>42826</v>
      </c>
      <c r="B839" s="13" t="s">
        <v>961</v>
      </c>
      <c r="C839" s="13">
        <v>101</v>
      </c>
      <c r="D839" s="13">
        <v>282.89</v>
      </c>
      <c r="E839" s="13" t="s">
        <v>71</v>
      </c>
      <c r="F839" s="13">
        <v>834</v>
      </c>
    </row>
    <row r="840" spans="1:6" x14ac:dyDescent="0.25">
      <c r="A840" s="16">
        <v>42826</v>
      </c>
      <c r="B840" s="13" t="s">
        <v>962</v>
      </c>
      <c r="C840" s="13">
        <v>43</v>
      </c>
      <c r="D840" s="13">
        <v>545</v>
      </c>
      <c r="E840" s="13" t="s">
        <v>71</v>
      </c>
      <c r="F840" s="13">
        <v>835</v>
      </c>
    </row>
    <row r="841" spans="1:6" x14ac:dyDescent="0.25">
      <c r="A841" s="16">
        <v>42826</v>
      </c>
      <c r="B841" s="13" t="s">
        <v>963</v>
      </c>
      <c r="C841" s="13">
        <v>103</v>
      </c>
      <c r="D841" s="13">
        <v>582.91</v>
      </c>
      <c r="E841" s="13" t="s">
        <v>71</v>
      </c>
      <c r="F841" s="13">
        <v>836</v>
      </c>
    </row>
    <row r="842" spans="1:6" x14ac:dyDescent="0.25">
      <c r="A842" s="16">
        <v>42826</v>
      </c>
      <c r="B842" s="13" t="s">
        <v>964</v>
      </c>
      <c r="C842" s="13">
        <v>44</v>
      </c>
      <c r="D842" s="13">
        <v>577.91</v>
      </c>
      <c r="E842" s="13" t="s">
        <v>71</v>
      </c>
      <c r="F842" s="13">
        <v>837</v>
      </c>
    </row>
    <row r="843" spans="1:6" x14ac:dyDescent="0.25">
      <c r="A843" s="16">
        <v>42826</v>
      </c>
      <c r="B843" s="13" t="s">
        <v>965</v>
      </c>
      <c r="C843" s="13">
        <v>35</v>
      </c>
      <c r="D843" s="13">
        <v>524.9</v>
      </c>
      <c r="E843" s="13" t="s">
        <v>71</v>
      </c>
      <c r="F843" s="13">
        <v>838</v>
      </c>
    </row>
    <row r="844" spans="1:6" x14ac:dyDescent="0.25">
      <c r="A844" s="16">
        <v>42825</v>
      </c>
      <c r="B844" s="13" t="s">
        <v>966</v>
      </c>
      <c r="C844" s="13">
        <v>43</v>
      </c>
      <c r="D844" s="13">
        <v>364.96</v>
      </c>
      <c r="E844" s="13" t="s">
        <v>71</v>
      </c>
      <c r="F844" s="13">
        <v>839</v>
      </c>
    </row>
    <row r="845" spans="1:6" x14ac:dyDescent="0.25">
      <c r="A845" s="16">
        <v>42825</v>
      </c>
      <c r="B845" s="13" t="s">
        <v>967</v>
      </c>
      <c r="C845" s="13">
        <v>101</v>
      </c>
      <c r="D845" s="13">
        <v>554.87</v>
      </c>
      <c r="E845" s="13" t="s">
        <v>71</v>
      </c>
      <c r="F845" s="13">
        <v>840</v>
      </c>
    </row>
    <row r="846" spans="1:6" x14ac:dyDescent="0.25">
      <c r="A846" s="16">
        <v>42825</v>
      </c>
      <c r="B846" s="13" t="s">
        <v>968</v>
      </c>
      <c r="C846" s="13">
        <v>35</v>
      </c>
      <c r="D846" s="13">
        <v>339.96</v>
      </c>
      <c r="E846" s="13" t="s">
        <v>71</v>
      </c>
      <c r="F846" s="13">
        <v>841</v>
      </c>
    </row>
    <row r="847" spans="1:6" x14ac:dyDescent="0.25">
      <c r="A847" s="16">
        <v>42825</v>
      </c>
      <c r="B847" s="13" t="s">
        <v>969</v>
      </c>
      <c r="C847" s="13">
        <v>44</v>
      </c>
      <c r="D847" s="13">
        <v>205.88</v>
      </c>
      <c r="E847" s="13" t="s">
        <v>71</v>
      </c>
      <c r="F847" s="13">
        <v>842</v>
      </c>
    </row>
    <row r="848" spans="1:6" x14ac:dyDescent="0.25">
      <c r="A848" s="16">
        <v>42825</v>
      </c>
      <c r="B848" s="13" t="s">
        <v>970</v>
      </c>
      <c r="C848" s="13">
        <v>103</v>
      </c>
      <c r="D848" s="13">
        <v>197.95</v>
      </c>
      <c r="E848" s="13" t="s">
        <v>71</v>
      </c>
      <c r="F848" s="13">
        <v>843</v>
      </c>
    </row>
    <row r="849" spans="1:6" x14ac:dyDescent="0.25">
      <c r="A849" s="16">
        <v>42825</v>
      </c>
      <c r="B849" s="13" t="s">
        <v>971</v>
      </c>
      <c r="C849" s="13">
        <v>41</v>
      </c>
      <c r="D849" s="13">
        <v>588.83000000000004</v>
      </c>
      <c r="E849" s="13" t="s">
        <v>71</v>
      </c>
      <c r="F849" s="13">
        <v>844</v>
      </c>
    </row>
    <row r="850" spans="1:6" x14ac:dyDescent="0.25">
      <c r="A850" s="16">
        <v>42827</v>
      </c>
      <c r="B850" s="13" t="s">
        <v>972</v>
      </c>
      <c r="C850" s="13">
        <v>201</v>
      </c>
      <c r="D850" s="13">
        <v>310</v>
      </c>
      <c r="E850" s="13" t="s">
        <v>71</v>
      </c>
      <c r="F850" s="13">
        <v>845</v>
      </c>
    </row>
    <row r="851" spans="1:6" x14ac:dyDescent="0.25">
      <c r="A851" s="16">
        <v>42827</v>
      </c>
      <c r="B851" s="13" t="s">
        <v>973</v>
      </c>
      <c r="C851" s="13">
        <v>37</v>
      </c>
      <c r="D851" s="13">
        <v>934.94</v>
      </c>
      <c r="E851" s="13" t="s">
        <v>71</v>
      </c>
      <c r="F851" s="13">
        <v>846</v>
      </c>
    </row>
    <row r="852" spans="1:6" x14ac:dyDescent="0.25">
      <c r="A852" s="16">
        <v>42826</v>
      </c>
      <c r="B852" s="13" t="s">
        <v>974</v>
      </c>
      <c r="C852" s="13">
        <v>201</v>
      </c>
      <c r="D852" s="13">
        <v>408</v>
      </c>
      <c r="E852" s="13" t="s">
        <v>71</v>
      </c>
      <c r="F852" s="13">
        <v>847</v>
      </c>
    </row>
    <row r="853" spans="1:6" x14ac:dyDescent="0.25">
      <c r="A853" s="16">
        <v>42826</v>
      </c>
      <c r="B853" s="13" t="s">
        <v>975</v>
      </c>
      <c r="C853" s="13">
        <v>37</v>
      </c>
      <c r="D853" s="13">
        <v>894.88</v>
      </c>
      <c r="E853" s="13" t="s">
        <v>71</v>
      </c>
      <c r="F853" s="13">
        <v>848</v>
      </c>
    </row>
    <row r="854" spans="1:6" x14ac:dyDescent="0.25">
      <c r="A854" s="16">
        <v>42825</v>
      </c>
      <c r="B854" s="13" t="s">
        <v>976</v>
      </c>
      <c r="C854" s="13">
        <v>201</v>
      </c>
      <c r="D854" s="13">
        <v>444.96</v>
      </c>
      <c r="E854" s="13" t="s">
        <v>71</v>
      </c>
      <c r="F854" s="13">
        <v>849</v>
      </c>
    </row>
    <row r="855" spans="1:6" x14ac:dyDescent="0.25">
      <c r="A855" s="16">
        <v>42825</v>
      </c>
      <c r="B855" s="13" t="s">
        <v>977</v>
      </c>
      <c r="C855" s="13">
        <v>37</v>
      </c>
      <c r="D855" s="13">
        <v>1197.8499999999999</v>
      </c>
      <c r="E855" s="13" t="s">
        <v>71</v>
      </c>
      <c r="F855" s="13">
        <v>850</v>
      </c>
    </row>
    <row r="856" spans="1:6" x14ac:dyDescent="0.25">
      <c r="A856" s="16">
        <v>42828</v>
      </c>
      <c r="B856" s="13" t="s">
        <v>978</v>
      </c>
      <c r="C856" s="13">
        <v>101</v>
      </c>
      <c r="D856" s="13">
        <v>115</v>
      </c>
      <c r="E856" s="13" t="s">
        <v>71</v>
      </c>
      <c r="F856" s="13">
        <v>851</v>
      </c>
    </row>
    <row r="857" spans="1:6" x14ac:dyDescent="0.25">
      <c r="A857" s="16">
        <v>42828</v>
      </c>
      <c r="B857" s="13" t="s">
        <v>979</v>
      </c>
      <c r="C857" s="13">
        <v>41</v>
      </c>
      <c r="D857" s="13">
        <v>313.83</v>
      </c>
      <c r="E857" s="13" t="s">
        <v>71</v>
      </c>
      <c r="F857" s="13">
        <v>852</v>
      </c>
    </row>
    <row r="858" spans="1:6" x14ac:dyDescent="0.25">
      <c r="A858" s="16">
        <v>42828</v>
      </c>
      <c r="B858" s="13" t="s">
        <v>980</v>
      </c>
      <c r="C858" s="13">
        <v>103</v>
      </c>
      <c r="D858" s="13">
        <v>546.73</v>
      </c>
      <c r="E858" s="13" t="s">
        <v>71</v>
      </c>
      <c r="F858" s="13">
        <v>853</v>
      </c>
    </row>
    <row r="859" spans="1:6" x14ac:dyDescent="0.25">
      <c r="A859" s="16">
        <v>42828</v>
      </c>
      <c r="B859" s="13" t="s">
        <v>981</v>
      </c>
      <c r="C859" s="13">
        <v>43</v>
      </c>
      <c r="D859" s="13">
        <v>155</v>
      </c>
      <c r="E859" s="13" t="s">
        <v>71</v>
      </c>
      <c r="F859" s="13">
        <v>854</v>
      </c>
    </row>
    <row r="860" spans="1:6" x14ac:dyDescent="0.25">
      <c r="A860" s="16">
        <v>42828</v>
      </c>
      <c r="B860" s="13" t="s">
        <v>982</v>
      </c>
      <c r="C860" s="13">
        <v>44</v>
      </c>
      <c r="D860" s="13">
        <v>329.73</v>
      </c>
      <c r="E860" s="13" t="s">
        <v>71</v>
      </c>
      <c r="F860" s="13">
        <v>855</v>
      </c>
    </row>
    <row r="861" spans="1:6" x14ac:dyDescent="0.25">
      <c r="A861" s="16">
        <v>42828</v>
      </c>
      <c r="B861" s="13" t="s">
        <v>983</v>
      </c>
      <c r="C861" s="13">
        <v>35</v>
      </c>
      <c r="D861" s="13">
        <v>492.87</v>
      </c>
      <c r="E861" s="13" t="s">
        <v>71</v>
      </c>
      <c r="F861" s="13">
        <v>856</v>
      </c>
    </row>
    <row r="862" spans="1:6" x14ac:dyDescent="0.25">
      <c r="A862" s="16">
        <v>42828</v>
      </c>
      <c r="B862" s="13" t="s">
        <v>984</v>
      </c>
      <c r="C862" s="13">
        <v>201</v>
      </c>
      <c r="D862" s="13">
        <v>349.98</v>
      </c>
      <c r="E862" s="13" t="s">
        <v>71</v>
      </c>
      <c r="F862" s="13">
        <v>857</v>
      </c>
    </row>
    <row r="863" spans="1:6" x14ac:dyDescent="0.25">
      <c r="A863" s="16">
        <v>42828</v>
      </c>
      <c r="B863" s="13" t="s">
        <v>985</v>
      </c>
      <c r="C863" s="13">
        <v>37</v>
      </c>
      <c r="D863" s="13">
        <v>495</v>
      </c>
      <c r="E863" s="13" t="s">
        <v>71</v>
      </c>
      <c r="F863" s="13">
        <v>858</v>
      </c>
    </row>
    <row r="864" spans="1:6" x14ac:dyDescent="0.25">
      <c r="A864" s="16">
        <v>42830</v>
      </c>
      <c r="B864" s="13" t="s">
        <v>987</v>
      </c>
      <c r="C864" s="13">
        <v>43</v>
      </c>
      <c r="D864" s="13">
        <v>294.98</v>
      </c>
      <c r="E864" s="13" t="s">
        <v>71</v>
      </c>
      <c r="F864" s="13">
        <v>859</v>
      </c>
    </row>
    <row r="865" spans="1:6" x14ac:dyDescent="0.25">
      <c r="A865" s="16">
        <v>42830</v>
      </c>
      <c r="B865" s="13" t="s">
        <v>988</v>
      </c>
      <c r="C865" s="13">
        <v>44</v>
      </c>
      <c r="D865" s="13">
        <v>445</v>
      </c>
      <c r="E865" s="13" t="s">
        <v>71</v>
      </c>
      <c r="F865" s="13">
        <v>860</v>
      </c>
    </row>
    <row r="866" spans="1:6" x14ac:dyDescent="0.25">
      <c r="A866" s="16">
        <v>42830</v>
      </c>
      <c r="B866" s="13" t="s">
        <v>989</v>
      </c>
      <c r="C866" s="13">
        <v>103</v>
      </c>
      <c r="D866" s="13">
        <v>492.78</v>
      </c>
      <c r="E866" s="13" t="s">
        <v>71</v>
      </c>
      <c r="F866" s="13">
        <v>861</v>
      </c>
    </row>
    <row r="867" spans="1:6" x14ac:dyDescent="0.25">
      <c r="A867" s="16">
        <v>42830</v>
      </c>
      <c r="B867" s="13" t="s">
        <v>990</v>
      </c>
      <c r="C867" s="13">
        <v>35</v>
      </c>
      <c r="D867" s="13">
        <v>522.89</v>
      </c>
      <c r="E867" s="13" t="s">
        <v>71</v>
      </c>
      <c r="F867" s="13">
        <v>862</v>
      </c>
    </row>
    <row r="868" spans="1:6" x14ac:dyDescent="0.25">
      <c r="A868" s="16">
        <v>42830</v>
      </c>
      <c r="B868" s="13" t="s">
        <v>991</v>
      </c>
      <c r="C868" s="13">
        <v>101</v>
      </c>
      <c r="D868" s="13">
        <v>404.98</v>
      </c>
      <c r="E868" s="13" t="s">
        <v>71</v>
      </c>
      <c r="F868" s="13">
        <v>863</v>
      </c>
    </row>
    <row r="869" spans="1:6" x14ac:dyDescent="0.25">
      <c r="A869" s="16">
        <v>42830</v>
      </c>
      <c r="B869" s="13" t="s">
        <v>992</v>
      </c>
      <c r="C869" s="13">
        <v>41</v>
      </c>
      <c r="D869" s="13">
        <v>550.9</v>
      </c>
      <c r="E869" s="13" t="s">
        <v>71</v>
      </c>
      <c r="F869" s="13">
        <v>864</v>
      </c>
    </row>
    <row r="870" spans="1:6" x14ac:dyDescent="0.25">
      <c r="A870" s="16">
        <v>42829</v>
      </c>
      <c r="B870" s="13" t="s">
        <v>993</v>
      </c>
      <c r="C870" s="13">
        <v>41</v>
      </c>
      <c r="D870" s="13">
        <v>509.96</v>
      </c>
      <c r="E870" s="13" t="s">
        <v>71</v>
      </c>
      <c r="F870" s="13">
        <v>865</v>
      </c>
    </row>
    <row r="871" spans="1:6" x14ac:dyDescent="0.25">
      <c r="A871" s="16">
        <v>42829</v>
      </c>
      <c r="B871" s="13" t="s">
        <v>994</v>
      </c>
      <c r="C871" s="13">
        <v>101</v>
      </c>
      <c r="D871" s="13">
        <v>476.75</v>
      </c>
      <c r="E871" s="13" t="s">
        <v>71</v>
      </c>
      <c r="F871" s="13">
        <v>866</v>
      </c>
    </row>
    <row r="872" spans="1:6" x14ac:dyDescent="0.25">
      <c r="A872" s="16">
        <v>42829</v>
      </c>
      <c r="B872" s="13" t="s">
        <v>995</v>
      </c>
      <c r="C872" s="13">
        <v>103</v>
      </c>
      <c r="D872" s="13">
        <v>265.85000000000002</v>
      </c>
      <c r="E872" s="13" t="s">
        <v>71</v>
      </c>
      <c r="F872" s="13">
        <v>867</v>
      </c>
    </row>
    <row r="873" spans="1:6" x14ac:dyDescent="0.25">
      <c r="A873" s="16">
        <v>42829</v>
      </c>
      <c r="B873" s="13" t="s">
        <v>996</v>
      </c>
      <c r="C873" s="13">
        <v>43</v>
      </c>
      <c r="D873" s="13">
        <v>325</v>
      </c>
      <c r="E873" s="13" t="s">
        <v>71</v>
      </c>
      <c r="F873" s="13">
        <v>868</v>
      </c>
    </row>
    <row r="874" spans="1:6" x14ac:dyDescent="0.25">
      <c r="A874" s="16">
        <v>42829</v>
      </c>
      <c r="B874" s="13" t="s">
        <v>997</v>
      </c>
      <c r="C874" s="13">
        <v>35</v>
      </c>
      <c r="D874" s="13">
        <v>538.80999999999995</v>
      </c>
      <c r="E874" s="13" t="s">
        <v>71</v>
      </c>
      <c r="F874" s="13">
        <v>869</v>
      </c>
    </row>
    <row r="875" spans="1:6" x14ac:dyDescent="0.25">
      <c r="A875" s="16">
        <v>42829</v>
      </c>
      <c r="B875" s="13" t="s">
        <v>998</v>
      </c>
      <c r="C875" s="13">
        <v>44</v>
      </c>
      <c r="D875" s="13">
        <v>275</v>
      </c>
      <c r="E875" s="13" t="s">
        <v>71</v>
      </c>
      <c r="F875" s="13">
        <v>870</v>
      </c>
    </row>
    <row r="876" spans="1:6" x14ac:dyDescent="0.25">
      <c r="A876" s="16">
        <v>42830</v>
      </c>
      <c r="B876" s="13" t="s">
        <v>999</v>
      </c>
      <c r="C876" s="13">
        <v>37</v>
      </c>
      <c r="D876" s="13">
        <v>477.8</v>
      </c>
      <c r="E876" s="13" t="s">
        <v>71</v>
      </c>
      <c r="F876" s="13">
        <v>871</v>
      </c>
    </row>
    <row r="877" spans="1:6" x14ac:dyDescent="0.25">
      <c r="A877" s="16">
        <v>42830</v>
      </c>
      <c r="B877" s="13" t="s">
        <v>1000</v>
      </c>
      <c r="C877" s="13">
        <v>201</v>
      </c>
      <c r="D877" s="13">
        <v>110</v>
      </c>
      <c r="E877" s="13" t="s">
        <v>71</v>
      </c>
      <c r="F877" s="13">
        <v>872</v>
      </c>
    </row>
    <row r="878" spans="1:6" x14ac:dyDescent="0.25">
      <c r="A878" s="16">
        <v>42829</v>
      </c>
      <c r="B878" s="13" t="s">
        <v>1001</v>
      </c>
      <c r="C878" s="13">
        <v>201</v>
      </c>
      <c r="D878" s="13">
        <v>115</v>
      </c>
      <c r="E878" s="13" t="s">
        <v>71</v>
      </c>
      <c r="F878" s="13">
        <v>873</v>
      </c>
    </row>
    <row r="879" spans="1:6" x14ac:dyDescent="0.25">
      <c r="A879" s="16">
        <v>42829</v>
      </c>
      <c r="B879" s="13" t="s">
        <v>1002</v>
      </c>
      <c r="C879" s="13">
        <v>37</v>
      </c>
      <c r="D879" s="13">
        <v>499.95</v>
      </c>
      <c r="E879" s="13" t="s">
        <v>71</v>
      </c>
      <c r="F879" s="13">
        <v>874</v>
      </c>
    </row>
    <row r="880" spans="1:6" x14ac:dyDescent="0.25">
      <c r="A880" s="16">
        <v>42831</v>
      </c>
      <c r="B880" s="13" t="s">
        <v>1003</v>
      </c>
      <c r="C880" s="13">
        <v>35</v>
      </c>
      <c r="D880" s="13">
        <v>1380.74</v>
      </c>
      <c r="E880" s="13" t="s">
        <v>71</v>
      </c>
      <c r="F880" s="13">
        <v>875</v>
      </c>
    </row>
    <row r="881" spans="1:6" x14ac:dyDescent="0.25">
      <c r="A881" s="16">
        <v>42831</v>
      </c>
      <c r="B881" s="13" t="s">
        <v>1004</v>
      </c>
      <c r="C881" s="13">
        <v>103</v>
      </c>
      <c r="D881" s="13">
        <v>1117.8900000000001</v>
      </c>
      <c r="E881" s="13" t="s">
        <v>71</v>
      </c>
      <c r="F881" s="13">
        <v>876</v>
      </c>
    </row>
    <row r="882" spans="1:6" x14ac:dyDescent="0.25">
      <c r="A882" s="16">
        <v>42831</v>
      </c>
      <c r="B882" s="13" t="s">
        <v>1005</v>
      </c>
      <c r="C882" s="13">
        <v>44</v>
      </c>
      <c r="D882" s="13">
        <v>488.8</v>
      </c>
      <c r="E882" s="13" t="s">
        <v>71</v>
      </c>
      <c r="F882" s="13">
        <v>877</v>
      </c>
    </row>
    <row r="883" spans="1:6" x14ac:dyDescent="0.25">
      <c r="A883" s="16">
        <v>42831</v>
      </c>
      <c r="B883" s="13" t="s">
        <v>1006</v>
      </c>
      <c r="C883" s="13">
        <v>41</v>
      </c>
      <c r="D883" s="13">
        <v>463.88</v>
      </c>
      <c r="E883" s="13" t="s">
        <v>71</v>
      </c>
      <c r="F883" s="13">
        <v>878</v>
      </c>
    </row>
    <row r="884" spans="1:6" x14ac:dyDescent="0.25">
      <c r="A884" s="16">
        <v>42831</v>
      </c>
      <c r="B884" s="13" t="s">
        <v>1007</v>
      </c>
      <c r="C884" s="13">
        <v>101</v>
      </c>
      <c r="D884" s="13">
        <v>559.92999999999995</v>
      </c>
      <c r="E884" s="13" t="s">
        <v>71</v>
      </c>
      <c r="F884" s="13">
        <v>879</v>
      </c>
    </row>
    <row r="885" spans="1:6" x14ac:dyDescent="0.25">
      <c r="A885" s="16">
        <v>42831</v>
      </c>
      <c r="B885" s="13" t="s">
        <v>1008</v>
      </c>
      <c r="C885" s="13">
        <v>43</v>
      </c>
      <c r="D885" s="13">
        <v>425</v>
      </c>
      <c r="E885" s="13" t="s">
        <v>71</v>
      </c>
      <c r="F885" s="13">
        <v>880</v>
      </c>
    </row>
    <row r="886" spans="1:6" x14ac:dyDescent="0.25">
      <c r="A886" s="16">
        <v>42831</v>
      </c>
      <c r="B886" s="13" t="s">
        <v>1009</v>
      </c>
      <c r="C886" s="13">
        <v>37</v>
      </c>
      <c r="D886" s="13">
        <v>1109.95</v>
      </c>
      <c r="E886" s="13" t="s">
        <v>71</v>
      </c>
      <c r="F886" s="13">
        <v>881</v>
      </c>
    </row>
    <row r="887" spans="1:6" x14ac:dyDescent="0.25">
      <c r="A887" s="16">
        <v>42831</v>
      </c>
      <c r="B887" s="13" t="s">
        <v>1010</v>
      </c>
      <c r="C887" s="13">
        <v>201</v>
      </c>
      <c r="D887" s="13">
        <v>445</v>
      </c>
      <c r="E887" s="13" t="s">
        <v>71</v>
      </c>
      <c r="F887" s="13">
        <v>882</v>
      </c>
    </row>
    <row r="888" spans="1:6" x14ac:dyDescent="0.25">
      <c r="A888" s="16">
        <v>42834</v>
      </c>
      <c r="B888" s="13" t="s">
        <v>1011</v>
      </c>
      <c r="C888" s="13">
        <v>103</v>
      </c>
      <c r="D888" s="13">
        <v>459.95</v>
      </c>
      <c r="E888" s="13" t="s">
        <v>71</v>
      </c>
      <c r="F888" s="13">
        <v>883</v>
      </c>
    </row>
    <row r="889" spans="1:6" x14ac:dyDescent="0.25">
      <c r="A889" s="16">
        <v>42834</v>
      </c>
      <c r="B889" s="13" t="s">
        <v>1012</v>
      </c>
      <c r="C889" s="13">
        <v>41</v>
      </c>
      <c r="D889" s="13">
        <v>339.98</v>
      </c>
      <c r="E889" s="13" t="s">
        <v>71</v>
      </c>
      <c r="F889" s="13">
        <v>884</v>
      </c>
    </row>
    <row r="890" spans="1:6" x14ac:dyDescent="0.25">
      <c r="A890" s="16">
        <v>42834</v>
      </c>
      <c r="B890" s="13" t="s">
        <v>1013</v>
      </c>
      <c r="C890" s="13">
        <v>35</v>
      </c>
      <c r="D890" s="13">
        <v>799.26</v>
      </c>
      <c r="E890" s="13" t="s">
        <v>71</v>
      </c>
      <c r="F890" s="13">
        <v>885</v>
      </c>
    </row>
    <row r="891" spans="1:6" x14ac:dyDescent="0.25">
      <c r="A891" s="16">
        <v>42834</v>
      </c>
      <c r="B891" s="13" t="s">
        <v>1014</v>
      </c>
      <c r="C891" s="13">
        <v>43</v>
      </c>
      <c r="D891" s="13">
        <v>199.98</v>
      </c>
      <c r="E891" s="13" t="s">
        <v>71</v>
      </c>
      <c r="F891" s="13">
        <v>886</v>
      </c>
    </row>
    <row r="892" spans="1:6" x14ac:dyDescent="0.25">
      <c r="A892" s="16">
        <v>42834</v>
      </c>
      <c r="B892" s="13" t="s">
        <v>1015</v>
      </c>
      <c r="C892" s="13">
        <v>44</v>
      </c>
      <c r="D892" s="13">
        <v>309.95</v>
      </c>
      <c r="E892" s="13" t="s">
        <v>71</v>
      </c>
      <c r="F892" s="13">
        <v>887</v>
      </c>
    </row>
    <row r="893" spans="1:6" x14ac:dyDescent="0.25">
      <c r="A893" s="16">
        <v>42833</v>
      </c>
      <c r="B893" s="13" t="s">
        <v>1016</v>
      </c>
      <c r="C893" s="13">
        <v>35</v>
      </c>
      <c r="D893" s="13">
        <v>974.44</v>
      </c>
      <c r="E893" s="13" t="s">
        <v>71</v>
      </c>
      <c r="F893" s="13">
        <v>888</v>
      </c>
    </row>
    <row r="894" spans="1:6" x14ac:dyDescent="0.25">
      <c r="A894" s="16">
        <v>42833</v>
      </c>
      <c r="B894" s="13" t="s">
        <v>1017</v>
      </c>
      <c r="C894" s="13">
        <v>101</v>
      </c>
      <c r="D894" s="13">
        <v>357.9</v>
      </c>
      <c r="E894" s="13" t="s">
        <v>71</v>
      </c>
      <c r="F894" s="13">
        <v>889</v>
      </c>
    </row>
    <row r="895" spans="1:6" x14ac:dyDescent="0.25">
      <c r="A895" s="16">
        <v>42833</v>
      </c>
      <c r="B895" s="13" t="s">
        <v>1018</v>
      </c>
      <c r="C895" s="13">
        <v>41</v>
      </c>
      <c r="D895" s="13">
        <v>713.75</v>
      </c>
      <c r="E895" s="13" t="s">
        <v>71</v>
      </c>
      <c r="F895" s="13">
        <v>890</v>
      </c>
    </row>
    <row r="896" spans="1:6" x14ac:dyDescent="0.25">
      <c r="A896" s="16">
        <v>42833</v>
      </c>
      <c r="B896" s="13" t="s">
        <v>1019</v>
      </c>
      <c r="C896" s="13">
        <v>103</v>
      </c>
      <c r="D896" s="13">
        <v>1106.4100000000001</v>
      </c>
      <c r="E896" s="13" t="s">
        <v>71</v>
      </c>
      <c r="F896" s="13">
        <v>891</v>
      </c>
    </row>
    <row r="897" spans="1:6" x14ac:dyDescent="0.25">
      <c r="A897" s="16">
        <v>42833</v>
      </c>
      <c r="B897" s="13" t="s">
        <v>1020</v>
      </c>
      <c r="C897" s="13">
        <v>44</v>
      </c>
      <c r="D897" s="13">
        <v>429.7</v>
      </c>
      <c r="E897" s="13" t="s">
        <v>71</v>
      </c>
      <c r="F897" s="13">
        <v>892</v>
      </c>
    </row>
    <row r="898" spans="1:6" x14ac:dyDescent="0.25">
      <c r="A898" s="16">
        <v>42833</v>
      </c>
      <c r="B898" s="13" t="s">
        <v>1021</v>
      </c>
      <c r="C898" s="13">
        <v>43</v>
      </c>
      <c r="D898" s="13">
        <v>594.86</v>
      </c>
      <c r="E898" s="13" t="s">
        <v>71</v>
      </c>
      <c r="F898" s="13">
        <v>893</v>
      </c>
    </row>
    <row r="899" spans="1:6" x14ac:dyDescent="0.25">
      <c r="A899" s="16">
        <v>42833</v>
      </c>
      <c r="B899" s="13" t="s">
        <v>1021</v>
      </c>
      <c r="C899" s="13">
        <v>43</v>
      </c>
      <c r="D899" s="15">
        <v>374.93</v>
      </c>
      <c r="E899" s="13" t="s">
        <v>71</v>
      </c>
      <c r="F899" s="13">
        <v>905</v>
      </c>
    </row>
    <row r="900" spans="1:6" x14ac:dyDescent="0.25">
      <c r="A900" s="16">
        <v>42833</v>
      </c>
      <c r="B900" s="13" t="s">
        <v>1021</v>
      </c>
      <c r="C900" s="13">
        <v>43</v>
      </c>
      <c r="D900" s="15">
        <v>219.93</v>
      </c>
      <c r="E900" s="13" t="s">
        <v>71</v>
      </c>
      <c r="F900" s="13">
        <v>906</v>
      </c>
    </row>
    <row r="901" spans="1:6" x14ac:dyDescent="0.25">
      <c r="A901" s="16">
        <v>42832</v>
      </c>
      <c r="B901" s="13" t="s">
        <v>1022</v>
      </c>
      <c r="C901" s="13">
        <v>35</v>
      </c>
      <c r="D901" s="13">
        <v>680.86</v>
      </c>
      <c r="E901" s="13" t="s">
        <v>71</v>
      </c>
      <c r="F901" s="13">
        <v>894</v>
      </c>
    </row>
    <row r="902" spans="1:6" x14ac:dyDescent="0.25">
      <c r="A902" s="16">
        <v>42832</v>
      </c>
      <c r="B902" s="13" t="s">
        <v>1023</v>
      </c>
      <c r="C902" s="13">
        <v>44</v>
      </c>
      <c r="D902" s="13">
        <v>618.78</v>
      </c>
      <c r="E902" s="13" t="s">
        <v>71</v>
      </c>
      <c r="F902" s="13">
        <v>895</v>
      </c>
    </row>
    <row r="903" spans="1:6" x14ac:dyDescent="0.25">
      <c r="A903" s="16">
        <v>42832</v>
      </c>
      <c r="B903" s="13" t="s">
        <v>1024</v>
      </c>
      <c r="C903" s="13">
        <v>103</v>
      </c>
      <c r="D903" s="13">
        <v>552.67999999999995</v>
      </c>
      <c r="E903" s="13" t="s">
        <v>71</v>
      </c>
      <c r="F903" s="13">
        <v>896</v>
      </c>
    </row>
    <row r="904" spans="1:6" x14ac:dyDescent="0.25">
      <c r="A904" s="16">
        <v>42832</v>
      </c>
      <c r="B904" s="13" t="s">
        <v>1025</v>
      </c>
      <c r="C904" s="13">
        <v>101</v>
      </c>
      <c r="D904" s="13">
        <v>337.95</v>
      </c>
      <c r="E904" s="13" t="s">
        <v>71</v>
      </c>
      <c r="F904" s="13">
        <v>897</v>
      </c>
    </row>
    <row r="905" spans="1:6" x14ac:dyDescent="0.25">
      <c r="A905" s="16">
        <v>42832</v>
      </c>
      <c r="B905" s="13" t="s">
        <v>1026</v>
      </c>
      <c r="C905" s="13">
        <v>41</v>
      </c>
      <c r="D905" s="13">
        <v>289.91000000000003</v>
      </c>
      <c r="E905" s="13" t="s">
        <v>71</v>
      </c>
      <c r="F905" s="13">
        <v>898</v>
      </c>
    </row>
    <row r="906" spans="1:6" x14ac:dyDescent="0.25">
      <c r="A906" s="16">
        <v>42834</v>
      </c>
      <c r="B906" s="13" t="s">
        <v>1028</v>
      </c>
      <c r="C906" s="13">
        <v>37</v>
      </c>
      <c r="D906" s="13">
        <v>679.86</v>
      </c>
      <c r="E906" s="13" t="s">
        <v>71</v>
      </c>
      <c r="F906" s="13">
        <v>899</v>
      </c>
    </row>
    <row r="907" spans="1:6" x14ac:dyDescent="0.25">
      <c r="A907" s="16">
        <v>42834</v>
      </c>
      <c r="B907" s="13" t="s">
        <v>1029</v>
      </c>
      <c r="C907" s="13">
        <v>201</v>
      </c>
      <c r="D907" s="13">
        <v>260</v>
      </c>
      <c r="E907" s="13" t="s">
        <v>71</v>
      </c>
      <c r="F907" s="13">
        <v>900</v>
      </c>
    </row>
    <row r="908" spans="1:6" x14ac:dyDescent="0.25">
      <c r="A908" s="16">
        <v>42833</v>
      </c>
      <c r="B908" s="13" t="s">
        <v>1030</v>
      </c>
      <c r="C908" s="13">
        <v>201</v>
      </c>
      <c r="D908" s="13">
        <v>275</v>
      </c>
      <c r="E908" s="13" t="s">
        <v>71</v>
      </c>
      <c r="F908" s="13">
        <v>901</v>
      </c>
    </row>
    <row r="909" spans="1:6" x14ac:dyDescent="0.25">
      <c r="A909" s="16">
        <v>42833</v>
      </c>
      <c r="B909" s="13" t="s">
        <v>1031</v>
      </c>
      <c r="C909" s="13">
        <v>37</v>
      </c>
      <c r="D909" s="13">
        <v>1879.69</v>
      </c>
      <c r="E909" s="13" t="s">
        <v>71</v>
      </c>
      <c r="F909" s="13">
        <v>902</v>
      </c>
    </row>
    <row r="910" spans="1:6" x14ac:dyDescent="0.25">
      <c r="A910" s="16">
        <v>42832</v>
      </c>
      <c r="B910" s="13" t="s">
        <v>1032</v>
      </c>
      <c r="C910" s="13">
        <v>201</v>
      </c>
      <c r="D910" s="13">
        <v>667.62</v>
      </c>
      <c r="E910" s="13" t="s">
        <v>71</v>
      </c>
      <c r="F910" s="13">
        <v>903</v>
      </c>
    </row>
    <row r="911" spans="1:6" x14ac:dyDescent="0.25">
      <c r="A911" s="16">
        <v>42832</v>
      </c>
      <c r="B911" s="13" t="s">
        <v>1033</v>
      </c>
      <c r="C911" s="13">
        <v>37</v>
      </c>
      <c r="D911" s="13">
        <v>834.9</v>
      </c>
      <c r="E911" s="13" t="s">
        <v>71</v>
      </c>
      <c r="F911" s="13">
        <v>904</v>
      </c>
    </row>
    <row r="912" spans="1:6" x14ac:dyDescent="0.25">
      <c r="A912" s="16">
        <v>42835</v>
      </c>
      <c r="B912" s="13" t="s">
        <v>1042</v>
      </c>
      <c r="C912" s="13">
        <v>43</v>
      </c>
      <c r="D912" s="13">
        <v>379.83</v>
      </c>
      <c r="E912" s="13" t="s">
        <v>71</v>
      </c>
      <c r="F912" s="13">
        <v>907</v>
      </c>
    </row>
    <row r="913" spans="1:6" x14ac:dyDescent="0.25">
      <c r="A913" s="16">
        <v>42835</v>
      </c>
      <c r="B913" s="13" t="s">
        <v>1043</v>
      </c>
      <c r="C913" s="13">
        <v>41</v>
      </c>
      <c r="D913" s="13">
        <v>129.9</v>
      </c>
      <c r="E913" s="13" t="s">
        <v>71</v>
      </c>
      <c r="F913" s="13">
        <v>908</v>
      </c>
    </row>
    <row r="914" spans="1:6" x14ac:dyDescent="0.25">
      <c r="A914" s="16">
        <v>42835</v>
      </c>
      <c r="B914" s="13" t="s">
        <v>1044</v>
      </c>
      <c r="C914" s="13">
        <v>44</v>
      </c>
      <c r="D914" s="13">
        <v>194.93</v>
      </c>
      <c r="E914" s="13" t="s">
        <v>71</v>
      </c>
      <c r="F914" s="13">
        <v>909</v>
      </c>
    </row>
    <row r="915" spans="1:6" x14ac:dyDescent="0.25">
      <c r="A915" s="16">
        <v>42835</v>
      </c>
      <c r="B915" s="13" t="s">
        <v>1045</v>
      </c>
      <c r="C915" s="13">
        <v>103</v>
      </c>
      <c r="D915" s="13">
        <v>422.68</v>
      </c>
      <c r="E915" s="13" t="s">
        <v>71</v>
      </c>
      <c r="F915" s="13">
        <v>910</v>
      </c>
    </row>
    <row r="916" spans="1:6" x14ac:dyDescent="0.25">
      <c r="A916" s="16">
        <v>42835</v>
      </c>
      <c r="B916" s="13" t="s">
        <v>1046</v>
      </c>
      <c r="C916" s="13">
        <v>35</v>
      </c>
      <c r="D916" s="13">
        <v>482.88</v>
      </c>
      <c r="E916" s="13" t="s">
        <v>71</v>
      </c>
      <c r="F916" s="13">
        <v>911</v>
      </c>
    </row>
    <row r="917" spans="1:6" x14ac:dyDescent="0.25">
      <c r="A917" s="16">
        <v>42835</v>
      </c>
      <c r="B917" s="13" t="s">
        <v>1047</v>
      </c>
      <c r="C917" s="13">
        <v>101</v>
      </c>
      <c r="D917" s="13">
        <v>239.95</v>
      </c>
      <c r="E917" s="13" t="s">
        <v>71</v>
      </c>
      <c r="F917" s="13">
        <v>912</v>
      </c>
    </row>
    <row r="918" spans="1:6" x14ac:dyDescent="0.25">
      <c r="A918" s="16">
        <v>42835</v>
      </c>
      <c r="B918" s="13" t="s">
        <v>1048</v>
      </c>
      <c r="C918" s="13">
        <v>37</v>
      </c>
      <c r="D918" s="13">
        <v>1039.82</v>
      </c>
      <c r="E918" s="13" t="s">
        <v>71</v>
      </c>
      <c r="F918" s="13">
        <v>913</v>
      </c>
    </row>
    <row r="919" spans="1:6" x14ac:dyDescent="0.25">
      <c r="A919" s="16">
        <v>42835</v>
      </c>
      <c r="B919" s="13" t="s">
        <v>1049</v>
      </c>
      <c r="C919" s="13">
        <v>201</v>
      </c>
      <c r="D919" s="13">
        <v>149.83000000000001</v>
      </c>
      <c r="E919" s="13" t="s">
        <v>71</v>
      </c>
      <c r="F919" s="13">
        <v>914</v>
      </c>
    </row>
    <row r="920" spans="1:6" x14ac:dyDescent="0.25">
      <c r="A920" s="16">
        <v>42836</v>
      </c>
      <c r="B920" s="13" t="s">
        <v>1034</v>
      </c>
      <c r="C920" s="13">
        <v>41</v>
      </c>
      <c r="D920" s="13">
        <v>484.6</v>
      </c>
      <c r="E920" s="13" t="s">
        <v>71</v>
      </c>
      <c r="F920" s="13">
        <v>915</v>
      </c>
    </row>
    <row r="921" spans="1:6" x14ac:dyDescent="0.25">
      <c r="A921" s="16">
        <v>42836</v>
      </c>
      <c r="B921" s="13" t="s">
        <v>1035</v>
      </c>
      <c r="C921" s="13">
        <v>44</v>
      </c>
      <c r="D921" s="13">
        <v>581.69000000000005</v>
      </c>
      <c r="E921" s="13" t="s">
        <v>71</v>
      </c>
      <c r="F921" s="13">
        <v>916</v>
      </c>
    </row>
    <row r="922" spans="1:6" x14ac:dyDescent="0.25">
      <c r="A922" s="16">
        <v>42836</v>
      </c>
      <c r="B922" s="13" t="s">
        <v>1036</v>
      </c>
      <c r="C922" s="13">
        <v>101</v>
      </c>
      <c r="D922" s="13">
        <v>140</v>
      </c>
      <c r="E922" s="13" t="s">
        <v>71</v>
      </c>
      <c r="F922" s="13">
        <v>917</v>
      </c>
    </row>
    <row r="923" spans="1:6" x14ac:dyDescent="0.25">
      <c r="A923" s="16">
        <v>42836</v>
      </c>
      <c r="B923" s="13" t="s">
        <v>1037</v>
      </c>
      <c r="C923" s="13">
        <v>103</v>
      </c>
      <c r="D923" s="13">
        <v>397.8</v>
      </c>
      <c r="E923" s="13" t="s">
        <v>71</v>
      </c>
      <c r="F923" s="13">
        <v>918</v>
      </c>
    </row>
    <row r="924" spans="1:6" x14ac:dyDescent="0.25">
      <c r="A924" s="16">
        <v>42836</v>
      </c>
      <c r="B924" s="13" t="s">
        <v>1038</v>
      </c>
      <c r="C924" s="13">
        <v>35</v>
      </c>
      <c r="D924" s="13">
        <v>574.80999999999995</v>
      </c>
      <c r="E924" s="13" t="s">
        <v>71</v>
      </c>
      <c r="F924" s="13">
        <v>919</v>
      </c>
    </row>
    <row r="925" spans="1:6" x14ac:dyDescent="0.25">
      <c r="A925" s="16">
        <v>42836</v>
      </c>
      <c r="B925" s="13" t="s">
        <v>1039</v>
      </c>
      <c r="C925" s="13">
        <v>43</v>
      </c>
      <c r="D925" s="13">
        <v>180</v>
      </c>
      <c r="E925" s="13" t="s">
        <v>71</v>
      </c>
      <c r="F925" s="13">
        <v>920</v>
      </c>
    </row>
    <row r="926" spans="1:6" x14ac:dyDescent="0.25">
      <c r="A926" s="16">
        <v>42836</v>
      </c>
      <c r="B926" s="13" t="s">
        <v>1040</v>
      </c>
      <c r="C926" s="13">
        <v>201</v>
      </c>
      <c r="D926" s="13">
        <v>229.9</v>
      </c>
      <c r="E926" s="13" t="s">
        <v>71</v>
      </c>
      <c r="F926" s="13">
        <v>921</v>
      </c>
    </row>
    <row r="927" spans="1:6" x14ac:dyDescent="0.25">
      <c r="A927" s="16">
        <v>42836</v>
      </c>
      <c r="B927" s="13" t="s">
        <v>1041</v>
      </c>
      <c r="C927" s="13">
        <v>37</v>
      </c>
      <c r="D927" s="13">
        <v>1112.3499999999999</v>
      </c>
      <c r="E927" s="13" t="s">
        <v>71</v>
      </c>
      <c r="F927" s="13">
        <v>922</v>
      </c>
    </row>
    <row r="928" spans="1:6" x14ac:dyDescent="0.25">
      <c r="A928" s="16">
        <v>42837</v>
      </c>
      <c r="B928" s="13" t="s">
        <v>1050</v>
      </c>
      <c r="C928" s="13">
        <v>44</v>
      </c>
      <c r="D928" s="13">
        <v>443.33</v>
      </c>
      <c r="E928" s="13" t="s">
        <v>71</v>
      </c>
      <c r="F928" s="13">
        <v>923</v>
      </c>
    </row>
    <row r="929" spans="1:6" x14ac:dyDescent="0.25">
      <c r="A929" s="16">
        <v>42837</v>
      </c>
      <c r="B929" s="13" t="s">
        <v>1051</v>
      </c>
      <c r="C929" s="13">
        <v>35</v>
      </c>
      <c r="D929" s="13">
        <v>723.61</v>
      </c>
      <c r="E929" s="13" t="s">
        <v>71</v>
      </c>
      <c r="F929" s="13">
        <v>924</v>
      </c>
    </row>
    <row r="930" spans="1:6" x14ac:dyDescent="0.25">
      <c r="A930" s="16">
        <v>42837</v>
      </c>
      <c r="B930" s="13" t="s">
        <v>1052</v>
      </c>
      <c r="C930" s="13">
        <v>41</v>
      </c>
      <c r="D930" s="13">
        <v>367.75</v>
      </c>
      <c r="E930" s="13" t="s">
        <v>71</v>
      </c>
      <c r="F930" s="13">
        <v>925</v>
      </c>
    </row>
    <row r="931" spans="1:6" x14ac:dyDescent="0.25">
      <c r="A931" s="16">
        <v>42837</v>
      </c>
      <c r="B931" s="13" t="s">
        <v>1053</v>
      </c>
      <c r="C931" s="13">
        <v>101</v>
      </c>
      <c r="D931" s="13">
        <v>390</v>
      </c>
      <c r="E931" s="13" t="s">
        <v>71</v>
      </c>
      <c r="F931" s="13">
        <v>926</v>
      </c>
    </row>
    <row r="932" spans="1:6" x14ac:dyDescent="0.25">
      <c r="A932" s="16">
        <v>42837</v>
      </c>
      <c r="B932" s="13" t="s">
        <v>1054</v>
      </c>
      <c r="C932" s="13">
        <v>103</v>
      </c>
      <c r="D932" s="13">
        <v>727.86</v>
      </c>
      <c r="E932" s="13" t="s">
        <v>71</v>
      </c>
      <c r="F932" s="13">
        <v>927</v>
      </c>
    </row>
    <row r="933" spans="1:6" x14ac:dyDescent="0.25">
      <c r="A933" s="16">
        <v>42837</v>
      </c>
      <c r="B933" s="13" t="s">
        <v>1055</v>
      </c>
      <c r="C933" s="13">
        <v>43</v>
      </c>
      <c r="D933" s="13">
        <v>674.85</v>
      </c>
      <c r="E933" s="13" t="s">
        <v>71</v>
      </c>
      <c r="F933" s="13">
        <v>928</v>
      </c>
    </row>
    <row r="934" spans="1:6" x14ac:dyDescent="0.25">
      <c r="A934" s="16">
        <v>42837</v>
      </c>
      <c r="B934" s="13" t="s">
        <v>1056</v>
      </c>
      <c r="C934" s="13">
        <v>201</v>
      </c>
      <c r="D934" s="13">
        <v>514.83000000000004</v>
      </c>
      <c r="E934" s="13" t="s">
        <v>71</v>
      </c>
      <c r="F934" s="13">
        <v>929</v>
      </c>
    </row>
    <row r="935" spans="1:6" x14ac:dyDescent="0.25">
      <c r="A935" s="16">
        <v>42837</v>
      </c>
      <c r="B935" s="13" t="s">
        <v>1057</v>
      </c>
      <c r="C935" s="13">
        <v>37</v>
      </c>
      <c r="D935" s="13">
        <v>994.8</v>
      </c>
      <c r="E935" s="13" t="s">
        <v>71</v>
      </c>
      <c r="F935" s="13">
        <v>930</v>
      </c>
    </row>
    <row r="936" spans="1:6" x14ac:dyDescent="0.25">
      <c r="A936" s="16">
        <v>42842</v>
      </c>
      <c r="B936" s="13" t="s">
        <v>1058</v>
      </c>
      <c r="C936" s="13">
        <v>35</v>
      </c>
      <c r="D936" s="13">
        <v>442.7</v>
      </c>
      <c r="E936" s="13" t="s">
        <v>71</v>
      </c>
      <c r="F936" s="13">
        <v>931</v>
      </c>
    </row>
    <row r="937" spans="1:6" x14ac:dyDescent="0.25">
      <c r="A937" s="16">
        <v>42842</v>
      </c>
      <c r="B937" s="13" t="s">
        <v>1059</v>
      </c>
      <c r="C937" s="13">
        <v>103</v>
      </c>
      <c r="D937" s="13">
        <v>54.95</v>
      </c>
      <c r="E937" s="13" t="s">
        <v>71</v>
      </c>
      <c r="F937" s="13">
        <v>932</v>
      </c>
    </row>
    <row r="938" spans="1:6" x14ac:dyDescent="0.25">
      <c r="A938" s="16">
        <v>42840</v>
      </c>
      <c r="B938" s="13" t="s">
        <v>1060</v>
      </c>
      <c r="C938" s="13">
        <v>41</v>
      </c>
      <c r="D938" s="13">
        <v>688.63</v>
      </c>
      <c r="E938" s="13" t="s">
        <v>71</v>
      </c>
      <c r="F938" s="13">
        <v>933</v>
      </c>
    </row>
    <row r="939" spans="1:6" x14ac:dyDescent="0.25">
      <c r="A939" s="16">
        <v>42840</v>
      </c>
      <c r="B939" s="13" t="s">
        <v>1061</v>
      </c>
      <c r="C939" s="13">
        <v>44</v>
      </c>
      <c r="D939" s="13">
        <v>229.95</v>
      </c>
      <c r="E939" s="13" t="s">
        <v>71</v>
      </c>
      <c r="F939" s="13">
        <v>934</v>
      </c>
    </row>
    <row r="940" spans="1:6" x14ac:dyDescent="0.25">
      <c r="A940" s="16">
        <v>42840</v>
      </c>
      <c r="B940" s="13" t="s">
        <v>1062</v>
      </c>
      <c r="C940" s="13">
        <v>101</v>
      </c>
      <c r="D940" s="13">
        <v>320</v>
      </c>
      <c r="E940" s="13" t="s">
        <v>71</v>
      </c>
      <c r="F940" s="13">
        <v>935</v>
      </c>
    </row>
    <row r="941" spans="1:6" x14ac:dyDescent="0.25">
      <c r="A941" s="16">
        <v>42840</v>
      </c>
      <c r="B941" s="13" t="s">
        <v>1063</v>
      </c>
      <c r="C941" s="13">
        <v>35</v>
      </c>
      <c r="D941" s="13">
        <v>922.28</v>
      </c>
      <c r="E941" s="13" t="s">
        <v>71</v>
      </c>
      <c r="F941" s="13">
        <v>936</v>
      </c>
    </row>
    <row r="942" spans="1:6" x14ac:dyDescent="0.25">
      <c r="A942" s="16">
        <v>42840</v>
      </c>
      <c r="B942" s="13" t="s">
        <v>1064</v>
      </c>
      <c r="C942" s="13">
        <v>103</v>
      </c>
      <c r="D942" s="13">
        <v>909.82</v>
      </c>
      <c r="E942" s="13" t="s">
        <v>71</v>
      </c>
      <c r="F942" s="13">
        <v>937</v>
      </c>
    </row>
    <row r="943" spans="1:6" x14ac:dyDescent="0.25">
      <c r="A943" s="16">
        <v>42840</v>
      </c>
      <c r="B943" s="13" t="s">
        <v>1065</v>
      </c>
      <c r="C943" s="13">
        <v>43</v>
      </c>
      <c r="D943" s="13">
        <v>394.83</v>
      </c>
      <c r="E943" s="13" t="s">
        <v>71</v>
      </c>
      <c r="F943" s="13">
        <v>938</v>
      </c>
    </row>
    <row r="944" spans="1:6" x14ac:dyDescent="0.25">
      <c r="A944" s="16">
        <v>42838</v>
      </c>
      <c r="B944" s="13" t="s">
        <v>1066</v>
      </c>
      <c r="C944" s="13">
        <v>103</v>
      </c>
      <c r="D944" s="13">
        <v>1450.26</v>
      </c>
      <c r="E944" s="13" t="s">
        <v>71</v>
      </c>
      <c r="F944" s="13">
        <v>939</v>
      </c>
    </row>
    <row r="945" spans="1:6" x14ac:dyDescent="0.25">
      <c r="A945" s="16">
        <v>42838</v>
      </c>
      <c r="B945" s="13" t="s">
        <v>1067</v>
      </c>
      <c r="C945" s="13">
        <v>41</v>
      </c>
      <c r="D945" s="13">
        <v>1068.7</v>
      </c>
      <c r="E945" s="13" t="s">
        <v>71</v>
      </c>
      <c r="F945" s="13">
        <v>940</v>
      </c>
    </row>
    <row r="946" spans="1:6" x14ac:dyDescent="0.25">
      <c r="A946" s="16">
        <v>42838</v>
      </c>
      <c r="B946" s="13" t="s">
        <v>1068</v>
      </c>
      <c r="C946" s="13">
        <v>35</v>
      </c>
      <c r="D946" s="13">
        <v>1397.79</v>
      </c>
      <c r="E946" s="13" t="s">
        <v>71</v>
      </c>
      <c r="F946" s="13">
        <v>941</v>
      </c>
    </row>
    <row r="947" spans="1:6" x14ac:dyDescent="0.25">
      <c r="A947" s="16">
        <v>42838</v>
      </c>
      <c r="B947" s="13" t="s">
        <v>1069</v>
      </c>
      <c r="C947" s="13">
        <v>43</v>
      </c>
      <c r="D947" s="13">
        <v>817.79</v>
      </c>
      <c r="E947" s="13" t="s">
        <v>71</v>
      </c>
      <c r="F947" s="13">
        <v>942</v>
      </c>
    </row>
    <row r="948" spans="1:6" x14ac:dyDescent="0.25">
      <c r="A948" s="16">
        <v>42838</v>
      </c>
      <c r="B948" s="13" t="s">
        <v>1070</v>
      </c>
      <c r="C948" s="13">
        <v>44</v>
      </c>
      <c r="D948" s="13">
        <v>872.65</v>
      </c>
      <c r="E948" s="13" t="s">
        <v>71</v>
      </c>
      <c r="F948" s="13">
        <v>943</v>
      </c>
    </row>
    <row r="949" spans="1:6" x14ac:dyDescent="0.25">
      <c r="A949" s="16">
        <v>42838</v>
      </c>
      <c r="B949" s="13" t="s">
        <v>1071</v>
      </c>
      <c r="C949" s="13">
        <v>101</v>
      </c>
      <c r="D949" s="13">
        <v>515.85</v>
      </c>
      <c r="E949" s="13" t="s">
        <v>71</v>
      </c>
      <c r="F949" s="13">
        <v>944</v>
      </c>
    </row>
    <row r="950" spans="1:6" x14ac:dyDescent="0.25">
      <c r="A950" s="16">
        <v>42842</v>
      </c>
      <c r="B950" s="13" t="s">
        <v>1072</v>
      </c>
      <c r="C950" s="13">
        <v>37</v>
      </c>
      <c r="D950" s="13">
        <v>455</v>
      </c>
      <c r="E950" s="13" t="s">
        <v>71</v>
      </c>
      <c r="F950" s="13">
        <v>945</v>
      </c>
    </row>
    <row r="951" spans="1:6" x14ac:dyDescent="0.25">
      <c r="A951" s="16">
        <v>42840</v>
      </c>
      <c r="B951" s="13" t="s">
        <v>1073</v>
      </c>
      <c r="C951" s="13">
        <v>201</v>
      </c>
      <c r="D951" s="13">
        <v>754.93</v>
      </c>
      <c r="E951" s="13" t="s">
        <v>71</v>
      </c>
      <c r="F951" s="13">
        <v>946</v>
      </c>
    </row>
    <row r="952" spans="1:6" x14ac:dyDescent="0.25">
      <c r="A952" s="16">
        <v>42840</v>
      </c>
      <c r="B952" s="13" t="s">
        <v>1074</v>
      </c>
      <c r="C952" s="13">
        <v>37</v>
      </c>
      <c r="D952" s="13">
        <v>894.8</v>
      </c>
      <c r="E952" s="13" t="s">
        <v>71</v>
      </c>
      <c r="F952" s="13">
        <v>947</v>
      </c>
    </row>
    <row r="953" spans="1:6" x14ac:dyDescent="0.25">
      <c r="A953" s="16">
        <v>42838</v>
      </c>
      <c r="B953" s="13" t="s">
        <v>1075</v>
      </c>
      <c r="C953" s="13">
        <v>37</v>
      </c>
      <c r="D953" s="13">
        <v>829.9</v>
      </c>
      <c r="E953" s="13" t="s">
        <v>71</v>
      </c>
      <c r="F953" s="13">
        <v>948</v>
      </c>
    </row>
    <row r="954" spans="1:6" x14ac:dyDescent="0.25">
      <c r="A954" s="16">
        <v>42838</v>
      </c>
      <c r="B954" s="13" t="s">
        <v>1076</v>
      </c>
      <c r="C954" s="13">
        <v>201</v>
      </c>
      <c r="D954" s="13">
        <v>644.95000000000005</v>
      </c>
      <c r="E954" s="13" t="s">
        <v>71</v>
      </c>
      <c r="F954" s="13">
        <v>949</v>
      </c>
    </row>
    <row r="955" spans="1:6" x14ac:dyDescent="0.25">
      <c r="A955" s="16">
        <v>42843</v>
      </c>
      <c r="B955" s="13" t="s">
        <v>1077</v>
      </c>
      <c r="C955" s="13">
        <v>43</v>
      </c>
      <c r="D955" s="13">
        <v>244.98</v>
      </c>
      <c r="E955" s="13" t="s">
        <v>71</v>
      </c>
      <c r="F955" s="13">
        <v>950</v>
      </c>
    </row>
    <row r="956" spans="1:6" x14ac:dyDescent="0.25">
      <c r="A956" s="16">
        <v>42843</v>
      </c>
      <c r="B956" s="13" t="s">
        <v>1078</v>
      </c>
      <c r="C956" s="13">
        <v>41</v>
      </c>
      <c r="D956" s="13">
        <v>318.75</v>
      </c>
      <c r="E956" s="13" t="s">
        <v>71</v>
      </c>
      <c r="F956" s="13">
        <v>951</v>
      </c>
    </row>
    <row r="957" spans="1:6" x14ac:dyDescent="0.25">
      <c r="A957" s="16">
        <v>42843</v>
      </c>
      <c r="B957" s="13" t="s">
        <v>1079</v>
      </c>
      <c r="C957" s="13">
        <v>44</v>
      </c>
      <c r="D957" s="13">
        <v>190</v>
      </c>
      <c r="E957" s="13" t="s">
        <v>71</v>
      </c>
      <c r="F957" s="13">
        <v>952</v>
      </c>
    </row>
    <row r="958" spans="1:6" x14ac:dyDescent="0.25">
      <c r="A958" s="16">
        <v>42843</v>
      </c>
      <c r="B958" s="13" t="s">
        <v>1080</v>
      </c>
      <c r="C958" s="13">
        <v>35</v>
      </c>
      <c r="D958" s="13">
        <v>194.98</v>
      </c>
      <c r="E958" s="13" t="s">
        <v>71</v>
      </c>
      <c r="F958" s="13">
        <v>953</v>
      </c>
    </row>
    <row r="959" spans="1:6" x14ac:dyDescent="0.25">
      <c r="A959" s="16">
        <v>42843</v>
      </c>
      <c r="B959" s="13" t="s">
        <v>1081</v>
      </c>
      <c r="C959" s="13">
        <v>103</v>
      </c>
      <c r="D959" s="13">
        <v>332.63</v>
      </c>
      <c r="E959" s="13" t="s">
        <v>71</v>
      </c>
      <c r="F959" s="13">
        <v>954</v>
      </c>
    </row>
    <row r="960" spans="1:6" x14ac:dyDescent="0.25">
      <c r="A960" s="16">
        <v>42843</v>
      </c>
      <c r="B960" s="13" t="s">
        <v>1082</v>
      </c>
      <c r="C960" s="13">
        <v>101</v>
      </c>
      <c r="D960" s="13">
        <v>185</v>
      </c>
      <c r="E960" s="13" t="s">
        <v>71</v>
      </c>
      <c r="F960" s="13">
        <v>955</v>
      </c>
    </row>
    <row r="961" spans="1:6" x14ac:dyDescent="0.25">
      <c r="A961" s="16">
        <v>42843</v>
      </c>
      <c r="B961" s="13" t="s">
        <v>1084</v>
      </c>
      <c r="C961" s="13">
        <v>201</v>
      </c>
      <c r="D961" s="13">
        <v>284.8</v>
      </c>
      <c r="E961" s="13" t="s">
        <v>71</v>
      </c>
      <c r="F961" s="13">
        <v>956</v>
      </c>
    </row>
    <row r="962" spans="1:6" x14ac:dyDescent="0.25">
      <c r="A962" s="16">
        <v>42843</v>
      </c>
      <c r="B962" s="13" t="s">
        <v>1085</v>
      </c>
      <c r="C962" s="13">
        <v>37</v>
      </c>
      <c r="D962" s="13">
        <v>369.9</v>
      </c>
      <c r="E962" s="13" t="s">
        <v>71</v>
      </c>
      <c r="F962" s="13">
        <v>957</v>
      </c>
    </row>
    <row r="963" spans="1:6" x14ac:dyDescent="0.25">
      <c r="A963" s="16">
        <v>42844</v>
      </c>
      <c r="B963" s="13" t="s">
        <v>1086</v>
      </c>
      <c r="C963" s="13">
        <v>101</v>
      </c>
      <c r="D963" s="13">
        <v>294.95</v>
      </c>
      <c r="E963" s="13" t="s">
        <v>71</v>
      </c>
      <c r="F963" s="13">
        <v>958</v>
      </c>
    </row>
    <row r="964" spans="1:6" x14ac:dyDescent="0.25">
      <c r="A964" s="16">
        <v>42844</v>
      </c>
      <c r="B964" s="13" t="s">
        <v>1087</v>
      </c>
      <c r="C964" s="13">
        <v>35</v>
      </c>
      <c r="D964" s="13">
        <v>359.95</v>
      </c>
      <c r="E964" s="13" t="s">
        <v>71</v>
      </c>
      <c r="F964" s="13">
        <v>959</v>
      </c>
    </row>
    <row r="965" spans="1:6" x14ac:dyDescent="0.25">
      <c r="A965" s="16">
        <v>42844</v>
      </c>
      <c r="B965" s="13" t="s">
        <v>1088</v>
      </c>
      <c r="C965" s="13">
        <v>44</v>
      </c>
      <c r="D965" s="13">
        <v>367.38</v>
      </c>
      <c r="E965" s="13" t="s">
        <v>71</v>
      </c>
      <c r="F965" s="13">
        <v>960</v>
      </c>
    </row>
    <row r="966" spans="1:6" x14ac:dyDescent="0.25">
      <c r="A966" s="16">
        <v>42844</v>
      </c>
      <c r="B966" s="13" t="s">
        <v>1089</v>
      </c>
      <c r="C966" s="13">
        <v>43</v>
      </c>
      <c r="D966" s="13">
        <v>657.8</v>
      </c>
      <c r="E966" s="13" t="s">
        <v>71</v>
      </c>
      <c r="F966" s="13">
        <v>961</v>
      </c>
    </row>
    <row r="967" spans="1:6" x14ac:dyDescent="0.25">
      <c r="A967" s="16">
        <v>42844</v>
      </c>
      <c r="B967" s="13" t="s">
        <v>1090</v>
      </c>
      <c r="C967" s="13">
        <v>103</v>
      </c>
      <c r="D967" s="13">
        <v>354.9</v>
      </c>
      <c r="E967" s="13" t="s">
        <v>71</v>
      </c>
      <c r="F967" s="13">
        <v>962</v>
      </c>
    </row>
    <row r="968" spans="1:6" x14ac:dyDescent="0.25">
      <c r="A968" s="16">
        <v>42844</v>
      </c>
      <c r="B968" s="13" t="s">
        <v>1091</v>
      </c>
      <c r="C968" s="13">
        <v>41</v>
      </c>
      <c r="D968" s="13">
        <v>139.94999999999999</v>
      </c>
      <c r="E968" s="13" t="s">
        <v>71</v>
      </c>
      <c r="F968" s="13">
        <v>963</v>
      </c>
    </row>
    <row r="969" spans="1:6" x14ac:dyDescent="0.25">
      <c r="A969" s="16">
        <v>42844</v>
      </c>
      <c r="B969" s="13" t="s">
        <v>1094</v>
      </c>
      <c r="C969" s="13">
        <v>37</v>
      </c>
      <c r="D969" s="13">
        <v>549.85</v>
      </c>
      <c r="E969" s="13" t="s">
        <v>71</v>
      </c>
      <c r="F969" s="13">
        <v>964</v>
      </c>
    </row>
    <row r="970" spans="1:6" x14ac:dyDescent="0.25">
      <c r="A970" s="16">
        <v>42844</v>
      </c>
      <c r="B970" s="13" t="s">
        <v>1095</v>
      </c>
      <c r="C970" s="13">
        <v>201</v>
      </c>
      <c r="D970" s="13">
        <v>124.95</v>
      </c>
      <c r="E970" s="13" t="s">
        <v>71</v>
      </c>
      <c r="F970" s="13">
        <v>965</v>
      </c>
    </row>
    <row r="971" spans="1:6" x14ac:dyDescent="0.25">
      <c r="A971" s="16">
        <v>42845</v>
      </c>
      <c r="B971" s="13" t="s">
        <v>1096</v>
      </c>
      <c r="C971" s="13">
        <v>101</v>
      </c>
      <c r="D971" s="13">
        <v>504.95</v>
      </c>
      <c r="E971" s="13" t="s">
        <v>71</v>
      </c>
      <c r="F971" s="13">
        <v>966</v>
      </c>
    </row>
    <row r="972" spans="1:6" x14ac:dyDescent="0.25">
      <c r="A972" s="16">
        <v>42845</v>
      </c>
      <c r="B972" s="13" t="s">
        <v>1097</v>
      </c>
      <c r="C972" s="13">
        <v>35</v>
      </c>
      <c r="D972" s="13">
        <v>662.6</v>
      </c>
      <c r="E972" s="13" t="s">
        <v>71</v>
      </c>
      <c r="F972" s="13">
        <v>967</v>
      </c>
    </row>
    <row r="973" spans="1:6" x14ac:dyDescent="0.25">
      <c r="A973" s="16">
        <v>42845</v>
      </c>
      <c r="B973" s="13" t="s">
        <v>1098</v>
      </c>
      <c r="C973" s="13">
        <v>41</v>
      </c>
      <c r="D973" s="13">
        <v>459.75</v>
      </c>
      <c r="E973" s="13" t="s">
        <v>71</v>
      </c>
      <c r="F973" s="13">
        <v>968</v>
      </c>
    </row>
    <row r="974" spans="1:6" x14ac:dyDescent="0.25">
      <c r="A974" s="16">
        <v>42845</v>
      </c>
      <c r="B974" s="13" t="s">
        <v>1099</v>
      </c>
      <c r="C974" s="13">
        <v>103</v>
      </c>
      <c r="D974" s="13">
        <v>952.5</v>
      </c>
      <c r="E974" s="13" t="s">
        <v>71</v>
      </c>
      <c r="F974" s="13">
        <v>969</v>
      </c>
    </row>
    <row r="975" spans="1:6" x14ac:dyDescent="0.25">
      <c r="A975" s="16">
        <v>42845</v>
      </c>
      <c r="B975" s="13" t="s">
        <v>1100</v>
      </c>
      <c r="C975" s="13">
        <v>43</v>
      </c>
      <c r="D975" s="13">
        <v>784.65</v>
      </c>
      <c r="E975" s="13" t="s">
        <v>71</v>
      </c>
      <c r="F975" s="13">
        <v>970</v>
      </c>
    </row>
    <row r="976" spans="1:6" x14ac:dyDescent="0.25">
      <c r="A976" s="16">
        <v>42845</v>
      </c>
      <c r="B976" s="13" t="s">
        <v>1101</v>
      </c>
      <c r="C976" s="13">
        <v>44</v>
      </c>
      <c r="D976" s="13">
        <v>529.70000000000005</v>
      </c>
      <c r="E976" s="13" t="s">
        <v>71</v>
      </c>
      <c r="F976" s="13">
        <v>971</v>
      </c>
    </row>
    <row r="977" spans="1:6" x14ac:dyDescent="0.25">
      <c r="A977" s="16">
        <v>42845</v>
      </c>
      <c r="B977" s="13" t="s">
        <v>1102</v>
      </c>
      <c r="C977" s="13">
        <v>37</v>
      </c>
      <c r="D977" s="13">
        <v>914.75</v>
      </c>
      <c r="E977" s="13" t="s">
        <v>71</v>
      </c>
      <c r="F977" s="13">
        <v>972</v>
      </c>
    </row>
    <row r="978" spans="1:6" x14ac:dyDescent="0.25">
      <c r="A978" s="16">
        <v>42845</v>
      </c>
      <c r="B978" s="13" t="s">
        <v>1103</v>
      </c>
      <c r="C978" s="13">
        <v>201</v>
      </c>
      <c r="D978" s="13">
        <v>354.9</v>
      </c>
      <c r="E978" s="13" t="s">
        <v>71</v>
      </c>
      <c r="F978" s="13">
        <v>973</v>
      </c>
    </row>
    <row r="979" spans="1:6" x14ac:dyDescent="0.25">
      <c r="A979" s="1">
        <v>42849</v>
      </c>
      <c r="B979" t="s">
        <v>1104</v>
      </c>
      <c r="C979">
        <v>44</v>
      </c>
      <c r="D979">
        <v>210.85</v>
      </c>
      <c r="F979">
        <v>974</v>
      </c>
    </row>
    <row r="980" spans="1:6" x14ac:dyDescent="0.25">
      <c r="A980" s="16">
        <v>42849</v>
      </c>
      <c r="B980" s="13" t="s">
        <v>1105</v>
      </c>
      <c r="C980" s="13">
        <v>41</v>
      </c>
      <c r="D980" s="13">
        <v>264.85000000000002</v>
      </c>
      <c r="E980" s="13" t="s">
        <v>71</v>
      </c>
      <c r="F980" s="13">
        <v>975</v>
      </c>
    </row>
    <row r="981" spans="1:6" x14ac:dyDescent="0.25">
      <c r="A981" s="16">
        <v>42849</v>
      </c>
      <c r="B981" s="13" t="s">
        <v>1106</v>
      </c>
      <c r="C981" s="13">
        <v>35</v>
      </c>
      <c r="D981" s="13">
        <v>844.6</v>
      </c>
      <c r="E981" s="13" t="s">
        <v>71</v>
      </c>
      <c r="F981" s="13">
        <v>976</v>
      </c>
    </row>
    <row r="982" spans="1:6" x14ac:dyDescent="0.25">
      <c r="A982" s="16">
        <v>42849</v>
      </c>
      <c r="B982" s="13" t="s">
        <v>1107</v>
      </c>
      <c r="C982" s="13">
        <v>43</v>
      </c>
      <c r="D982" s="13">
        <v>384.85</v>
      </c>
      <c r="E982" s="13" t="s">
        <v>71</v>
      </c>
      <c r="F982" s="13">
        <v>977</v>
      </c>
    </row>
    <row r="983" spans="1:6" x14ac:dyDescent="0.25">
      <c r="A983" s="16">
        <v>42849</v>
      </c>
      <c r="B983" s="13" t="s">
        <v>1108</v>
      </c>
      <c r="C983" s="13">
        <v>103</v>
      </c>
      <c r="D983" s="13">
        <v>438.7</v>
      </c>
      <c r="E983" s="13" t="s">
        <v>71</v>
      </c>
      <c r="F983" s="13">
        <v>978</v>
      </c>
    </row>
    <row r="984" spans="1:6" x14ac:dyDescent="0.25">
      <c r="A984" s="16">
        <v>42849</v>
      </c>
      <c r="B984" s="13" t="s">
        <v>1109</v>
      </c>
      <c r="C984" s="13">
        <v>101</v>
      </c>
      <c r="D984" s="13">
        <v>667.95</v>
      </c>
      <c r="E984" s="13" t="s">
        <v>71</v>
      </c>
      <c r="F984" s="13">
        <v>979</v>
      </c>
    </row>
    <row r="985" spans="1:6" x14ac:dyDescent="0.25">
      <c r="A985" s="16">
        <v>42849</v>
      </c>
      <c r="B985" s="13" t="s">
        <v>1110</v>
      </c>
      <c r="C985" s="13">
        <v>37</v>
      </c>
      <c r="D985" s="13">
        <v>437.36</v>
      </c>
      <c r="E985" s="13" t="s">
        <v>71</v>
      </c>
      <c r="F985" s="13">
        <v>980</v>
      </c>
    </row>
    <row r="986" spans="1:6" x14ac:dyDescent="0.25">
      <c r="A986" s="16">
        <v>42849</v>
      </c>
      <c r="B986" s="13" t="s">
        <v>1111</v>
      </c>
      <c r="C986" s="13">
        <v>201</v>
      </c>
      <c r="D986" s="13">
        <v>134.85</v>
      </c>
      <c r="E986" s="13" t="s">
        <v>71</v>
      </c>
      <c r="F986" s="13">
        <v>981</v>
      </c>
    </row>
    <row r="987" spans="1:6" x14ac:dyDescent="0.25">
      <c r="A987" s="16">
        <v>42848</v>
      </c>
      <c r="B987" s="13" t="s">
        <v>1113</v>
      </c>
      <c r="C987" s="13">
        <v>35</v>
      </c>
      <c r="D987" s="13">
        <v>469.85</v>
      </c>
      <c r="E987" s="13" t="s">
        <v>71</v>
      </c>
      <c r="F987" s="13">
        <v>982</v>
      </c>
    </row>
    <row r="988" spans="1:6" x14ac:dyDescent="0.25">
      <c r="A988" s="16">
        <v>42848</v>
      </c>
      <c r="B988" s="13" t="s">
        <v>1114</v>
      </c>
      <c r="C988" s="13">
        <v>44</v>
      </c>
      <c r="D988" s="13">
        <v>240.75</v>
      </c>
      <c r="E988" s="13" t="s">
        <v>71</v>
      </c>
      <c r="F988" s="13">
        <v>983</v>
      </c>
    </row>
    <row r="989" spans="1:6" x14ac:dyDescent="0.25">
      <c r="A989" s="16">
        <v>42848</v>
      </c>
      <c r="B989" s="13" t="s">
        <v>1115</v>
      </c>
      <c r="C989" s="13">
        <v>43</v>
      </c>
      <c r="D989" s="13">
        <v>129.9</v>
      </c>
      <c r="E989" s="13" t="s">
        <v>71</v>
      </c>
      <c r="F989" s="13">
        <v>984</v>
      </c>
    </row>
    <row r="990" spans="1:6" x14ac:dyDescent="0.25">
      <c r="A990" s="16">
        <v>42848</v>
      </c>
      <c r="B990" s="13" t="s">
        <v>1116</v>
      </c>
      <c r="C990" s="13">
        <v>103</v>
      </c>
      <c r="D990" s="13">
        <v>269.97000000000003</v>
      </c>
      <c r="E990" s="13" t="s">
        <v>71</v>
      </c>
      <c r="F990" s="13">
        <v>985</v>
      </c>
    </row>
    <row r="991" spans="1:6" x14ac:dyDescent="0.25">
      <c r="A991" s="16">
        <v>42848</v>
      </c>
      <c r="B991" s="13" t="s">
        <v>1117</v>
      </c>
      <c r="C991" s="13">
        <v>41</v>
      </c>
      <c r="D991" s="13">
        <v>266.95</v>
      </c>
      <c r="E991" s="13" t="s">
        <v>71</v>
      </c>
      <c r="F991" s="13">
        <v>986</v>
      </c>
    </row>
    <row r="992" spans="1:6" x14ac:dyDescent="0.25">
      <c r="A992" s="16">
        <v>42847</v>
      </c>
      <c r="B992" s="13" t="s">
        <v>1118</v>
      </c>
      <c r="C992" s="13">
        <v>103</v>
      </c>
      <c r="D992" s="13">
        <v>702.95</v>
      </c>
      <c r="E992" s="13" t="s">
        <v>71</v>
      </c>
      <c r="F992" s="13">
        <v>987</v>
      </c>
    </row>
    <row r="993" spans="1:6" x14ac:dyDescent="0.25">
      <c r="A993" s="16">
        <v>42847</v>
      </c>
      <c r="B993" s="13" t="s">
        <v>1119</v>
      </c>
      <c r="C993" s="13">
        <v>44</v>
      </c>
      <c r="D993" s="13">
        <v>379.8</v>
      </c>
      <c r="E993" s="13" t="s">
        <v>71</v>
      </c>
      <c r="F993" s="13">
        <v>988</v>
      </c>
    </row>
    <row r="994" spans="1:6" x14ac:dyDescent="0.25">
      <c r="A994" s="16">
        <v>42847</v>
      </c>
      <c r="B994" s="13" t="s">
        <v>1120</v>
      </c>
      <c r="C994" s="13">
        <v>41</v>
      </c>
      <c r="D994" s="13">
        <v>514.9</v>
      </c>
      <c r="E994" s="13" t="s">
        <v>71</v>
      </c>
      <c r="F994" s="13">
        <v>989</v>
      </c>
    </row>
    <row r="995" spans="1:6" x14ac:dyDescent="0.25">
      <c r="A995" s="16">
        <v>42847</v>
      </c>
      <c r="B995" s="13" t="s">
        <v>1121</v>
      </c>
      <c r="C995" s="13">
        <v>43</v>
      </c>
      <c r="D995" s="13">
        <v>534.5</v>
      </c>
      <c r="E995" s="13" t="s">
        <v>71</v>
      </c>
      <c r="F995" s="13">
        <v>990</v>
      </c>
    </row>
    <row r="996" spans="1:6" x14ac:dyDescent="0.25">
      <c r="A996" s="16">
        <v>42847</v>
      </c>
      <c r="B996" s="13" t="s">
        <v>1122</v>
      </c>
      <c r="C996" s="13">
        <v>35</v>
      </c>
      <c r="D996" s="13">
        <v>803.25</v>
      </c>
      <c r="E996" s="13" t="s">
        <v>71</v>
      </c>
      <c r="F996" s="13">
        <v>991</v>
      </c>
    </row>
    <row r="997" spans="1:6" x14ac:dyDescent="0.25">
      <c r="A997" s="16">
        <v>42847</v>
      </c>
      <c r="B997" s="13" t="s">
        <v>1123</v>
      </c>
      <c r="C997" s="13">
        <v>101</v>
      </c>
      <c r="D997" s="13">
        <v>334.9</v>
      </c>
      <c r="E997" s="13" t="s">
        <v>71</v>
      </c>
      <c r="F997" s="13">
        <v>992</v>
      </c>
    </row>
    <row r="998" spans="1:6" x14ac:dyDescent="0.25">
      <c r="A998" s="16">
        <v>42846</v>
      </c>
      <c r="B998" s="13" t="s">
        <v>1124</v>
      </c>
      <c r="C998" s="13">
        <v>101</v>
      </c>
      <c r="D998" s="13">
        <v>689.95</v>
      </c>
      <c r="E998" s="13" t="s">
        <v>71</v>
      </c>
      <c r="F998" s="13">
        <v>993</v>
      </c>
    </row>
    <row r="999" spans="1:6" x14ac:dyDescent="0.25">
      <c r="A999" s="16">
        <v>42846</v>
      </c>
      <c r="B999" s="13" t="s">
        <v>1125</v>
      </c>
      <c r="C999" s="13">
        <v>44</v>
      </c>
      <c r="D999" s="13">
        <v>292.85000000000002</v>
      </c>
      <c r="E999" s="13" t="s">
        <v>71</v>
      </c>
      <c r="F999" s="13">
        <v>994</v>
      </c>
    </row>
    <row r="1000" spans="1:6" x14ac:dyDescent="0.25">
      <c r="A1000" s="16">
        <v>42846</v>
      </c>
      <c r="B1000" s="13" t="s">
        <v>1126</v>
      </c>
      <c r="C1000" s="13">
        <v>43</v>
      </c>
      <c r="D1000" s="13">
        <v>359.8</v>
      </c>
      <c r="E1000" s="13" t="s">
        <v>71</v>
      </c>
      <c r="F1000" s="13">
        <v>995</v>
      </c>
    </row>
    <row r="1001" spans="1:6" x14ac:dyDescent="0.25">
      <c r="A1001" s="16">
        <v>42846</v>
      </c>
      <c r="B1001" s="13" t="s">
        <v>1127</v>
      </c>
      <c r="C1001" s="13">
        <v>103</v>
      </c>
      <c r="D1001" s="13">
        <v>475.75</v>
      </c>
      <c r="E1001" s="13" t="s">
        <v>71</v>
      </c>
      <c r="F1001" s="13">
        <v>996</v>
      </c>
    </row>
    <row r="1002" spans="1:6" x14ac:dyDescent="0.25">
      <c r="A1002" s="16">
        <v>42846</v>
      </c>
      <c r="B1002" s="13" t="s">
        <v>1128</v>
      </c>
      <c r="C1002" s="13">
        <v>41</v>
      </c>
      <c r="D1002" s="13">
        <v>219.95</v>
      </c>
      <c r="E1002" s="13" t="s">
        <v>71</v>
      </c>
      <c r="F1002" s="13">
        <v>997</v>
      </c>
    </row>
    <row r="1003" spans="1:6" x14ac:dyDescent="0.25">
      <c r="A1003" s="16">
        <v>42846</v>
      </c>
      <c r="B1003" s="13" t="s">
        <v>1129</v>
      </c>
      <c r="C1003" s="13">
        <v>35</v>
      </c>
      <c r="D1003" s="13">
        <v>725.5</v>
      </c>
      <c r="E1003" s="13" t="s">
        <v>71</v>
      </c>
      <c r="F1003" s="13">
        <v>998</v>
      </c>
    </row>
    <row r="1004" spans="1:6" x14ac:dyDescent="0.25">
      <c r="A1004" s="16">
        <v>42848</v>
      </c>
      <c r="B1004" s="13" t="s">
        <v>1130</v>
      </c>
      <c r="C1004" s="13">
        <v>37</v>
      </c>
      <c r="D1004" s="13">
        <v>669.8</v>
      </c>
      <c r="E1004" s="13" t="s">
        <v>71</v>
      </c>
      <c r="F1004" s="13">
        <v>999</v>
      </c>
    </row>
    <row r="1005" spans="1:6" x14ac:dyDescent="0.25">
      <c r="A1005" s="16">
        <v>42848</v>
      </c>
      <c r="B1005" s="13" t="s">
        <v>1131</v>
      </c>
      <c r="C1005" s="13">
        <v>201</v>
      </c>
      <c r="D1005" s="13">
        <v>215</v>
      </c>
      <c r="E1005" s="13" t="s">
        <v>71</v>
      </c>
      <c r="F1005" s="13">
        <v>1000</v>
      </c>
    </row>
    <row r="1006" spans="1:6" x14ac:dyDescent="0.25">
      <c r="A1006" s="16">
        <v>42847</v>
      </c>
      <c r="B1006" s="13" t="s">
        <v>1132</v>
      </c>
      <c r="C1006" s="13">
        <v>37</v>
      </c>
      <c r="D1006" s="13">
        <v>834.48</v>
      </c>
      <c r="E1006" s="13" t="s">
        <v>71</v>
      </c>
      <c r="F1006" s="13">
        <v>1001</v>
      </c>
    </row>
    <row r="1007" spans="1:6" x14ac:dyDescent="0.25">
      <c r="A1007" s="16">
        <v>42847</v>
      </c>
      <c r="B1007" s="13" t="s">
        <v>1133</v>
      </c>
      <c r="C1007" s="13">
        <v>201</v>
      </c>
      <c r="D1007" s="13">
        <v>424.94</v>
      </c>
      <c r="E1007" s="13" t="s">
        <v>71</v>
      </c>
      <c r="F1007" s="13">
        <v>1002</v>
      </c>
    </row>
    <row r="1008" spans="1:6" x14ac:dyDescent="0.25">
      <c r="A1008" s="16">
        <v>42846</v>
      </c>
      <c r="B1008" s="13" t="s">
        <v>1134</v>
      </c>
      <c r="C1008" s="13">
        <v>37</v>
      </c>
      <c r="D1008" s="13">
        <v>1154.7</v>
      </c>
      <c r="E1008" s="13" t="s">
        <v>71</v>
      </c>
      <c r="F1008" s="13">
        <v>1003</v>
      </c>
    </row>
    <row r="1009" spans="1:9" x14ac:dyDescent="0.25">
      <c r="A1009" s="16">
        <v>42846</v>
      </c>
      <c r="B1009" s="13" t="s">
        <v>1135</v>
      </c>
      <c r="C1009" s="13">
        <v>201</v>
      </c>
      <c r="D1009" s="13">
        <v>185</v>
      </c>
      <c r="E1009" s="13" t="s">
        <v>71</v>
      </c>
      <c r="F1009" s="13">
        <v>1004</v>
      </c>
    </row>
    <row r="1010" spans="1:9" x14ac:dyDescent="0.25">
      <c r="A1010" s="16">
        <v>42851</v>
      </c>
      <c r="B1010" s="13" t="s">
        <v>1136</v>
      </c>
      <c r="C1010" s="13">
        <v>43</v>
      </c>
      <c r="D1010" s="13">
        <v>259.89999999999998</v>
      </c>
      <c r="E1010" s="13" t="s">
        <v>71</v>
      </c>
      <c r="F1010" s="13">
        <v>1005</v>
      </c>
    </row>
    <row r="1011" spans="1:9" x14ac:dyDescent="0.25">
      <c r="A1011" s="16">
        <v>42851</v>
      </c>
      <c r="B1011" s="13" t="s">
        <v>1137</v>
      </c>
      <c r="C1011" s="13">
        <v>103</v>
      </c>
      <c r="D1011" s="13">
        <v>574.9</v>
      </c>
      <c r="E1011" s="13" t="s">
        <v>71</v>
      </c>
      <c r="F1011" s="13">
        <v>1006</v>
      </c>
    </row>
    <row r="1012" spans="1:9" x14ac:dyDescent="0.25">
      <c r="A1012" s="16">
        <v>42851</v>
      </c>
      <c r="B1012" s="13" t="s">
        <v>1138</v>
      </c>
      <c r="C1012" s="13">
        <v>35</v>
      </c>
      <c r="D1012" s="13">
        <v>900.45</v>
      </c>
      <c r="E1012" s="13" t="s">
        <v>71</v>
      </c>
      <c r="F1012" s="13">
        <v>1007</v>
      </c>
    </row>
    <row r="1013" spans="1:9" x14ac:dyDescent="0.25">
      <c r="A1013" s="16">
        <v>42851</v>
      </c>
      <c r="B1013" s="13" t="s">
        <v>1139</v>
      </c>
      <c r="C1013" s="13">
        <v>41</v>
      </c>
      <c r="D1013" s="13">
        <v>249.7</v>
      </c>
      <c r="E1013" s="13" t="s">
        <v>71</v>
      </c>
      <c r="F1013" s="13">
        <v>1008</v>
      </c>
      <c r="I1013" s="5"/>
    </row>
    <row r="1014" spans="1:9" x14ac:dyDescent="0.25">
      <c r="A1014" s="16">
        <v>42851</v>
      </c>
      <c r="B1014" s="13" t="s">
        <v>1140</v>
      </c>
      <c r="C1014" s="13">
        <v>101</v>
      </c>
      <c r="D1014" s="13">
        <v>1077.45</v>
      </c>
      <c r="E1014" s="13" t="s">
        <v>71</v>
      </c>
      <c r="F1014" s="13">
        <v>1009</v>
      </c>
    </row>
    <row r="1015" spans="1:9" x14ac:dyDescent="0.25">
      <c r="A1015" s="16">
        <v>42851</v>
      </c>
      <c r="B1015" s="13" t="s">
        <v>1141</v>
      </c>
      <c r="C1015" s="13">
        <v>44</v>
      </c>
      <c r="D1015" s="13">
        <v>419.45</v>
      </c>
      <c r="E1015" s="13" t="s">
        <v>71</v>
      </c>
      <c r="F1015" s="13">
        <v>1010</v>
      </c>
    </row>
    <row r="1016" spans="1:9" x14ac:dyDescent="0.25">
      <c r="A1016" s="16">
        <v>42851</v>
      </c>
      <c r="B1016" s="13" t="s">
        <v>1142</v>
      </c>
      <c r="C1016" s="13">
        <v>37</v>
      </c>
      <c r="D1016" s="13">
        <v>384.8</v>
      </c>
      <c r="E1016" s="13" t="s">
        <v>71</v>
      </c>
      <c r="F1016" s="13">
        <v>1011</v>
      </c>
    </row>
    <row r="1017" spans="1:9" x14ac:dyDescent="0.25">
      <c r="A1017" s="16">
        <v>42851</v>
      </c>
      <c r="B1017" s="13" t="s">
        <v>1143</v>
      </c>
      <c r="C1017" s="13">
        <v>201</v>
      </c>
      <c r="D1017" s="13">
        <v>249.95</v>
      </c>
      <c r="E1017" s="13" t="s">
        <v>71</v>
      </c>
      <c r="F1017" s="13">
        <v>1012</v>
      </c>
    </row>
    <row r="1018" spans="1:9" x14ac:dyDescent="0.25">
      <c r="A1018" s="16">
        <v>42852</v>
      </c>
      <c r="B1018" s="13" t="s">
        <v>1144</v>
      </c>
      <c r="C1018" s="13">
        <v>43</v>
      </c>
      <c r="D1018" s="13">
        <v>539.75</v>
      </c>
      <c r="E1018" s="13" t="s">
        <v>71</v>
      </c>
      <c r="F1018" s="13">
        <v>1013</v>
      </c>
    </row>
    <row r="1019" spans="1:9" x14ac:dyDescent="0.25">
      <c r="A1019" s="16">
        <v>42852</v>
      </c>
      <c r="B1019" s="13" t="s">
        <v>1145</v>
      </c>
      <c r="C1019" s="13">
        <v>21479800</v>
      </c>
      <c r="D1019" s="13">
        <v>150</v>
      </c>
      <c r="E1019" s="13" t="s">
        <v>71</v>
      </c>
      <c r="F1019" s="13">
        <v>1014</v>
      </c>
    </row>
    <row r="1020" spans="1:9" x14ac:dyDescent="0.25">
      <c r="A1020" s="16">
        <v>42852</v>
      </c>
      <c r="B1020" s="13" t="s">
        <v>1146</v>
      </c>
      <c r="C1020" s="13">
        <v>41</v>
      </c>
      <c r="D1020" s="13">
        <v>544.9</v>
      </c>
      <c r="E1020" s="13" t="s">
        <v>71</v>
      </c>
      <c r="F1020" s="13">
        <v>1015</v>
      </c>
    </row>
    <row r="1021" spans="1:9" x14ac:dyDescent="0.25">
      <c r="A1021" s="16">
        <v>42852</v>
      </c>
      <c r="B1021" s="13" t="s">
        <v>1147</v>
      </c>
      <c r="C1021" s="13">
        <v>44</v>
      </c>
      <c r="D1021" s="13">
        <v>526.35</v>
      </c>
      <c r="E1021" s="13" t="s">
        <v>71</v>
      </c>
      <c r="F1021" s="13">
        <v>1016</v>
      </c>
    </row>
    <row r="1022" spans="1:9" x14ac:dyDescent="0.25">
      <c r="A1022" s="16">
        <v>42852</v>
      </c>
      <c r="B1022" s="13" t="s">
        <v>1148</v>
      </c>
      <c r="C1022" s="13">
        <v>101</v>
      </c>
      <c r="D1022" s="13">
        <v>794.9</v>
      </c>
      <c r="E1022" s="13" t="s">
        <v>71</v>
      </c>
      <c r="F1022" s="13">
        <v>1017</v>
      </c>
    </row>
    <row r="1023" spans="1:9" x14ac:dyDescent="0.25">
      <c r="A1023" s="16">
        <v>42852</v>
      </c>
      <c r="B1023" s="13" t="s">
        <v>1149</v>
      </c>
      <c r="C1023" s="13">
        <v>103</v>
      </c>
      <c r="D1023" s="13">
        <v>1339.2</v>
      </c>
      <c r="E1023" s="13" t="s">
        <v>71</v>
      </c>
      <c r="F1023" s="13">
        <v>1018</v>
      </c>
    </row>
    <row r="1024" spans="1:9" x14ac:dyDescent="0.25">
      <c r="A1024" s="16">
        <v>42852</v>
      </c>
      <c r="B1024" s="13" t="s">
        <v>1150</v>
      </c>
      <c r="C1024" s="13">
        <v>35</v>
      </c>
      <c r="D1024" s="13">
        <v>1142.0999999999999</v>
      </c>
      <c r="E1024" s="13" t="s">
        <v>71</v>
      </c>
      <c r="F1024" s="13">
        <v>1019</v>
      </c>
    </row>
    <row r="1025" spans="1:9" x14ac:dyDescent="0.25">
      <c r="A1025" s="16">
        <v>42852</v>
      </c>
      <c r="B1025" s="13" t="s">
        <v>1151</v>
      </c>
      <c r="C1025" s="13">
        <v>37</v>
      </c>
      <c r="D1025" s="13">
        <v>1429.58</v>
      </c>
      <c r="E1025" s="13" t="s">
        <v>71</v>
      </c>
      <c r="F1025" s="13">
        <v>1020</v>
      </c>
    </row>
    <row r="1026" spans="1:9" x14ac:dyDescent="0.25">
      <c r="A1026" s="16">
        <v>42852</v>
      </c>
      <c r="B1026" s="13" t="s">
        <v>1152</v>
      </c>
      <c r="C1026" s="13">
        <v>201</v>
      </c>
      <c r="D1026" s="13">
        <v>559.9</v>
      </c>
      <c r="E1026" s="13" t="s">
        <v>71</v>
      </c>
      <c r="F1026" s="13">
        <v>1021</v>
      </c>
    </row>
    <row r="1027" spans="1:9" x14ac:dyDescent="0.25">
      <c r="A1027" s="16">
        <v>42856</v>
      </c>
      <c r="B1027" s="13" t="s">
        <v>1153</v>
      </c>
      <c r="C1027" s="13">
        <v>35</v>
      </c>
      <c r="D1027" s="13">
        <v>819.3</v>
      </c>
      <c r="E1027" s="13" t="s">
        <v>71</v>
      </c>
      <c r="F1027" s="13">
        <v>1022</v>
      </c>
    </row>
    <row r="1028" spans="1:9" x14ac:dyDescent="0.25">
      <c r="A1028" s="16">
        <v>42856</v>
      </c>
      <c r="B1028" s="13" t="s">
        <v>1154</v>
      </c>
      <c r="C1028" s="13">
        <v>103</v>
      </c>
      <c r="D1028" s="13">
        <v>237.7</v>
      </c>
      <c r="E1028" s="13" t="s">
        <v>71</v>
      </c>
      <c r="F1028" s="13">
        <v>1023</v>
      </c>
    </row>
    <row r="1029" spans="1:9" x14ac:dyDescent="0.25">
      <c r="A1029" s="16">
        <v>42856</v>
      </c>
      <c r="B1029" s="13" t="s">
        <v>1155</v>
      </c>
      <c r="C1029" s="13">
        <v>41</v>
      </c>
      <c r="D1029" s="13">
        <v>312.8</v>
      </c>
      <c r="E1029" s="13" t="s">
        <v>71</v>
      </c>
      <c r="F1029" s="13">
        <v>1024</v>
      </c>
    </row>
    <row r="1030" spans="1:9" x14ac:dyDescent="0.25">
      <c r="A1030" s="16">
        <v>42856</v>
      </c>
      <c r="B1030" s="13" t="s">
        <v>1156</v>
      </c>
      <c r="C1030" s="13">
        <v>44</v>
      </c>
      <c r="D1030" s="13">
        <v>255</v>
      </c>
      <c r="E1030" s="13" t="s">
        <v>71</v>
      </c>
      <c r="F1030" s="13">
        <v>1025</v>
      </c>
    </row>
    <row r="1031" spans="1:9" x14ac:dyDescent="0.25">
      <c r="A1031" s="16">
        <v>42856</v>
      </c>
      <c r="B1031" s="13" t="s">
        <v>1157</v>
      </c>
      <c r="C1031" s="13">
        <v>43</v>
      </c>
      <c r="D1031" s="13">
        <v>90</v>
      </c>
      <c r="E1031" s="13" t="s">
        <v>71</v>
      </c>
      <c r="F1031" s="13">
        <v>1026</v>
      </c>
    </row>
    <row r="1032" spans="1:9" x14ac:dyDescent="0.25">
      <c r="A1032" s="16">
        <v>42855</v>
      </c>
      <c r="B1032" s="13" t="s">
        <v>1159</v>
      </c>
      <c r="C1032" s="13">
        <v>41</v>
      </c>
      <c r="D1032" s="13">
        <v>309.75</v>
      </c>
      <c r="E1032" s="13" t="s">
        <v>71</v>
      </c>
      <c r="F1032" s="13">
        <v>1027</v>
      </c>
    </row>
    <row r="1033" spans="1:9" x14ac:dyDescent="0.25">
      <c r="A1033" s="16">
        <v>42855</v>
      </c>
      <c r="B1033" s="13" t="s">
        <v>1160</v>
      </c>
      <c r="C1033" s="13">
        <v>35</v>
      </c>
      <c r="D1033" s="13">
        <v>773.95</v>
      </c>
      <c r="E1033" s="13" t="s">
        <v>71</v>
      </c>
      <c r="F1033" s="13">
        <v>1028</v>
      </c>
    </row>
    <row r="1034" spans="1:9" x14ac:dyDescent="0.25">
      <c r="A1034" s="16">
        <v>42855</v>
      </c>
      <c r="B1034" s="13" t="s">
        <v>1161</v>
      </c>
      <c r="C1034" s="13">
        <v>43</v>
      </c>
      <c r="D1034" s="13">
        <v>254.9</v>
      </c>
      <c r="E1034" s="13" t="s">
        <v>71</v>
      </c>
      <c r="F1034" s="13">
        <v>1029</v>
      </c>
    </row>
    <row r="1035" spans="1:9" x14ac:dyDescent="0.25">
      <c r="A1035" s="16">
        <v>42855</v>
      </c>
      <c r="B1035" s="13" t="s">
        <v>1162</v>
      </c>
      <c r="C1035" s="13">
        <v>103</v>
      </c>
      <c r="D1035" s="13">
        <v>339.89</v>
      </c>
      <c r="E1035" s="13" t="s">
        <v>71</v>
      </c>
      <c r="F1035" s="13">
        <v>1030</v>
      </c>
      <c r="I1035" s="5"/>
    </row>
    <row r="1036" spans="1:9" x14ac:dyDescent="0.25">
      <c r="A1036" s="16">
        <v>42855</v>
      </c>
      <c r="B1036" s="13" t="s">
        <v>1163</v>
      </c>
      <c r="C1036" s="13">
        <v>44</v>
      </c>
      <c r="D1036" s="13">
        <v>380.8</v>
      </c>
      <c r="E1036" s="13" t="s">
        <v>71</v>
      </c>
      <c r="F1036" s="13">
        <v>1031</v>
      </c>
    </row>
    <row r="1037" spans="1:9" x14ac:dyDescent="0.25">
      <c r="A1037" s="16">
        <v>42854</v>
      </c>
      <c r="B1037" s="13" t="s">
        <v>1164</v>
      </c>
      <c r="C1037" s="13">
        <v>35</v>
      </c>
      <c r="D1037" s="13">
        <v>909.65</v>
      </c>
      <c r="E1037" s="13" t="s">
        <v>71</v>
      </c>
      <c r="F1037" s="13">
        <v>1032</v>
      </c>
    </row>
    <row r="1038" spans="1:9" x14ac:dyDescent="0.25">
      <c r="A1038" s="16">
        <v>42854</v>
      </c>
      <c r="B1038" s="13" t="s">
        <v>1165</v>
      </c>
      <c r="C1038" s="13">
        <v>101</v>
      </c>
      <c r="D1038" s="13">
        <v>1599.95</v>
      </c>
      <c r="E1038" s="13" t="s">
        <v>71</v>
      </c>
      <c r="F1038" s="13">
        <v>1033</v>
      </c>
    </row>
    <row r="1039" spans="1:9" x14ac:dyDescent="0.25">
      <c r="A1039" s="16">
        <v>42854</v>
      </c>
      <c r="B1039" s="13" t="s">
        <v>1166</v>
      </c>
      <c r="C1039" s="13">
        <v>103</v>
      </c>
      <c r="D1039" s="13">
        <v>735.54</v>
      </c>
      <c r="E1039" s="13" t="s">
        <v>71</v>
      </c>
      <c r="F1039" s="13">
        <v>1034</v>
      </c>
    </row>
    <row r="1040" spans="1:9" x14ac:dyDescent="0.25">
      <c r="A1040" s="16">
        <v>42854</v>
      </c>
      <c r="B1040" s="13" t="s">
        <v>1167</v>
      </c>
      <c r="C1040" s="13">
        <v>44</v>
      </c>
      <c r="D1040" s="13">
        <v>564.4</v>
      </c>
      <c r="E1040" s="13" t="s">
        <v>71</v>
      </c>
      <c r="F1040" s="13">
        <v>1035</v>
      </c>
    </row>
    <row r="1041" spans="1:6" x14ac:dyDescent="0.25">
      <c r="A1041" s="16">
        <v>42854</v>
      </c>
      <c r="B1041" s="13" t="s">
        <v>1168</v>
      </c>
      <c r="C1041" s="13">
        <v>43</v>
      </c>
      <c r="D1041" s="13">
        <v>704.9</v>
      </c>
      <c r="E1041" s="13" t="s">
        <v>71</v>
      </c>
      <c r="F1041" s="13">
        <v>1036</v>
      </c>
    </row>
    <row r="1042" spans="1:6" x14ac:dyDescent="0.25">
      <c r="A1042" s="16">
        <v>42854</v>
      </c>
      <c r="B1042" s="13" t="s">
        <v>1169</v>
      </c>
      <c r="C1042" s="13">
        <v>41</v>
      </c>
      <c r="D1042" s="13">
        <v>497.6</v>
      </c>
      <c r="E1042" s="13" t="s">
        <v>71</v>
      </c>
      <c r="F1042" s="13">
        <v>1037</v>
      </c>
    </row>
    <row r="1043" spans="1:6" x14ac:dyDescent="0.25">
      <c r="A1043" s="16">
        <v>42853</v>
      </c>
      <c r="B1043" s="13" t="s">
        <v>1170</v>
      </c>
      <c r="C1043" s="13">
        <v>41</v>
      </c>
      <c r="D1043" s="13">
        <v>350.55</v>
      </c>
      <c r="E1043" s="13" t="s">
        <v>71</v>
      </c>
      <c r="F1043" s="13">
        <v>1038</v>
      </c>
    </row>
    <row r="1044" spans="1:6" x14ac:dyDescent="0.25">
      <c r="A1044" s="16">
        <v>42853</v>
      </c>
      <c r="B1044" s="13" t="s">
        <v>1171</v>
      </c>
      <c r="C1044" s="13">
        <v>103</v>
      </c>
      <c r="D1044" s="13">
        <v>616.70000000000005</v>
      </c>
      <c r="E1044" s="13" t="s">
        <v>71</v>
      </c>
      <c r="F1044" s="13">
        <v>1039</v>
      </c>
    </row>
    <row r="1045" spans="1:6" x14ac:dyDescent="0.25">
      <c r="A1045" s="16">
        <v>42853</v>
      </c>
      <c r="B1045" s="13" t="s">
        <v>1172</v>
      </c>
      <c r="C1045" s="13">
        <v>35</v>
      </c>
      <c r="D1045" s="13">
        <v>692.35</v>
      </c>
      <c r="E1045" s="13" t="s">
        <v>71</v>
      </c>
      <c r="F1045" s="13">
        <v>1040</v>
      </c>
    </row>
    <row r="1046" spans="1:6" x14ac:dyDescent="0.25">
      <c r="A1046" s="16">
        <v>42853</v>
      </c>
      <c r="B1046" s="13" t="s">
        <v>1173</v>
      </c>
      <c r="C1046" s="13">
        <v>44</v>
      </c>
      <c r="D1046" s="13">
        <v>269.60000000000002</v>
      </c>
      <c r="E1046" s="13" t="s">
        <v>71</v>
      </c>
      <c r="F1046" s="13">
        <v>1041</v>
      </c>
    </row>
    <row r="1047" spans="1:6" x14ac:dyDescent="0.25">
      <c r="A1047" s="16">
        <v>42853</v>
      </c>
      <c r="B1047" s="13" t="s">
        <v>1174</v>
      </c>
      <c r="C1047" s="13">
        <v>43</v>
      </c>
      <c r="D1047" s="13">
        <v>454.75</v>
      </c>
      <c r="E1047" s="13" t="s">
        <v>71</v>
      </c>
      <c r="F1047" s="13">
        <v>1042</v>
      </c>
    </row>
    <row r="1048" spans="1:6" x14ac:dyDescent="0.25">
      <c r="A1048" s="16">
        <v>42856</v>
      </c>
      <c r="B1048" s="13" t="s">
        <v>1175</v>
      </c>
      <c r="C1048" s="13">
        <v>37</v>
      </c>
      <c r="D1048" s="13">
        <v>249.85</v>
      </c>
      <c r="E1048" s="13" t="s">
        <v>71</v>
      </c>
      <c r="F1048" s="13">
        <v>1043</v>
      </c>
    </row>
    <row r="1049" spans="1:6" x14ac:dyDescent="0.25">
      <c r="A1049" s="16">
        <v>42856</v>
      </c>
      <c r="B1049" s="13" t="s">
        <v>1176</v>
      </c>
      <c r="C1049" s="13">
        <v>201</v>
      </c>
      <c r="D1049" s="13">
        <v>309.85000000000002</v>
      </c>
      <c r="E1049" s="13" t="s">
        <v>71</v>
      </c>
      <c r="F1049" s="13">
        <v>1044</v>
      </c>
    </row>
    <row r="1050" spans="1:6" x14ac:dyDescent="0.25">
      <c r="A1050" s="16">
        <v>42855</v>
      </c>
      <c r="B1050" s="13" t="s">
        <v>1179</v>
      </c>
      <c r="C1050" s="13">
        <v>37</v>
      </c>
      <c r="D1050" s="13">
        <v>539.84</v>
      </c>
      <c r="E1050" s="13" t="s">
        <v>71</v>
      </c>
      <c r="F1050" s="13">
        <v>1045</v>
      </c>
    </row>
    <row r="1051" spans="1:6" x14ac:dyDescent="0.25">
      <c r="A1051" s="16">
        <v>42855</v>
      </c>
      <c r="B1051" s="13" t="s">
        <v>1180</v>
      </c>
      <c r="C1051" s="13">
        <v>201</v>
      </c>
      <c r="D1051" s="13">
        <v>255</v>
      </c>
      <c r="E1051" s="13" t="s">
        <v>71</v>
      </c>
      <c r="F1051" s="13">
        <v>1046</v>
      </c>
    </row>
    <row r="1052" spans="1:6" x14ac:dyDescent="0.25">
      <c r="A1052" s="16">
        <v>42854</v>
      </c>
      <c r="B1052" s="13" t="s">
        <v>1181</v>
      </c>
      <c r="C1052" s="13">
        <v>201</v>
      </c>
      <c r="D1052" s="13">
        <v>924.4</v>
      </c>
      <c r="E1052" s="13" t="s">
        <v>71</v>
      </c>
      <c r="F1052" s="13">
        <v>1047</v>
      </c>
    </row>
    <row r="1053" spans="1:6" x14ac:dyDescent="0.25">
      <c r="A1053" s="16">
        <v>42854</v>
      </c>
      <c r="B1053" s="13" t="s">
        <v>1182</v>
      </c>
      <c r="C1053" s="13">
        <v>37</v>
      </c>
      <c r="D1053" s="13">
        <v>1099.33</v>
      </c>
      <c r="E1053" s="13" t="s">
        <v>71</v>
      </c>
      <c r="F1053" s="13">
        <v>1048</v>
      </c>
    </row>
    <row r="1054" spans="1:6" x14ac:dyDescent="0.25">
      <c r="A1054" s="16">
        <v>42853</v>
      </c>
      <c r="B1054" s="13" t="s">
        <v>1183</v>
      </c>
      <c r="C1054" s="13">
        <v>201</v>
      </c>
      <c r="D1054" s="13">
        <v>464.6</v>
      </c>
      <c r="E1054" s="13" t="s">
        <v>71</v>
      </c>
      <c r="F1054" s="13">
        <v>1049</v>
      </c>
    </row>
    <row r="1055" spans="1:6" x14ac:dyDescent="0.25">
      <c r="A1055" s="16">
        <v>42853</v>
      </c>
      <c r="B1055" s="13" t="s">
        <v>1184</v>
      </c>
      <c r="C1055" s="13">
        <v>37</v>
      </c>
      <c r="D1055" s="13">
        <v>959.7</v>
      </c>
      <c r="E1055" s="13" t="s">
        <v>71</v>
      </c>
      <c r="F1055" s="13">
        <v>1050</v>
      </c>
    </row>
    <row r="1056" spans="1:6" x14ac:dyDescent="0.25">
      <c r="A1056" s="16">
        <v>42857</v>
      </c>
      <c r="B1056" s="13" t="s">
        <v>1185</v>
      </c>
      <c r="C1056" s="13">
        <v>103</v>
      </c>
      <c r="D1056" s="13">
        <v>532.54999999999995</v>
      </c>
      <c r="E1056" s="13" t="s">
        <v>71</v>
      </c>
      <c r="F1056" s="13">
        <v>1051</v>
      </c>
    </row>
    <row r="1057" spans="1:6" x14ac:dyDescent="0.25">
      <c r="A1057" s="16">
        <v>42857</v>
      </c>
      <c r="B1057" s="13" t="s">
        <v>1186</v>
      </c>
      <c r="C1057" s="13">
        <v>35</v>
      </c>
      <c r="D1057" s="13">
        <v>495.45</v>
      </c>
      <c r="E1057" s="13" t="s">
        <v>71</v>
      </c>
      <c r="F1057" s="13">
        <v>1052</v>
      </c>
    </row>
    <row r="1058" spans="1:6" x14ac:dyDescent="0.25">
      <c r="A1058" s="16">
        <v>42857</v>
      </c>
      <c r="B1058" s="13" t="s">
        <v>1187</v>
      </c>
      <c r="C1058" s="13">
        <v>41</v>
      </c>
      <c r="D1058" s="13">
        <v>119.95</v>
      </c>
      <c r="E1058" s="13" t="s">
        <v>71</v>
      </c>
      <c r="F1058" s="13">
        <v>1053</v>
      </c>
    </row>
    <row r="1059" spans="1:6" x14ac:dyDescent="0.25">
      <c r="A1059" s="16">
        <v>42857</v>
      </c>
      <c r="B1059" s="13" t="s">
        <v>1188</v>
      </c>
      <c r="C1059" s="13">
        <v>43</v>
      </c>
      <c r="D1059" s="13">
        <v>179.95</v>
      </c>
      <c r="E1059" s="13" t="s">
        <v>71</v>
      </c>
      <c r="F1059" s="13">
        <v>1054</v>
      </c>
    </row>
    <row r="1060" spans="1:6" x14ac:dyDescent="0.25">
      <c r="A1060" s="16">
        <v>42857</v>
      </c>
      <c r="B1060" s="13" t="s">
        <v>1189</v>
      </c>
      <c r="C1060" s="13">
        <v>44</v>
      </c>
      <c r="D1060" s="13">
        <v>214.7</v>
      </c>
      <c r="E1060" s="13" t="s">
        <v>71</v>
      </c>
      <c r="F1060" s="13">
        <v>1055</v>
      </c>
    </row>
    <row r="1061" spans="1:6" x14ac:dyDescent="0.25">
      <c r="A1061" s="16">
        <v>42857</v>
      </c>
      <c r="B1061" s="13" t="s">
        <v>1190</v>
      </c>
      <c r="C1061" s="13">
        <v>37</v>
      </c>
      <c r="D1061" s="13">
        <v>349.75</v>
      </c>
      <c r="E1061" s="13" t="s">
        <v>71</v>
      </c>
      <c r="F1061" s="13">
        <v>1056</v>
      </c>
    </row>
    <row r="1062" spans="1:6" x14ac:dyDescent="0.25">
      <c r="A1062" s="16">
        <v>42857</v>
      </c>
      <c r="B1062" s="13" t="s">
        <v>1191</v>
      </c>
      <c r="C1062" s="13">
        <v>201</v>
      </c>
      <c r="D1062" s="13">
        <v>366.8</v>
      </c>
      <c r="E1062" s="13" t="s">
        <v>71</v>
      </c>
      <c r="F1062" s="13">
        <v>1057</v>
      </c>
    </row>
    <row r="1063" spans="1:6" x14ac:dyDescent="0.25">
      <c r="A1063" s="16">
        <v>42858</v>
      </c>
      <c r="B1063" s="13" t="s">
        <v>1192</v>
      </c>
      <c r="C1063" s="13">
        <v>41</v>
      </c>
      <c r="D1063" s="13">
        <v>354.75</v>
      </c>
      <c r="E1063" s="13" t="s">
        <v>71</v>
      </c>
      <c r="F1063" s="13">
        <v>1058</v>
      </c>
    </row>
    <row r="1064" spans="1:6" x14ac:dyDescent="0.25">
      <c r="A1064" s="16">
        <v>42858</v>
      </c>
      <c r="B1064" s="13" t="s">
        <v>1193</v>
      </c>
      <c r="C1064" s="13">
        <v>44</v>
      </c>
      <c r="D1064" s="13">
        <v>350.55</v>
      </c>
      <c r="E1064" s="13" t="s">
        <v>71</v>
      </c>
      <c r="F1064" s="13">
        <v>1059</v>
      </c>
    </row>
    <row r="1065" spans="1:6" x14ac:dyDescent="0.25">
      <c r="A1065" s="16">
        <v>42858</v>
      </c>
      <c r="B1065" s="13" t="s">
        <v>1194</v>
      </c>
      <c r="C1065" s="13">
        <v>35</v>
      </c>
      <c r="D1065" s="13">
        <v>470.34</v>
      </c>
      <c r="E1065" s="13" t="s">
        <v>71</v>
      </c>
      <c r="F1065" s="13">
        <v>1060</v>
      </c>
    </row>
    <row r="1066" spans="1:6" x14ac:dyDescent="0.25">
      <c r="A1066" s="16">
        <v>42858</v>
      </c>
      <c r="B1066" s="13" t="s">
        <v>1195</v>
      </c>
      <c r="C1066" s="13">
        <v>103</v>
      </c>
      <c r="D1066" s="13">
        <v>605</v>
      </c>
      <c r="E1066" s="13" t="s">
        <v>71</v>
      </c>
      <c r="F1066" s="13">
        <v>1061</v>
      </c>
    </row>
    <row r="1067" spans="1:6" x14ac:dyDescent="0.25">
      <c r="A1067" s="16">
        <v>42858</v>
      </c>
      <c r="B1067" s="13" t="s">
        <v>1196</v>
      </c>
      <c r="C1067" s="13">
        <v>43</v>
      </c>
      <c r="D1067" s="13">
        <v>319.60000000000002</v>
      </c>
      <c r="E1067" s="13" t="s">
        <v>71</v>
      </c>
      <c r="F1067" s="13">
        <v>1062</v>
      </c>
    </row>
    <row r="1068" spans="1:6" x14ac:dyDescent="0.25">
      <c r="A1068" s="16">
        <v>42858</v>
      </c>
      <c r="B1068" s="13" t="s">
        <v>1197</v>
      </c>
      <c r="C1068" s="13">
        <v>201</v>
      </c>
      <c r="D1068" s="13">
        <v>434.8</v>
      </c>
      <c r="E1068" s="13" t="s">
        <v>71</v>
      </c>
      <c r="F1068" s="13">
        <v>1063</v>
      </c>
    </row>
    <row r="1069" spans="1:6" x14ac:dyDescent="0.25">
      <c r="A1069" s="16">
        <v>42858</v>
      </c>
      <c r="B1069" s="13" t="s">
        <v>1198</v>
      </c>
      <c r="C1069" s="13">
        <v>37</v>
      </c>
      <c r="D1069" s="13">
        <v>439.85</v>
      </c>
      <c r="E1069" s="13" t="s">
        <v>71</v>
      </c>
      <c r="F1069" s="13">
        <v>1064</v>
      </c>
    </row>
    <row r="1070" spans="1:6" x14ac:dyDescent="0.25">
      <c r="A1070" s="16">
        <v>42859</v>
      </c>
      <c r="B1070" s="13" t="s">
        <v>1199</v>
      </c>
      <c r="C1070" s="13">
        <v>103</v>
      </c>
      <c r="D1070" s="13">
        <v>1127.75</v>
      </c>
      <c r="E1070" s="13" t="s">
        <v>71</v>
      </c>
      <c r="F1070" s="13">
        <v>1065</v>
      </c>
    </row>
    <row r="1071" spans="1:6" x14ac:dyDescent="0.25">
      <c r="A1071" s="16">
        <v>42859</v>
      </c>
      <c r="B1071" s="13" t="s">
        <v>1200</v>
      </c>
      <c r="C1071" s="13">
        <v>44</v>
      </c>
      <c r="D1071" s="13">
        <v>494.65</v>
      </c>
      <c r="E1071" s="13" t="s">
        <v>71</v>
      </c>
      <c r="F1071" s="13">
        <v>1066</v>
      </c>
    </row>
    <row r="1072" spans="1:6" x14ac:dyDescent="0.25">
      <c r="A1072" s="16">
        <v>42859</v>
      </c>
      <c r="B1072" s="13" t="s">
        <v>1201</v>
      </c>
      <c r="C1072" s="13">
        <v>43</v>
      </c>
      <c r="D1072" s="13">
        <v>622.35</v>
      </c>
      <c r="E1072" s="13" t="s">
        <v>71</v>
      </c>
      <c r="F1072" s="13">
        <v>1067</v>
      </c>
    </row>
    <row r="1073" spans="1:6" x14ac:dyDescent="0.25">
      <c r="A1073" s="16">
        <v>42859</v>
      </c>
      <c r="B1073" s="13" t="s">
        <v>1202</v>
      </c>
      <c r="C1073" s="13">
        <v>41</v>
      </c>
      <c r="D1073" s="13">
        <v>540.45000000000005</v>
      </c>
      <c r="E1073" s="13" t="s">
        <v>71</v>
      </c>
      <c r="F1073" s="13">
        <v>1068</v>
      </c>
    </row>
    <row r="1074" spans="1:6" x14ac:dyDescent="0.25">
      <c r="A1074" s="16">
        <v>42859</v>
      </c>
      <c r="B1074" s="13" t="s">
        <v>1203</v>
      </c>
      <c r="C1074" s="13">
        <v>35</v>
      </c>
      <c r="D1074" s="13">
        <v>1083.55</v>
      </c>
      <c r="E1074" s="13" t="s">
        <v>71</v>
      </c>
      <c r="F1074" s="13">
        <v>1069</v>
      </c>
    </row>
    <row r="1075" spans="1:6" x14ac:dyDescent="0.25">
      <c r="A1075" s="16">
        <v>42859</v>
      </c>
      <c r="B1075" s="13" t="s">
        <v>1204</v>
      </c>
      <c r="C1075" s="13">
        <v>37</v>
      </c>
      <c r="D1075" s="13">
        <v>559.79999999999995</v>
      </c>
      <c r="E1075" s="13" t="s">
        <v>71</v>
      </c>
      <c r="F1075" s="13">
        <v>1070</v>
      </c>
    </row>
    <row r="1076" spans="1:6" x14ac:dyDescent="0.25">
      <c r="A1076" s="16">
        <v>42859</v>
      </c>
      <c r="B1076" s="13" t="s">
        <v>1205</v>
      </c>
      <c r="C1076" s="13">
        <v>201</v>
      </c>
      <c r="D1076" s="13">
        <v>494.65</v>
      </c>
      <c r="E1076" s="13" t="s">
        <v>71</v>
      </c>
      <c r="F1076" s="13">
        <v>1071</v>
      </c>
    </row>
    <row r="1077" spans="1:6" x14ac:dyDescent="0.25">
      <c r="A1077" s="16">
        <v>42862</v>
      </c>
      <c r="B1077" s="13" t="s">
        <v>1206</v>
      </c>
      <c r="C1077" s="13">
        <v>35</v>
      </c>
      <c r="D1077" s="13">
        <v>607.20000000000005</v>
      </c>
      <c r="E1077" s="13" t="s">
        <v>71</v>
      </c>
      <c r="F1077" s="13">
        <v>1072</v>
      </c>
    </row>
    <row r="1078" spans="1:6" x14ac:dyDescent="0.25">
      <c r="A1078" s="16">
        <v>42862</v>
      </c>
      <c r="B1078" s="13" t="s">
        <v>1207</v>
      </c>
      <c r="C1078" s="13">
        <v>41</v>
      </c>
      <c r="D1078" s="13">
        <v>327.5</v>
      </c>
      <c r="E1078" s="13" t="s">
        <v>71</v>
      </c>
      <c r="F1078" s="13">
        <v>1073</v>
      </c>
    </row>
    <row r="1079" spans="1:6" x14ac:dyDescent="0.25">
      <c r="A1079" s="16">
        <v>42862</v>
      </c>
      <c r="B1079" s="13" t="s">
        <v>1208</v>
      </c>
      <c r="C1079" s="13">
        <v>103</v>
      </c>
      <c r="D1079" s="13">
        <v>530.45000000000005</v>
      </c>
      <c r="E1079" s="13" t="s">
        <v>71</v>
      </c>
      <c r="F1079" s="13">
        <v>1074</v>
      </c>
    </row>
    <row r="1080" spans="1:6" x14ac:dyDescent="0.25">
      <c r="A1080" s="16">
        <v>42862</v>
      </c>
      <c r="B1080" s="13" t="s">
        <v>1209</v>
      </c>
      <c r="C1080" s="13">
        <v>43</v>
      </c>
      <c r="D1080" s="13">
        <v>314.7</v>
      </c>
      <c r="E1080" s="13" t="s">
        <v>71</v>
      </c>
      <c r="F1080" s="13">
        <v>1075</v>
      </c>
    </row>
    <row r="1081" spans="1:6" x14ac:dyDescent="0.25">
      <c r="A1081" s="16">
        <v>42862</v>
      </c>
      <c r="B1081" s="13" t="s">
        <v>1210</v>
      </c>
      <c r="C1081" s="13">
        <v>44</v>
      </c>
      <c r="D1081" s="13">
        <v>255.75</v>
      </c>
      <c r="E1081" s="13" t="s">
        <v>71</v>
      </c>
      <c r="F1081" s="13">
        <v>1076</v>
      </c>
    </row>
    <row r="1082" spans="1:6" x14ac:dyDescent="0.25">
      <c r="A1082" s="16">
        <v>42861</v>
      </c>
      <c r="B1082" s="13" t="s">
        <v>1211</v>
      </c>
      <c r="C1082" s="13">
        <v>103</v>
      </c>
      <c r="D1082" s="13">
        <v>1039.8800000000001</v>
      </c>
      <c r="E1082" s="13" t="s">
        <v>71</v>
      </c>
      <c r="F1082" s="13">
        <v>1077</v>
      </c>
    </row>
    <row r="1083" spans="1:6" x14ac:dyDescent="0.25">
      <c r="A1083" s="16">
        <v>42861</v>
      </c>
      <c r="B1083" s="13" t="s">
        <v>1212</v>
      </c>
      <c r="C1083" s="13">
        <v>43</v>
      </c>
      <c r="D1083" s="13">
        <v>459.45</v>
      </c>
      <c r="E1083" s="13" t="s">
        <v>71</v>
      </c>
      <c r="F1083" s="13">
        <v>1078</v>
      </c>
    </row>
    <row r="1084" spans="1:6" x14ac:dyDescent="0.25">
      <c r="A1084" s="16">
        <v>42861</v>
      </c>
      <c r="B1084" s="13" t="s">
        <v>1213</v>
      </c>
      <c r="C1084" s="13">
        <v>41</v>
      </c>
      <c r="D1084" s="13">
        <v>654.4</v>
      </c>
      <c r="E1084" s="13" t="s">
        <v>71</v>
      </c>
      <c r="F1084" s="13">
        <v>1079</v>
      </c>
    </row>
    <row r="1085" spans="1:6" x14ac:dyDescent="0.25">
      <c r="A1085" s="16">
        <v>42861</v>
      </c>
      <c r="B1085" s="13" t="s">
        <v>1214</v>
      </c>
      <c r="C1085" s="13">
        <v>35</v>
      </c>
      <c r="D1085" s="13">
        <v>983.25</v>
      </c>
      <c r="E1085" s="13" t="s">
        <v>71</v>
      </c>
      <c r="F1085" s="13">
        <v>1080</v>
      </c>
    </row>
    <row r="1086" spans="1:6" x14ac:dyDescent="0.25">
      <c r="A1086" s="16">
        <v>42861</v>
      </c>
      <c r="B1086" s="13" t="s">
        <v>1215</v>
      </c>
      <c r="C1086" s="13">
        <v>44</v>
      </c>
      <c r="D1086" s="13">
        <v>588.45000000000005</v>
      </c>
      <c r="E1086" s="13" t="s">
        <v>71</v>
      </c>
      <c r="F1086" s="13">
        <v>1081</v>
      </c>
    </row>
    <row r="1087" spans="1:6" x14ac:dyDescent="0.25">
      <c r="A1087" s="16">
        <v>42860</v>
      </c>
      <c r="B1087" s="13" t="s">
        <v>1216</v>
      </c>
      <c r="C1087" s="13">
        <v>44</v>
      </c>
      <c r="D1087" s="13">
        <v>425.5</v>
      </c>
      <c r="E1087" s="13" t="s">
        <v>71</v>
      </c>
      <c r="F1087" s="13">
        <v>1082</v>
      </c>
    </row>
    <row r="1088" spans="1:6" x14ac:dyDescent="0.25">
      <c r="A1088" s="16">
        <v>42860</v>
      </c>
      <c r="B1088" s="13" t="s">
        <v>1217</v>
      </c>
      <c r="C1088" s="13">
        <v>43</v>
      </c>
      <c r="D1088" s="13">
        <v>339.75</v>
      </c>
      <c r="E1088" s="13" t="s">
        <v>71</v>
      </c>
      <c r="F1088" s="13">
        <v>1083</v>
      </c>
    </row>
    <row r="1089" spans="1:6" x14ac:dyDescent="0.25">
      <c r="A1089" s="16">
        <v>42860</v>
      </c>
      <c r="B1089" s="13" t="s">
        <v>1218</v>
      </c>
      <c r="C1089" s="13">
        <v>41</v>
      </c>
      <c r="D1089" s="13">
        <v>687.25</v>
      </c>
      <c r="E1089" s="13" t="s">
        <v>71</v>
      </c>
      <c r="F1089" s="13">
        <v>1084</v>
      </c>
    </row>
    <row r="1090" spans="1:6" x14ac:dyDescent="0.25">
      <c r="A1090" s="16">
        <v>42860</v>
      </c>
      <c r="B1090" s="13" t="s">
        <v>1219</v>
      </c>
      <c r="C1090" s="13">
        <v>103</v>
      </c>
      <c r="D1090" s="13">
        <v>709.3</v>
      </c>
      <c r="E1090" s="13" t="s">
        <v>71</v>
      </c>
      <c r="F1090" s="13">
        <v>1085</v>
      </c>
    </row>
    <row r="1091" spans="1:6" x14ac:dyDescent="0.25">
      <c r="A1091" s="16">
        <v>42860</v>
      </c>
      <c r="B1091" s="13" t="s">
        <v>1220</v>
      </c>
      <c r="C1091" s="13">
        <v>35</v>
      </c>
      <c r="D1091" s="13">
        <v>1103.95</v>
      </c>
      <c r="E1091" s="13" t="s">
        <v>71</v>
      </c>
      <c r="F1091" s="13">
        <v>1086</v>
      </c>
    </row>
    <row r="1092" spans="1:6" x14ac:dyDescent="0.25">
      <c r="A1092" s="16">
        <v>42862</v>
      </c>
      <c r="B1092" s="13" t="s">
        <v>1221</v>
      </c>
      <c r="C1092" s="13">
        <v>37</v>
      </c>
      <c r="D1092" s="13">
        <v>664.6</v>
      </c>
      <c r="E1092" s="13" t="s">
        <v>71</v>
      </c>
      <c r="F1092" s="13">
        <v>1087</v>
      </c>
    </row>
    <row r="1093" spans="1:6" x14ac:dyDescent="0.25">
      <c r="A1093" s="16">
        <v>42862</v>
      </c>
      <c r="B1093" s="13" t="s">
        <v>1222</v>
      </c>
      <c r="C1093" s="13">
        <v>201</v>
      </c>
      <c r="D1093" s="13">
        <v>275</v>
      </c>
      <c r="E1093" s="13" t="s">
        <v>71</v>
      </c>
      <c r="F1093" s="13">
        <v>1088</v>
      </c>
    </row>
    <row r="1094" spans="1:6" x14ac:dyDescent="0.25">
      <c r="A1094" s="16">
        <v>42861</v>
      </c>
      <c r="B1094" s="13" t="s">
        <v>1223</v>
      </c>
      <c r="C1094" s="13">
        <v>201</v>
      </c>
      <c r="D1094" s="13">
        <v>409.94</v>
      </c>
      <c r="E1094" s="13" t="s">
        <v>71</v>
      </c>
      <c r="F1094" s="13">
        <v>1089</v>
      </c>
    </row>
    <row r="1095" spans="1:6" x14ac:dyDescent="0.25">
      <c r="A1095" s="16">
        <v>42861</v>
      </c>
      <c r="B1095" s="13" t="s">
        <v>1224</v>
      </c>
      <c r="C1095" s="13">
        <v>37</v>
      </c>
      <c r="D1095" s="13">
        <v>779.29</v>
      </c>
      <c r="E1095" s="13" t="s">
        <v>71</v>
      </c>
      <c r="F1095" s="13">
        <v>1090</v>
      </c>
    </row>
    <row r="1096" spans="1:6" x14ac:dyDescent="0.25">
      <c r="A1096" s="16">
        <v>42860</v>
      </c>
      <c r="B1096" s="13" t="s">
        <v>1225</v>
      </c>
      <c r="C1096" s="13">
        <v>37</v>
      </c>
      <c r="D1096" s="13">
        <v>694.2</v>
      </c>
      <c r="E1096" s="13" t="s">
        <v>71</v>
      </c>
      <c r="F1096" s="13">
        <v>1091</v>
      </c>
    </row>
    <row r="1097" spans="1:6" x14ac:dyDescent="0.25">
      <c r="A1097" s="16">
        <v>42860</v>
      </c>
      <c r="B1097" s="13" t="s">
        <v>1226</v>
      </c>
      <c r="C1097" s="13">
        <v>201</v>
      </c>
      <c r="D1097" s="13">
        <v>734.62</v>
      </c>
      <c r="E1097" s="13" t="s">
        <v>71</v>
      </c>
      <c r="F1097" s="13">
        <v>1092</v>
      </c>
    </row>
    <row r="1098" spans="1:6" x14ac:dyDescent="0.25">
      <c r="A1098" s="16">
        <v>42863</v>
      </c>
      <c r="B1098" s="13" t="s">
        <v>1227</v>
      </c>
      <c r="C1098" s="13">
        <v>43</v>
      </c>
      <c r="D1098" s="13">
        <v>344.55</v>
      </c>
      <c r="E1098" s="13" t="s">
        <v>71</v>
      </c>
      <c r="F1098" s="13">
        <v>1093</v>
      </c>
    </row>
    <row r="1099" spans="1:6" x14ac:dyDescent="0.25">
      <c r="A1099" s="16">
        <v>42863</v>
      </c>
      <c r="B1099" s="13" t="s">
        <v>1228</v>
      </c>
      <c r="C1099" s="13">
        <v>41</v>
      </c>
      <c r="D1099" s="13">
        <v>540.04999999999995</v>
      </c>
      <c r="E1099" s="13" t="s">
        <v>71</v>
      </c>
      <c r="F1099" s="13">
        <v>1094</v>
      </c>
    </row>
    <row r="1100" spans="1:6" x14ac:dyDescent="0.25">
      <c r="A1100" s="16">
        <v>42863</v>
      </c>
      <c r="B1100" s="13" t="s">
        <v>1229</v>
      </c>
      <c r="C1100" s="13">
        <v>44</v>
      </c>
      <c r="D1100" s="13">
        <v>506</v>
      </c>
      <c r="E1100" s="13" t="s">
        <v>71</v>
      </c>
      <c r="F1100" s="13">
        <v>1095</v>
      </c>
    </row>
    <row r="1101" spans="1:6" x14ac:dyDescent="0.25">
      <c r="A1101" s="16">
        <v>42863</v>
      </c>
      <c r="B1101" s="13" t="s">
        <v>1230</v>
      </c>
      <c r="C1101" s="13">
        <v>103</v>
      </c>
      <c r="D1101" s="13">
        <v>315.55</v>
      </c>
      <c r="E1101" s="13" t="s">
        <v>71</v>
      </c>
      <c r="F1101" s="13">
        <v>1096</v>
      </c>
    </row>
    <row r="1102" spans="1:6" x14ac:dyDescent="0.25">
      <c r="A1102" s="16">
        <v>42863</v>
      </c>
      <c r="B1102" s="13" t="s">
        <v>1231</v>
      </c>
      <c r="C1102" s="13">
        <v>35</v>
      </c>
      <c r="D1102" s="13">
        <v>676.33</v>
      </c>
      <c r="E1102" s="13" t="s">
        <v>71</v>
      </c>
      <c r="F1102" s="13">
        <v>1097</v>
      </c>
    </row>
    <row r="1103" spans="1:6" x14ac:dyDescent="0.25">
      <c r="A1103" s="16">
        <v>42863</v>
      </c>
      <c r="B1103" s="13" t="s">
        <v>1232</v>
      </c>
      <c r="C1103" s="13">
        <v>37</v>
      </c>
      <c r="D1103" s="13">
        <v>169.95</v>
      </c>
      <c r="E1103" s="13" t="s">
        <v>71</v>
      </c>
      <c r="F1103" s="13">
        <v>1098</v>
      </c>
    </row>
    <row r="1104" spans="1:6" x14ac:dyDescent="0.25">
      <c r="A1104" s="16">
        <v>42863</v>
      </c>
      <c r="B1104" s="13" t="s">
        <v>1233</v>
      </c>
      <c r="C1104" s="13">
        <v>201</v>
      </c>
      <c r="D1104" s="13">
        <v>420</v>
      </c>
      <c r="E1104" s="13" t="s">
        <v>71</v>
      </c>
      <c r="F1104" s="13">
        <v>1099</v>
      </c>
    </row>
    <row r="1105" spans="1:6" x14ac:dyDescent="0.25">
      <c r="A1105" s="16">
        <v>42864</v>
      </c>
      <c r="B1105" s="13" t="s">
        <v>1235</v>
      </c>
      <c r="C1105" s="13">
        <v>44</v>
      </c>
      <c r="D1105" s="13">
        <v>302.5</v>
      </c>
      <c r="E1105" s="13" t="s">
        <v>71</v>
      </c>
      <c r="F1105" s="13">
        <v>1100</v>
      </c>
    </row>
    <row r="1106" spans="1:6" x14ac:dyDescent="0.25">
      <c r="A1106" s="16">
        <v>42864</v>
      </c>
      <c r="B1106" s="13" t="s">
        <v>1236</v>
      </c>
      <c r="C1106" s="13">
        <v>35</v>
      </c>
      <c r="D1106" s="13">
        <v>559.44000000000005</v>
      </c>
      <c r="E1106" s="13" t="s">
        <v>71</v>
      </c>
      <c r="F1106" s="13">
        <v>1101</v>
      </c>
    </row>
    <row r="1107" spans="1:6" x14ac:dyDescent="0.25">
      <c r="A1107" s="16">
        <v>42864</v>
      </c>
      <c r="B1107" s="13" t="s">
        <v>1237</v>
      </c>
      <c r="C1107" s="13">
        <v>41</v>
      </c>
      <c r="D1107" s="13">
        <v>239.65</v>
      </c>
      <c r="E1107" s="13" t="s">
        <v>71</v>
      </c>
      <c r="F1107" s="13">
        <v>1102</v>
      </c>
    </row>
    <row r="1108" spans="1:6" x14ac:dyDescent="0.25">
      <c r="A1108" s="16">
        <v>42864</v>
      </c>
      <c r="B1108" s="13" t="s">
        <v>1238</v>
      </c>
      <c r="C1108" s="13">
        <v>103</v>
      </c>
      <c r="D1108" s="13">
        <v>675.45</v>
      </c>
      <c r="E1108" s="13" t="s">
        <v>71</v>
      </c>
      <c r="F1108" s="13">
        <v>1103</v>
      </c>
    </row>
    <row r="1109" spans="1:6" x14ac:dyDescent="0.25">
      <c r="A1109" s="16">
        <v>42864</v>
      </c>
      <c r="B1109" s="13" t="s">
        <v>1239</v>
      </c>
      <c r="C1109" s="13">
        <v>43</v>
      </c>
      <c r="D1109" s="13">
        <v>399.85</v>
      </c>
      <c r="E1109" s="13" t="s">
        <v>71</v>
      </c>
      <c r="F1109" s="13">
        <v>1104</v>
      </c>
    </row>
    <row r="1110" spans="1:6" x14ac:dyDescent="0.25">
      <c r="A1110" s="16">
        <v>42864</v>
      </c>
      <c r="B1110" s="13" t="s">
        <v>1240</v>
      </c>
      <c r="C1110" s="13">
        <v>37</v>
      </c>
      <c r="D1110" s="13">
        <v>749.6</v>
      </c>
      <c r="E1110" s="13" t="s">
        <v>71</v>
      </c>
      <c r="F1110" s="13">
        <v>1105</v>
      </c>
    </row>
    <row r="1111" spans="1:6" x14ac:dyDescent="0.25">
      <c r="A1111" s="16">
        <v>42864</v>
      </c>
      <c r="B1111" s="13" t="s">
        <v>1241</v>
      </c>
      <c r="C1111" s="13">
        <v>201</v>
      </c>
      <c r="D1111" s="13">
        <v>237.79</v>
      </c>
      <c r="E1111" s="13" t="s">
        <v>71</v>
      </c>
      <c r="F1111" s="13">
        <v>1106</v>
      </c>
    </row>
    <row r="1112" spans="1:6" x14ac:dyDescent="0.25">
      <c r="A1112" s="16">
        <v>42865</v>
      </c>
      <c r="B1112" s="13" t="s">
        <v>1243</v>
      </c>
      <c r="C1112" s="13">
        <v>44</v>
      </c>
      <c r="D1112" s="13">
        <v>600.45000000000005</v>
      </c>
      <c r="E1112" s="13" t="s">
        <v>71</v>
      </c>
      <c r="F1112" s="13">
        <v>1107</v>
      </c>
    </row>
    <row r="1113" spans="1:6" x14ac:dyDescent="0.25">
      <c r="A1113" s="16">
        <v>42865</v>
      </c>
      <c r="B1113" s="13" t="s">
        <v>1244</v>
      </c>
      <c r="C1113" s="13">
        <v>35</v>
      </c>
      <c r="D1113" s="13">
        <v>845.95</v>
      </c>
      <c r="E1113" s="13" t="s">
        <v>71</v>
      </c>
      <c r="F1113" s="13">
        <v>1108</v>
      </c>
    </row>
    <row r="1114" spans="1:6" x14ac:dyDescent="0.25">
      <c r="A1114" s="16">
        <v>42865</v>
      </c>
      <c r="B1114" s="13" t="s">
        <v>1245</v>
      </c>
      <c r="C1114" s="13">
        <v>43</v>
      </c>
      <c r="D1114" s="13">
        <v>485.65</v>
      </c>
      <c r="E1114" s="13" t="s">
        <v>71</v>
      </c>
      <c r="F1114" s="13">
        <v>1109</v>
      </c>
    </row>
    <row r="1115" spans="1:6" x14ac:dyDescent="0.25">
      <c r="A1115" s="16">
        <v>42865</v>
      </c>
      <c r="B1115" s="13" t="s">
        <v>1246</v>
      </c>
      <c r="C1115" s="13">
        <v>41</v>
      </c>
      <c r="D1115" s="13">
        <v>167.55</v>
      </c>
      <c r="E1115" s="13" t="s">
        <v>71</v>
      </c>
      <c r="F1115" s="13">
        <v>1110</v>
      </c>
    </row>
    <row r="1116" spans="1:6" x14ac:dyDescent="0.25">
      <c r="A1116" s="16">
        <v>42865</v>
      </c>
      <c r="B1116" s="13" t="s">
        <v>1247</v>
      </c>
      <c r="C1116" s="13">
        <v>103</v>
      </c>
      <c r="D1116" s="13">
        <v>684.5</v>
      </c>
      <c r="E1116" s="13" t="s">
        <v>71</v>
      </c>
      <c r="F1116" s="13">
        <v>1111</v>
      </c>
    </row>
    <row r="1117" spans="1:6" x14ac:dyDescent="0.25">
      <c r="A1117" s="16">
        <v>42865</v>
      </c>
      <c r="B1117" s="13" t="s">
        <v>1248</v>
      </c>
      <c r="C1117" s="13">
        <v>37</v>
      </c>
      <c r="D1117" s="13">
        <v>489.43</v>
      </c>
      <c r="E1117" s="13" t="s">
        <v>71</v>
      </c>
      <c r="F1117" s="13">
        <v>1112</v>
      </c>
    </row>
    <row r="1118" spans="1:6" x14ac:dyDescent="0.25">
      <c r="A1118" s="16">
        <v>42865</v>
      </c>
      <c r="B1118" s="13" t="s">
        <v>1249</v>
      </c>
      <c r="C1118" s="13">
        <v>201</v>
      </c>
      <c r="D1118" s="13">
        <v>242.9</v>
      </c>
      <c r="E1118" s="13" t="s">
        <v>71</v>
      </c>
      <c r="F1118" s="13">
        <v>1113</v>
      </c>
    </row>
    <row r="1119" spans="1:6" x14ac:dyDescent="0.25">
      <c r="A1119" s="16">
        <v>42866</v>
      </c>
      <c r="B1119" s="13" t="s">
        <v>1250</v>
      </c>
      <c r="C1119" s="13">
        <v>103</v>
      </c>
      <c r="D1119" s="13">
        <v>1007.55</v>
      </c>
      <c r="E1119" s="13" t="s">
        <v>71</v>
      </c>
      <c r="F1119" s="13">
        <v>1114</v>
      </c>
    </row>
    <row r="1120" spans="1:6" x14ac:dyDescent="0.25">
      <c r="A1120" s="16">
        <v>42866</v>
      </c>
      <c r="B1120" s="13" t="s">
        <v>1251</v>
      </c>
      <c r="C1120" s="13">
        <v>35</v>
      </c>
      <c r="D1120" s="13">
        <v>1215.18</v>
      </c>
      <c r="E1120" s="13" t="s">
        <v>71</v>
      </c>
      <c r="F1120" s="13">
        <v>1115</v>
      </c>
    </row>
    <row r="1121" spans="1:6" x14ac:dyDescent="0.25">
      <c r="A1121" s="16">
        <v>42866</v>
      </c>
      <c r="B1121" s="13" t="s">
        <v>1252</v>
      </c>
      <c r="C1121" s="13">
        <v>43</v>
      </c>
      <c r="D1121" s="13">
        <v>714.5</v>
      </c>
      <c r="E1121" s="13" t="s">
        <v>71</v>
      </c>
      <c r="F1121" s="13">
        <v>1116</v>
      </c>
    </row>
    <row r="1122" spans="1:6" x14ac:dyDescent="0.25">
      <c r="A1122" s="16">
        <v>42866</v>
      </c>
      <c r="B1122" s="13" t="s">
        <v>1253</v>
      </c>
      <c r="C1122" s="13">
        <v>44</v>
      </c>
      <c r="D1122" s="13">
        <v>477.4</v>
      </c>
      <c r="E1122" s="13" t="s">
        <v>71</v>
      </c>
      <c r="F1122" s="13">
        <v>1117</v>
      </c>
    </row>
    <row r="1123" spans="1:6" x14ac:dyDescent="0.25">
      <c r="A1123" s="16">
        <v>42866</v>
      </c>
      <c r="B1123" s="13" t="s">
        <v>1254</v>
      </c>
      <c r="C1123" s="13">
        <v>41</v>
      </c>
      <c r="D1123" s="13">
        <v>790.25</v>
      </c>
      <c r="E1123" s="13" t="s">
        <v>71</v>
      </c>
      <c r="F1123" s="13">
        <v>1118</v>
      </c>
    </row>
    <row r="1124" spans="1:6" x14ac:dyDescent="0.25">
      <c r="A1124" s="16">
        <v>42866</v>
      </c>
      <c r="B1124" s="13" t="s">
        <v>1255</v>
      </c>
      <c r="C1124" s="13">
        <v>37</v>
      </c>
      <c r="D1124" s="13">
        <v>809.6</v>
      </c>
      <c r="E1124" s="13" t="s">
        <v>71</v>
      </c>
      <c r="F1124" s="13">
        <v>1119</v>
      </c>
    </row>
    <row r="1125" spans="1:6" x14ac:dyDescent="0.25">
      <c r="A1125" s="16">
        <v>42866</v>
      </c>
      <c r="B1125" s="13" t="s">
        <v>1256</v>
      </c>
      <c r="C1125" s="13">
        <v>201</v>
      </c>
      <c r="D1125" s="13">
        <v>529.70000000000005</v>
      </c>
      <c r="E1125" s="13" t="s">
        <v>71</v>
      </c>
      <c r="F1125" s="13">
        <v>1120</v>
      </c>
    </row>
    <row r="1126" spans="1:6" x14ac:dyDescent="0.25">
      <c r="A1126" s="16">
        <v>42869</v>
      </c>
      <c r="B1126" s="13" t="s">
        <v>1257</v>
      </c>
      <c r="C1126" s="13">
        <v>103</v>
      </c>
      <c r="D1126" s="13">
        <v>812.98</v>
      </c>
      <c r="E1126" s="13" t="s">
        <v>71</v>
      </c>
      <c r="F1126" s="13">
        <v>1121</v>
      </c>
    </row>
    <row r="1127" spans="1:6" x14ac:dyDescent="0.25">
      <c r="A1127" s="16">
        <v>42869</v>
      </c>
      <c r="B1127" s="13" t="s">
        <v>1258</v>
      </c>
      <c r="C1127" s="13">
        <v>43</v>
      </c>
      <c r="D1127" s="13">
        <v>324.85000000000002</v>
      </c>
      <c r="E1127" s="13" t="s">
        <v>71</v>
      </c>
      <c r="F1127" s="13">
        <v>1122</v>
      </c>
    </row>
    <row r="1128" spans="1:6" x14ac:dyDescent="0.25">
      <c r="A1128" s="16">
        <v>42869</v>
      </c>
      <c r="B1128" s="13" t="s">
        <v>1259</v>
      </c>
      <c r="C1128" s="13">
        <v>35</v>
      </c>
      <c r="D1128" s="13">
        <v>684.23</v>
      </c>
      <c r="E1128" s="13" t="s">
        <v>71</v>
      </c>
      <c r="F1128" s="13">
        <v>1123</v>
      </c>
    </row>
    <row r="1129" spans="1:6" x14ac:dyDescent="0.25">
      <c r="A1129" s="16">
        <v>42869</v>
      </c>
      <c r="B1129" s="13" t="s">
        <v>1260</v>
      </c>
      <c r="C1129" s="13">
        <v>44</v>
      </c>
      <c r="D1129" s="13">
        <v>836.75</v>
      </c>
      <c r="E1129" s="13" t="s">
        <v>71</v>
      </c>
      <c r="F1129" s="13">
        <v>1124</v>
      </c>
    </row>
    <row r="1130" spans="1:6" x14ac:dyDescent="0.25">
      <c r="A1130" s="16">
        <v>42869</v>
      </c>
      <c r="B1130" s="13" t="s">
        <v>1261</v>
      </c>
      <c r="C1130" s="13">
        <v>41</v>
      </c>
      <c r="D1130" s="13">
        <v>490.53</v>
      </c>
      <c r="E1130" s="13" t="s">
        <v>71</v>
      </c>
      <c r="F1130" s="13">
        <v>1125</v>
      </c>
    </row>
    <row r="1131" spans="1:6" x14ac:dyDescent="0.25">
      <c r="A1131" s="16">
        <v>42868</v>
      </c>
      <c r="B1131" s="13" t="s">
        <v>1262</v>
      </c>
      <c r="C1131" s="13">
        <v>103</v>
      </c>
      <c r="D1131" s="13">
        <v>1358.39</v>
      </c>
      <c r="E1131" s="13" t="s">
        <v>71</v>
      </c>
      <c r="F1131" s="13">
        <v>1126</v>
      </c>
    </row>
    <row r="1132" spans="1:6" x14ac:dyDescent="0.25">
      <c r="A1132" s="16">
        <v>42868</v>
      </c>
      <c r="B1132" s="13" t="s">
        <v>1263</v>
      </c>
      <c r="C1132" s="13">
        <v>44</v>
      </c>
      <c r="D1132" s="13">
        <v>449.5</v>
      </c>
      <c r="E1132" s="13" t="s">
        <v>71</v>
      </c>
      <c r="F1132" s="13">
        <v>1127</v>
      </c>
    </row>
    <row r="1133" spans="1:6" x14ac:dyDescent="0.25">
      <c r="A1133" s="16">
        <v>42868</v>
      </c>
      <c r="B1133" s="13" t="s">
        <v>1264</v>
      </c>
      <c r="C1133" s="13">
        <v>43</v>
      </c>
      <c r="D1133" s="13">
        <v>1198.73</v>
      </c>
      <c r="E1133" s="13" t="s">
        <v>71</v>
      </c>
      <c r="F1133" s="13">
        <v>1128</v>
      </c>
    </row>
    <row r="1134" spans="1:6" x14ac:dyDescent="0.25">
      <c r="A1134" s="16">
        <v>42868</v>
      </c>
      <c r="B1134" s="13" t="s">
        <v>1265</v>
      </c>
      <c r="C1134" s="13">
        <v>41</v>
      </c>
      <c r="D1134" s="13">
        <v>810</v>
      </c>
      <c r="E1134" s="13" t="s">
        <v>71</v>
      </c>
      <c r="F1134" s="13">
        <v>1129</v>
      </c>
    </row>
    <row r="1135" spans="1:6" x14ac:dyDescent="0.25">
      <c r="A1135" s="16">
        <v>42868</v>
      </c>
      <c r="B1135" s="13" t="s">
        <v>1266</v>
      </c>
      <c r="C1135" s="13">
        <v>35</v>
      </c>
      <c r="D1135" s="13">
        <v>931.88</v>
      </c>
      <c r="E1135" s="13" t="s">
        <v>71</v>
      </c>
      <c r="F1135" s="13">
        <v>1130</v>
      </c>
    </row>
    <row r="1136" spans="1:6" x14ac:dyDescent="0.25">
      <c r="A1136" s="16">
        <v>42867</v>
      </c>
      <c r="B1136" s="13" t="s">
        <v>1267</v>
      </c>
      <c r="C1136" s="13">
        <v>44</v>
      </c>
      <c r="D1136" s="13">
        <v>244.55</v>
      </c>
      <c r="E1136" s="13" t="s">
        <v>71</v>
      </c>
      <c r="F1136" s="13">
        <v>1131</v>
      </c>
    </row>
    <row r="1137" spans="1:6" x14ac:dyDescent="0.25">
      <c r="A1137" s="16">
        <v>42867</v>
      </c>
      <c r="B1137" s="13" t="s">
        <v>1268</v>
      </c>
      <c r="C1137" s="13">
        <v>41</v>
      </c>
      <c r="D1137" s="13">
        <v>399.83</v>
      </c>
      <c r="E1137" s="13" t="s">
        <v>71</v>
      </c>
      <c r="F1137" s="13">
        <v>1132</v>
      </c>
    </row>
    <row r="1138" spans="1:6" x14ac:dyDescent="0.25">
      <c r="A1138" s="16">
        <v>42867</v>
      </c>
      <c r="B1138" s="13" t="s">
        <v>1269</v>
      </c>
      <c r="C1138" s="13">
        <v>103</v>
      </c>
      <c r="D1138" s="13">
        <v>610.54999999999995</v>
      </c>
      <c r="E1138" s="13" t="s">
        <v>71</v>
      </c>
      <c r="F1138" s="13">
        <v>1133</v>
      </c>
    </row>
    <row r="1139" spans="1:6" x14ac:dyDescent="0.25">
      <c r="A1139" s="16">
        <v>42867</v>
      </c>
      <c r="B1139" s="13" t="s">
        <v>1270</v>
      </c>
      <c r="C1139" s="13">
        <v>43</v>
      </c>
      <c r="D1139" s="13">
        <v>369.8</v>
      </c>
      <c r="E1139" s="13" t="s">
        <v>71</v>
      </c>
      <c r="F1139" s="13">
        <v>1134</v>
      </c>
    </row>
    <row r="1140" spans="1:6" x14ac:dyDescent="0.25">
      <c r="A1140" s="16">
        <v>42867</v>
      </c>
      <c r="B1140" s="13" t="s">
        <v>1271</v>
      </c>
      <c r="C1140" s="13">
        <v>35</v>
      </c>
      <c r="D1140" s="13">
        <v>1014.26</v>
      </c>
      <c r="E1140" s="13" t="s">
        <v>71</v>
      </c>
      <c r="F1140" s="13">
        <v>1135</v>
      </c>
    </row>
    <row r="1141" spans="1:6" x14ac:dyDescent="0.25">
      <c r="A1141" s="16">
        <v>42869</v>
      </c>
      <c r="B1141" s="13" t="s">
        <v>1273</v>
      </c>
      <c r="C1141" s="13">
        <v>201</v>
      </c>
      <c r="D1141" s="13">
        <v>65</v>
      </c>
      <c r="E1141" s="13" t="s">
        <v>71</v>
      </c>
      <c r="F1141" s="13">
        <v>1136</v>
      </c>
    </row>
    <row r="1142" spans="1:6" x14ac:dyDescent="0.25">
      <c r="A1142" s="16">
        <v>42869</v>
      </c>
      <c r="B1142" s="13" t="s">
        <v>1274</v>
      </c>
      <c r="C1142" s="13">
        <v>37</v>
      </c>
      <c r="D1142" s="13">
        <v>329.5</v>
      </c>
      <c r="E1142" s="13" t="s">
        <v>71</v>
      </c>
      <c r="F1142" s="13">
        <v>1137</v>
      </c>
    </row>
    <row r="1143" spans="1:6" x14ac:dyDescent="0.25">
      <c r="A1143" s="16">
        <v>42868</v>
      </c>
      <c r="B1143" s="13" t="s">
        <v>1275</v>
      </c>
      <c r="C1143" s="13">
        <v>37</v>
      </c>
      <c r="D1143" s="13">
        <v>759.33</v>
      </c>
      <c r="E1143" s="13" t="s">
        <v>71</v>
      </c>
      <c r="F1143" s="13">
        <v>1138</v>
      </c>
    </row>
    <row r="1144" spans="1:6" x14ac:dyDescent="0.25">
      <c r="A1144" s="16">
        <v>42868</v>
      </c>
      <c r="B1144" s="13" t="s">
        <v>1276</v>
      </c>
      <c r="C1144" s="13">
        <v>201</v>
      </c>
      <c r="D1144" s="13">
        <v>806.38</v>
      </c>
      <c r="E1144" s="13" t="s">
        <v>71</v>
      </c>
      <c r="F1144" s="13">
        <v>1139</v>
      </c>
    </row>
    <row r="1145" spans="1:6" x14ac:dyDescent="0.25">
      <c r="A1145" s="16">
        <v>42867</v>
      </c>
      <c r="B1145" s="13" t="s">
        <v>1277</v>
      </c>
      <c r="C1145" s="13">
        <v>201</v>
      </c>
      <c r="D1145" s="13">
        <v>536.54999999999995</v>
      </c>
      <c r="E1145" s="13" t="s">
        <v>71</v>
      </c>
      <c r="F1145" s="13">
        <v>1140</v>
      </c>
    </row>
    <row r="1146" spans="1:6" x14ac:dyDescent="0.25">
      <c r="A1146" s="16">
        <v>42867</v>
      </c>
      <c r="B1146" s="13" t="s">
        <v>1278</v>
      </c>
      <c r="C1146" s="13">
        <v>37</v>
      </c>
      <c r="D1146" s="13">
        <v>1118.73</v>
      </c>
      <c r="E1146" s="13" t="s">
        <v>71</v>
      </c>
      <c r="F1146" s="13">
        <v>1141</v>
      </c>
    </row>
    <row r="1147" spans="1:6" x14ac:dyDescent="0.25">
      <c r="A1147" s="16">
        <v>42870</v>
      </c>
      <c r="B1147" s="13" t="s">
        <v>1279</v>
      </c>
      <c r="C1147" s="13">
        <v>103</v>
      </c>
      <c r="D1147" s="13">
        <v>457.8</v>
      </c>
      <c r="E1147" s="13" t="s">
        <v>71</v>
      </c>
      <c r="F1147" s="13">
        <v>1142</v>
      </c>
    </row>
    <row r="1148" spans="1:6" x14ac:dyDescent="0.25">
      <c r="A1148" s="16">
        <v>42870</v>
      </c>
      <c r="B1148" s="13" t="s">
        <v>1280</v>
      </c>
      <c r="C1148" s="13">
        <v>41</v>
      </c>
      <c r="D1148" s="13">
        <v>179.88</v>
      </c>
      <c r="E1148" s="13" t="s">
        <v>71</v>
      </c>
      <c r="F1148" s="13">
        <v>1143</v>
      </c>
    </row>
    <row r="1149" spans="1:6" x14ac:dyDescent="0.25">
      <c r="A1149" s="16">
        <v>42870</v>
      </c>
      <c r="B1149" s="13" t="s">
        <v>1281</v>
      </c>
      <c r="C1149" s="13">
        <v>35</v>
      </c>
      <c r="D1149" s="13">
        <v>459.3</v>
      </c>
      <c r="E1149" s="13" t="s">
        <v>71</v>
      </c>
      <c r="F1149" s="13">
        <v>1144</v>
      </c>
    </row>
    <row r="1150" spans="1:6" x14ac:dyDescent="0.25">
      <c r="A1150" s="16">
        <v>42870</v>
      </c>
      <c r="B1150" s="13" t="s">
        <v>1282</v>
      </c>
      <c r="C1150" s="13">
        <v>43</v>
      </c>
      <c r="D1150" s="13">
        <v>159.69999999999999</v>
      </c>
      <c r="E1150" s="13" t="s">
        <v>71</v>
      </c>
      <c r="F1150" s="13">
        <v>1145</v>
      </c>
    </row>
    <row r="1151" spans="1:6" x14ac:dyDescent="0.25">
      <c r="A1151" s="16">
        <v>42870</v>
      </c>
      <c r="B1151" s="13" t="s">
        <v>1283</v>
      </c>
      <c r="C1151" s="13">
        <v>44</v>
      </c>
      <c r="D1151" s="13">
        <v>353.58</v>
      </c>
      <c r="E1151" s="13" t="s">
        <v>71</v>
      </c>
      <c r="F1151" s="13">
        <v>1146</v>
      </c>
    </row>
    <row r="1152" spans="1:6" x14ac:dyDescent="0.25">
      <c r="A1152" s="16">
        <v>42870</v>
      </c>
      <c r="B1152" s="13" t="s">
        <v>1284</v>
      </c>
      <c r="C1152" s="13">
        <v>201</v>
      </c>
      <c r="D1152" s="13">
        <v>205</v>
      </c>
      <c r="E1152" s="13" t="s">
        <v>71</v>
      </c>
      <c r="F1152" s="13">
        <v>1147</v>
      </c>
    </row>
    <row r="1153" spans="1:6" x14ac:dyDescent="0.25">
      <c r="A1153" s="16">
        <v>42870</v>
      </c>
      <c r="B1153" s="13" t="s">
        <v>1285</v>
      </c>
      <c r="C1153" s="13">
        <v>37</v>
      </c>
      <c r="D1153" s="13">
        <v>449.55</v>
      </c>
      <c r="E1153" s="13" t="s">
        <v>71</v>
      </c>
      <c r="F1153" s="13">
        <v>1148</v>
      </c>
    </row>
    <row r="1154" spans="1:6" x14ac:dyDescent="0.25">
      <c r="A1154" s="16">
        <v>42871</v>
      </c>
      <c r="B1154" s="13" t="s">
        <v>1286</v>
      </c>
      <c r="C1154" s="13">
        <v>35</v>
      </c>
      <c r="D1154" s="13">
        <v>394.3</v>
      </c>
      <c r="E1154" s="13" t="s">
        <v>71</v>
      </c>
      <c r="F1154" s="13">
        <v>1149</v>
      </c>
    </row>
    <row r="1155" spans="1:6" x14ac:dyDescent="0.25">
      <c r="A1155" s="16">
        <v>42871</v>
      </c>
      <c r="B1155" s="13" t="s">
        <v>1287</v>
      </c>
      <c r="C1155" s="13">
        <v>43</v>
      </c>
      <c r="D1155" s="13">
        <v>429.35</v>
      </c>
      <c r="E1155" s="13" t="s">
        <v>71</v>
      </c>
      <c r="F1155" s="13">
        <v>1150</v>
      </c>
    </row>
    <row r="1156" spans="1:6" x14ac:dyDescent="0.25">
      <c r="A1156" s="16">
        <v>42871</v>
      </c>
      <c r="B1156" s="13" t="s">
        <v>1288</v>
      </c>
      <c r="C1156" s="13">
        <v>44</v>
      </c>
      <c r="D1156" s="13">
        <v>586</v>
      </c>
      <c r="E1156" s="13" t="s">
        <v>71</v>
      </c>
      <c r="F1156" s="13">
        <v>1151</v>
      </c>
    </row>
    <row r="1157" spans="1:6" x14ac:dyDescent="0.25">
      <c r="A1157" s="16">
        <v>42871</v>
      </c>
      <c r="B1157" s="13" t="s">
        <v>1289</v>
      </c>
      <c r="C1157" s="13">
        <v>41</v>
      </c>
      <c r="D1157" s="13">
        <v>393.45</v>
      </c>
      <c r="E1157" s="13" t="s">
        <v>71</v>
      </c>
      <c r="F1157" s="13">
        <v>1152</v>
      </c>
    </row>
    <row r="1158" spans="1:6" x14ac:dyDescent="0.25">
      <c r="A1158" s="16">
        <v>42871</v>
      </c>
      <c r="B1158" s="13" t="s">
        <v>1290</v>
      </c>
      <c r="C1158" s="13">
        <v>103</v>
      </c>
      <c r="D1158" s="13">
        <v>520.75</v>
      </c>
      <c r="E1158" s="13" t="s">
        <v>71</v>
      </c>
      <c r="F1158" s="13">
        <v>1153</v>
      </c>
    </row>
    <row r="1159" spans="1:6" x14ac:dyDescent="0.25">
      <c r="A1159" s="16">
        <v>42871</v>
      </c>
      <c r="B1159" s="13" t="s">
        <v>1291</v>
      </c>
      <c r="C1159" s="13">
        <v>37</v>
      </c>
      <c r="D1159" s="13">
        <v>304.45</v>
      </c>
      <c r="E1159" s="13" t="s">
        <v>71</v>
      </c>
      <c r="F1159" s="13">
        <v>1154</v>
      </c>
    </row>
    <row r="1160" spans="1:6" x14ac:dyDescent="0.25">
      <c r="A1160" s="16">
        <v>42871</v>
      </c>
      <c r="B1160" s="13" t="s">
        <v>1292</v>
      </c>
      <c r="C1160" s="13">
        <v>201</v>
      </c>
      <c r="D1160" s="13">
        <v>434.8</v>
      </c>
      <c r="E1160" s="13" t="s">
        <v>71</v>
      </c>
      <c r="F1160" s="13">
        <v>1155</v>
      </c>
    </row>
    <row r="1161" spans="1:6" x14ac:dyDescent="0.25">
      <c r="A1161" s="16">
        <v>42872</v>
      </c>
      <c r="B1161" s="13" t="s">
        <v>1295</v>
      </c>
      <c r="C1161" s="13">
        <v>103</v>
      </c>
      <c r="D1161" s="13">
        <v>413.45</v>
      </c>
      <c r="E1161" s="13" t="s">
        <v>71</v>
      </c>
      <c r="F1161" s="13">
        <v>1156</v>
      </c>
    </row>
    <row r="1162" spans="1:6" x14ac:dyDescent="0.25">
      <c r="A1162" s="16">
        <v>42872</v>
      </c>
      <c r="B1162" s="13" t="s">
        <v>1296</v>
      </c>
      <c r="C1162" s="13">
        <v>35</v>
      </c>
      <c r="D1162" s="13">
        <v>404.13</v>
      </c>
      <c r="E1162" s="13" t="s">
        <v>71</v>
      </c>
      <c r="F1162" s="13">
        <v>1157</v>
      </c>
    </row>
    <row r="1163" spans="1:6" x14ac:dyDescent="0.25">
      <c r="A1163" s="16">
        <v>42872</v>
      </c>
      <c r="B1163" s="13" t="s">
        <v>1297</v>
      </c>
      <c r="C1163" s="13">
        <v>43</v>
      </c>
      <c r="D1163" s="13">
        <v>344.55</v>
      </c>
      <c r="E1163" s="13" t="s">
        <v>71</v>
      </c>
      <c r="F1163" s="13">
        <v>1158</v>
      </c>
    </row>
    <row r="1164" spans="1:6" x14ac:dyDescent="0.25">
      <c r="A1164" s="16">
        <v>42872</v>
      </c>
      <c r="B1164" s="13" t="s">
        <v>1298</v>
      </c>
      <c r="C1164" s="13">
        <v>44</v>
      </c>
      <c r="D1164" s="13">
        <v>189.85</v>
      </c>
      <c r="E1164" s="13" t="s">
        <v>71</v>
      </c>
      <c r="F1164" s="13">
        <v>1159</v>
      </c>
    </row>
    <row r="1165" spans="1:6" x14ac:dyDescent="0.25">
      <c r="A1165" s="16">
        <v>42872</v>
      </c>
      <c r="B1165" s="13" t="s">
        <v>1299</v>
      </c>
      <c r="C1165" s="13">
        <v>41</v>
      </c>
      <c r="D1165" s="13">
        <v>565.1</v>
      </c>
      <c r="E1165" s="13" t="s">
        <v>71</v>
      </c>
      <c r="F1165" s="13">
        <v>1160</v>
      </c>
    </row>
    <row r="1166" spans="1:6" x14ac:dyDescent="0.25">
      <c r="A1166" s="16">
        <v>42872</v>
      </c>
      <c r="B1166" s="13" t="s">
        <v>1300</v>
      </c>
      <c r="C1166" s="13">
        <v>37</v>
      </c>
      <c r="D1166" s="13">
        <v>659.18</v>
      </c>
      <c r="E1166" s="13" t="s">
        <v>71</v>
      </c>
      <c r="F1166" s="13">
        <v>1161</v>
      </c>
    </row>
    <row r="1167" spans="1:6" x14ac:dyDescent="0.25">
      <c r="A1167" s="16">
        <v>42872</v>
      </c>
      <c r="B1167" s="13" t="s">
        <v>1301</v>
      </c>
      <c r="C1167" s="13">
        <v>201</v>
      </c>
      <c r="D1167" s="13">
        <v>259.89999999999998</v>
      </c>
      <c r="E1167" s="13" t="s">
        <v>71</v>
      </c>
      <c r="F1167" s="13">
        <v>1162</v>
      </c>
    </row>
    <row r="1168" spans="1:6" x14ac:dyDescent="0.25">
      <c r="A1168" s="16">
        <v>42873</v>
      </c>
      <c r="B1168" s="13" t="s">
        <v>1302</v>
      </c>
      <c r="C1168" s="13">
        <v>103</v>
      </c>
      <c r="D1168" s="13">
        <v>1017.15</v>
      </c>
      <c r="E1168" s="13" t="s">
        <v>71</v>
      </c>
      <c r="F1168" s="13">
        <v>1163</v>
      </c>
    </row>
    <row r="1169" spans="1:6" x14ac:dyDescent="0.25">
      <c r="A1169" s="16">
        <v>42873</v>
      </c>
      <c r="B1169" s="13" t="s">
        <v>1303</v>
      </c>
      <c r="C1169" s="13">
        <v>35</v>
      </c>
      <c r="D1169" s="13">
        <v>814.5</v>
      </c>
      <c r="E1169" s="13" t="s">
        <v>71</v>
      </c>
      <c r="F1169" s="13">
        <v>1164</v>
      </c>
    </row>
    <row r="1170" spans="1:6" x14ac:dyDescent="0.25">
      <c r="A1170" s="16">
        <v>42873</v>
      </c>
      <c r="B1170" s="13" t="s">
        <v>1304</v>
      </c>
      <c r="C1170" s="13">
        <v>41</v>
      </c>
      <c r="D1170" s="13">
        <v>953</v>
      </c>
      <c r="E1170" s="13" t="s">
        <v>71</v>
      </c>
      <c r="F1170" s="13">
        <v>1165</v>
      </c>
    </row>
    <row r="1171" spans="1:6" x14ac:dyDescent="0.25">
      <c r="A1171" s="16">
        <v>42873</v>
      </c>
      <c r="B1171" s="13" t="s">
        <v>1305</v>
      </c>
      <c r="C1171" s="13">
        <v>43</v>
      </c>
      <c r="D1171" s="13">
        <v>159.80000000000001</v>
      </c>
      <c r="E1171" s="13" t="s">
        <v>71</v>
      </c>
      <c r="F1171" s="13">
        <v>1166</v>
      </c>
    </row>
    <row r="1172" spans="1:6" x14ac:dyDescent="0.25">
      <c r="A1172" s="16">
        <v>42873</v>
      </c>
      <c r="B1172" s="13" t="s">
        <v>1306</v>
      </c>
      <c r="C1172" s="13">
        <v>37</v>
      </c>
      <c r="D1172" s="13">
        <v>964.23</v>
      </c>
      <c r="E1172" s="13" t="s">
        <v>71</v>
      </c>
      <c r="F1172" s="13">
        <v>1167</v>
      </c>
    </row>
    <row r="1173" spans="1:6" x14ac:dyDescent="0.25">
      <c r="A1173" s="16">
        <v>42873</v>
      </c>
      <c r="B1173" s="13" t="s">
        <v>1307</v>
      </c>
      <c r="C1173" s="13">
        <v>201</v>
      </c>
      <c r="D1173" s="13">
        <v>477.75</v>
      </c>
      <c r="E1173" s="13" t="s">
        <v>71</v>
      </c>
      <c r="F1173" s="13">
        <v>1168</v>
      </c>
    </row>
    <row r="1174" spans="1:6" x14ac:dyDescent="0.25">
      <c r="A1174" s="16">
        <v>42876</v>
      </c>
      <c r="B1174" s="13" t="s">
        <v>1308</v>
      </c>
      <c r="C1174" s="13">
        <v>44</v>
      </c>
      <c r="D1174" s="13">
        <v>596.29999999999995</v>
      </c>
      <c r="E1174" s="13" t="s">
        <v>71</v>
      </c>
      <c r="F1174" s="13">
        <v>1169</v>
      </c>
    </row>
    <row r="1175" spans="1:6" x14ac:dyDescent="0.25">
      <c r="A1175" s="1">
        <v>42876</v>
      </c>
      <c r="B1175" t="s">
        <v>1309</v>
      </c>
      <c r="C1175">
        <v>41</v>
      </c>
      <c r="D1175">
        <v>292.95</v>
      </c>
      <c r="F1175">
        <v>1170</v>
      </c>
    </row>
    <row r="1176" spans="1:6" x14ac:dyDescent="0.25">
      <c r="A1176" s="16">
        <v>42876</v>
      </c>
      <c r="B1176" s="13" t="s">
        <v>1310</v>
      </c>
      <c r="C1176" s="13">
        <v>43</v>
      </c>
      <c r="D1176" s="13">
        <v>564.76</v>
      </c>
      <c r="E1176" s="13" t="s">
        <v>71</v>
      </c>
      <c r="F1176" s="13">
        <v>1171</v>
      </c>
    </row>
    <row r="1177" spans="1:6" x14ac:dyDescent="0.25">
      <c r="A1177" s="16">
        <v>42876</v>
      </c>
      <c r="B1177" s="13" t="s">
        <v>1311</v>
      </c>
      <c r="C1177" s="13">
        <v>103</v>
      </c>
      <c r="D1177" s="13">
        <v>250</v>
      </c>
      <c r="E1177" s="13" t="s">
        <v>71</v>
      </c>
      <c r="F1177" s="13">
        <v>1172</v>
      </c>
    </row>
    <row r="1178" spans="1:6" x14ac:dyDescent="0.25">
      <c r="A1178" s="16">
        <v>42876</v>
      </c>
      <c r="B1178" s="13" t="s">
        <v>1312</v>
      </c>
      <c r="C1178" s="13">
        <v>35</v>
      </c>
      <c r="D1178" s="13">
        <v>274.93</v>
      </c>
      <c r="E1178" s="13" t="s">
        <v>71</v>
      </c>
      <c r="F1178" s="13">
        <v>1173</v>
      </c>
    </row>
    <row r="1179" spans="1:6" x14ac:dyDescent="0.25">
      <c r="A1179" s="16">
        <v>42875</v>
      </c>
      <c r="B1179" s="13" t="s">
        <v>1313</v>
      </c>
      <c r="C1179" s="13">
        <v>44</v>
      </c>
      <c r="D1179" s="13">
        <v>359.45</v>
      </c>
      <c r="E1179" s="13" t="s">
        <v>71</v>
      </c>
      <c r="F1179" s="13">
        <v>1174</v>
      </c>
    </row>
    <row r="1180" spans="1:6" x14ac:dyDescent="0.25">
      <c r="A1180" s="16">
        <v>42875</v>
      </c>
      <c r="B1180" s="13" t="s">
        <v>1314</v>
      </c>
      <c r="C1180" s="13">
        <v>43</v>
      </c>
      <c r="D1180" s="13">
        <v>654.70000000000005</v>
      </c>
      <c r="E1180" s="13" t="s">
        <v>71</v>
      </c>
      <c r="F1180" s="13">
        <v>1175</v>
      </c>
    </row>
    <row r="1181" spans="1:6" x14ac:dyDescent="0.25">
      <c r="A1181" s="16">
        <v>42875</v>
      </c>
      <c r="B1181" s="13" t="s">
        <v>1315</v>
      </c>
      <c r="C1181" s="13">
        <v>41</v>
      </c>
      <c r="D1181" s="13">
        <v>588.65</v>
      </c>
      <c r="E1181" s="13" t="s">
        <v>71</v>
      </c>
      <c r="F1181" s="13">
        <v>1176</v>
      </c>
    </row>
    <row r="1182" spans="1:6" x14ac:dyDescent="0.25">
      <c r="A1182" s="16">
        <v>42875</v>
      </c>
      <c r="B1182" s="13" t="s">
        <v>1316</v>
      </c>
      <c r="C1182" s="13">
        <v>103</v>
      </c>
      <c r="D1182" s="13">
        <v>932.65</v>
      </c>
      <c r="E1182" s="13" t="s">
        <v>71</v>
      </c>
      <c r="F1182" s="13">
        <v>1177</v>
      </c>
    </row>
    <row r="1183" spans="1:6" x14ac:dyDescent="0.25">
      <c r="A1183" s="16">
        <v>42875</v>
      </c>
      <c r="B1183" s="13" t="s">
        <v>1317</v>
      </c>
      <c r="C1183" s="13">
        <v>35</v>
      </c>
      <c r="D1183" s="13">
        <v>616.75</v>
      </c>
      <c r="E1183" s="13" t="s">
        <v>71</v>
      </c>
      <c r="F1183" s="13">
        <v>1178</v>
      </c>
    </row>
    <row r="1184" spans="1:6" x14ac:dyDescent="0.25">
      <c r="A1184" s="16">
        <v>42874</v>
      </c>
      <c r="B1184" s="13" t="s">
        <v>1318</v>
      </c>
      <c r="C1184" s="13">
        <v>41</v>
      </c>
      <c r="D1184" s="13">
        <v>320</v>
      </c>
      <c r="E1184" s="13" t="s">
        <v>71</v>
      </c>
      <c r="F1184" s="13">
        <v>1179</v>
      </c>
    </row>
    <row r="1185" spans="1:6" x14ac:dyDescent="0.25">
      <c r="A1185" s="16">
        <v>42874</v>
      </c>
      <c r="B1185" s="13" t="s">
        <v>1319</v>
      </c>
      <c r="C1185" s="13">
        <v>35</v>
      </c>
      <c r="D1185" s="13">
        <v>585.55999999999995</v>
      </c>
      <c r="E1185" s="13" t="s">
        <v>71</v>
      </c>
      <c r="F1185" s="13">
        <v>1180</v>
      </c>
    </row>
    <row r="1186" spans="1:6" x14ac:dyDescent="0.25">
      <c r="A1186" s="16">
        <v>42874</v>
      </c>
      <c r="B1186" s="13" t="s">
        <v>1320</v>
      </c>
      <c r="C1186" s="13">
        <v>43</v>
      </c>
      <c r="D1186" s="13">
        <v>669.9</v>
      </c>
      <c r="E1186" s="13" t="s">
        <v>71</v>
      </c>
      <c r="F1186" s="13">
        <v>1181</v>
      </c>
    </row>
    <row r="1187" spans="1:6" x14ac:dyDescent="0.25">
      <c r="A1187" s="16">
        <v>42874</v>
      </c>
      <c r="B1187" s="13" t="s">
        <v>1321</v>
      </c>
      <c r="C1187" s="13">
        <v>103</v>
      </c>
      <c r="D1187" s="13">
        <v>919.83</v>
      </c>
      <c r="E1187" s="13" t="s">
        <v>71</v>
      </c>
      <c r="F1187" s="13">
        <v>1182</v>
      </c>
    </row>
    <row r="1188" spans="1:6" x14ac:dyDescent="0.25">
      <c r="A1188" s="16">
        <v>42874</v>
      </c>
      <c r="B1188" s="13" t="s">
        <v>1322</v>
      </c>
      <c r="C1188" s="13">
        <v>44</v>
      </c>
      <c r="D1188" s="13">
        <v>1070.5899999999999</v>
      </c>
      <c r="E1188" s="13" t="s">
        <v>71</v>
      </c>
      <c r="F1188" s="13">
        <v>1183</v>
      </c>
    </row>
    <row r="1189" spans="1:6" x14ac:dyDescent="0.25">
      <c r="A1189" s="16">
        <v>42874</v>
      </c>
      <c r="B1189" s="13" t="s">
        <v>1322</v>
      </c>
      <c r="C1189" s="13">
        <v>44</v>
      </c>
      <c r="D1189" s="13">
        <v>418.5</v>
      </c>
      <c r="E1189" s="13" t="s">
        <v>71</v>
      </c>
      <c r="F1189" s="13">
        <v>1190</v>
      </c>
    </row>
    <row r="1190" spans="1:6" x14ac:dyDescent="0.25">
      <c r="A1190" s="16">
        <v>42874</v>
      </c>
      <c r="B1190" s="13" t="s">
        <v>1322</v>
      </c>
      <c r="C1190" s="13">
        <v>44</v>
      </c>
      <c r="D1190" s="13">
        <v>652.09</v>
      </c>
      <c r="E1190" s="13" t="s">
        <v>71</v>
      </c>
      <c r="F1190" s="13">
        <v>1191</v>
      </c>
    </row>
    <row r="1191" spans="1:6" x14ac:dyDescent="0.25">
      <c r="A1191" s="16">
        <v>42876</v>
      </c>
      <c r="B1191" s="13" t="s">
        <v>1323</v>
      </c>
      <c r="C1191" s="13">
        <v>201</v>
      </c>
      <c r="D1191" s="13">
        <v>579.79999999999995</v>
      </c>
      <c r="E1191" s="13" t="s">
        <v>71</v>
      </c>
      <c r="F1191" s="13">
        <v>1184</v>
      </c>
    </row>
    <row r="1192" spans="1:6" x14ac:dyDescent="0.25">
      <c r="A1192" s="16">
        <v>42876</v>
      </c>
      <c r="B1192" s="13" t="s">
        <v>1324</v>
      </c>
      <c r="C1192" s="13">
        <v>37</v>
      </c>
      <c r="D1192" s="13">
        <v>169.9</v>
      </c>
      <c r="E1192" s="13" t="s">
        <v>71</v>
      </c>
      <c r="F1192" s="13">
        <v>1185</v>
      </c>
    </row>
    <row r="1193" spans="1:6" x14ac:dyDescent="0.25">
      <c r="A1193" s="16">
        <v>42875</v>
      </c>
      <c r="B1193" s="13" t="s">
        <v>1325</v>
      </c>
      <c r="C1193" s="13">
        <v>201</v>
      </c>
      <c r="D1193" s="13">
        <v>257.83</v>
      </c>
      <c r="E1193" s="13" t="s">
        <v>71</v>
      </c>
      <c r="F1193" s="13">
        <v>1186</v>
      </c>
    </row>
    <row r="1194" spans="1:6" x14ac:dyDescent="0.25">
      <c r="A1194" s="16">
        <v>42875</v>
      </c>
      <c r="B1194" s="13" t="s">
        <v>1326</v>
      </c>
      <c r="C1194" s="13">
        <v>37</v>
      </c>
      <c r="D1194" s="13">
        <v>971.5</v>
      </c>
      <c r="E1194" s="13" t="s">
        <v>71</v>
      </c>
      <c r="F1194" s="13">
        <v>1187</v>
      </c>
    </row>
    <row r="1195" spans="1:6" x14ac:dyDescent="0.25">
      <c r="A1195" s="16">
        <v>42874</v>
      </c>
      <c r="B1195" s="13" t="s">
        <v>1327</v>
      </c>
      <c r="C1195" s="13">
        <v>37</v>
      </c>
      <c r="D1195" s="13">
        <v>804.33</v>
      </c>
      <c r="E1195" s="13" t="s">
        <v>71</v>
      </c>
      <c r="F1195" s="13">
        <v>1188</v>
      </c>
    </row>
    <row r="1196" spans="1:6" x14ac:dyDescent="0.25">
      <c r="A1196" s="16">
        <v>42874</v>
      </c>
      <c r="B1196" s="13" t="s">
        <v>1328</v>
      </c>
      <c r="C1196" s="13">
        <v>201</v>
      </c>
      <c r="D1196" s="13">
        <v>332.9</v>
      </c>
      <c r="E1196" s="13" t="s">
        <v>71</v>
      </c>
      <c r="F1196" s="13">
        <v>1189</v>
      </c>
    </row>
    <row r="1197" spans="1:6" x14ac:dyDescent="0.25">
      <c r="A1197" s="16">
        <v>42877</v>
      </c>
      <c r="B1197" s="13" t="s">
        <v>1329</v>
      </c>
      <c r="C1197" s="13">
        <v>41</v>
      </c>
      <c r="D1197" s="13">
        <v>252.95</v>
      </c>
      <c r="E1197" s="13" t="s">
        <v>71</v>
      </c>
      <c r="F1197" s="13">
        <v>1192</v>
      </c>
    </row>
    <row r="1198" spans="1:6" x14ac:dyDescent="0.25">
      <c r="A1198" s="16">
        <v>42877</v>
      </c>
      <c r="B1198" s="13" t="s">
        <v>1330</v>
      </c>
      <c r="C1198" s="13">
        <v>44</v>
      </c>
      <c r="D1198" s="13">
        <v>299.63</v>
      </c>
      <c r="E1198" s="13" t="s">
        <v>71</v>
      </c>
      <c r="F1198" s="13">
        <v>1193</v>
      </c>
    </row>
    <row r="1199" spans="1:6" x14ac:dyDescent="0.25">
      <c r="A1199" s="16">
        <v>42877</v>
      </c>
      <c r="B1199" s="13" t="s">
        <v>1331</v>
      </c>
      <c r="C1199" s="13">
        <v>103</v>
      </c>
      <c r="D1199" s="13">
        <v>464.9</v>
      </c>
      <c r="E1199" s="13" t="s">
        <v>71</v>
      </c>
      <c r="F1199" s="13">
        <v>1194</v>
      </c>
    </row>
    <row r="1200" spans="1:6" x14ac:dyDescent="0.25">
      <c r="A1200" s="16">
        <v>42877</v>
      </c>
      <c r="B1200" s="13" t="s">
        <v>1332</v>
      </c>
      <c r="C1200" s="13">
        <v>35</v>
      </c>
      <c r="D1200" s="13">
        <v>720.75</v>
      </c>
      <c r="E1200" s="13" t="s">
        <v>71</v>
      </c>
      <c r="F1200" s="13">
        <v>1195</v>
      </c>
    </row>
    <row r="1201" spans="1:6" x14ac:dyDescent="0.25">
      <c r="A1201" s="16">
        <v>42877</v>
      </c>
      <c r="B1201" s="13" t="s">
        <v>1333</v>
      </c>
      <c r="C1201" s="13">
        <v>43</v>
      </c>
      <c r="D1201" s="13">
        <v>504.8</v>
      </c>
      <c r="E1201" s="13" t="s">
        <v>71</v>
      </c>
      <c r="F1201" s="13">
        <v>1196</v>
      </c>
    </row>
    <row r="1202" spans="1:6" x14ac:dyDescent="0.25">
      <c r="A1202" s="16">
        <v>42877</v>
      </c>
      <c r="B1202" s="13" t="s">
        <v>1336</v>
      </c>
      <c r="C1202" s="13">
        <v>37</v>
      </c>
      <c r="D1202" s="13">
        <v>344.95</v>
      </c>
      <c r="E1202" s="13" t="s">
        <v>71</v>
      </c>
      <c r="F1202" s="13">
        <v>1197</v>
      </c>
    </row>
    <row r="1203" spans="1:6" x14ac:dyDescent="0.25">
      <c r="A1203" s="16">
        <v>42877</v>
      </c>
      <c r="B1203" s="13" t="s">
        <v>1337</v>
      </c>
      <c r="C1203" s="13">
        <v>201</v>
      </c>
      <c r="D1203" s="13">
        <v>212.8</v>
      </c>
      <c r="E1203" s="13" t="s">
        <v>71</v>
      </c>
      <c r="F1203" s="13">
        <v>1198</v>
      </c>
    </row>
    <row r="1204" spans="1:6" x14ac:dyDescent="0.25">
      <c r="A1204" s="16">
        <v>42879</v>
      </c>
      <c r="B1204" s="13" t="s">
        <v>1338</v>
      </c>
      <c r="C1204" s="13">
        <v>44</v>
      </c>
      <c r="D1204" s="13">
        <v>362.93</v>
      </c>
      <c r="E1204" s="13" t="s">
        <v>71</v>
      </c>
      <c r="F1204" s="13">
        <v>1199</v>
      </c>
    </row>
    <row r="1205" spans="1:6" x14ac:dyDescent="0.25">
      <c r="A1205" s="16">
        <v>42879</v>
      </c>
      <c r="B1205" s="13" t="s">
        <v>1339</v>
      </c>
      <c r="C1205" s="13">
        <v>35</v>
      </c>
      <c r="D1205" s="13">
        <v>680.5</v>
      </c>
      <c r="E1205" s="13" t="s">
        <v>71</v>
      </c>
      <c r="F1205" s="13">
        <v>1200</v>
      </c>
    </row>
    <row r="1206" spans="1:6" x14ac:dyDescent="0.25">
      <c r="A1206" s="16">
        <v>42879</v>
      </c>
      <c r="B1206" s="13" t="s">
        <v>1340</v>
      </c>
      <c r="C1206" s="13">
        <v>103</v>
      </c>
      <c r="D1206" s="13">
        <v>514.95000000000005</v>
      </c>
      <c r="E1206" s="13" t="s">
        <v>71</v>
      </c>
      <c r="F1206" s="13">
        <v>1201</v>
      </c>
    </row>
    <row r="1207" spans="1:6" x14ac:dyDescent="0.25">
      <c r="A1207" s="16">
        <v>42879</v>
      </c>
      <c r="B1207" s="13" t="s">
        <v>1341</v>
      </c>
      <c r="C1207" s="13">
        <v>43</v>
      </c>
      <c r="D1207" s="13">
        <v>294.85000000000002</v>
      </c>
      <c r="E1207" s="13" t="s">
        <v>71</v>
      </c>
      <c r="F1207" s="13">
        <v>1202</v>
      </c>
    </row>
    <row r="1208" spans="1:6" x14ac:dyDescent="0.25">
      <c r="A1208" s="16">
        <v>42878</v>
      </c>
      <c r="B1208" s="13" t="s">
        <v>1342</v>
      </c>
      <c r="C1208" s="13">
        <v>43</v>
      </c>
      <c r="D1208" s="13">
        <v>239.9</v>
      </c>
      <c r="E1208" s="13" t="s">
        <v>71</v>
      </c>
      <c r="F1208" s="13">
        <v>1203</v>
      </c>
    </row>
    <row r="1209" spans="1:6" x14ac:dyDescent="0.25">
      <c r="A1209" s="16">
        <v>42878</v>
      </c>
      <c r="B1209" s="13" t="s">
        <v>1343</v>
      </c>
      <c r="C1209" s="13">
        <v>103</v>
      </c>
      <c r="D1209" s="13">
        <v>642.9</v>
      </c>
      <c r="E1209" s="13" t="s">
        <v>71</v>
      </c>
      <c r="F1209" s="13">
        <v>1204</v>
      </c>
    </row>
    <row r="1210" spans="1:6" x14ac:dyDescent="0.25">
      <c r="A1210" s="16">
        <v>42878</v>
      </c>
      <c r="B1210" s="13" t="s">
        <v>1344</v>
      </c>
      <c r="C1210" s="13">
        <v>44</v>
      </c>
      <c r="D1210" s="13">
        <v>598.70000000000005</v>
      </c>
      <c r="E1210" s="13" t="s">
        <v>71</v>
      </c>
      <c r="F1210" s="13">
        <v>1205</v>
      </c>
    </row>
    <row r="1211" spans="1:6" x14ac:dyDescent="0.25">
      <c r="A1211" s="16">
        <v>42878</v>
      </c>
      <c r="B1211" s="13" t="s">
        <v>1346</v>
      </c>
      <c r="C1211" s="13">
        <v>35</v>
      </c>
      <c r="D1211" s="13">
        <v>637.70000000000005</v>
      </c>
      <c r="E1211" s="13" t="s">
        <v>71</v>
      </c>
      <c r="F1211" s="13">
        <v>1207</v>
      </c>
    </row>
    <row r="1212" spans="1:6" x14ac:dyDescent="0.25">
      <c r="A1212" s="16">
        <v>42879</v>
      </c>
      <c r="B1212" s="13" t="s">
        <v>1348</v>
      </c>
      <c r="C1212" s="13">
        <v>201</v>
      </c>
      <c r="D1212" s="13">
        <v>329.78</v>
      </c>
      <c r="E1212" s="13" t="s">
        <v>71</v>
      </c>
      <c r="F1212" s="13">
        <v>1208</v>
      </c>
    </row>
    <row r="1213" spans="1:6" x14ac:dyDescent="0.25">
      <c r="A1213" s="16">
        <v>42879</v>
      </c>
      <c r="B1213" s="13" t="s">
        <v>1349</v>
      </c>
      <c r="C1213" s="13">
        <v>37</v>
      </c>
      <c r="D1213" s="13">
        <v>302.18</v>
      </c>
      <c r="E1213" s="13" t="s">
        <v>71</v>
      </c>
      <c r="F1213" s="13">
        <v>1209</v>
      </c>
    </row>
    <row r="1214" spans="1:6" x14ac:dyDescent="0.25">
      <c r="A1214" s="16">
        <v>42878</v>
      </c>
      <c r="B1214" s="13" t="s">
        <v>1350</v>
      </c>
      <c r="C1214" s="13">
        <v>201</v>
      </c>
      <c r="D1214" s="13">
        <v>274.86</v>
      </c>
      <c r="E1214" s="13" t="s">
        <v>71</v>
      </c>
      <c r="F1214" s="13">
        <v>1210</v>
      </c>
    </row>
    <row r="1215" spans="1:6" x14ac:dyDescent="0.25">
      <c r="A1215" s="16">
        <v>42878</v>
      </c>
      <c r="B1215" s="13" t="s">
        <v>1351</v>
      </c>
      <c r="C1215" s="13">
        <v>37</v>
      </c>
      <c r="D1215" s="13">
        <v>534.9</v>
      </c>
      <c r="E1215" s="13" t="s">
        <v>71</v>
      </c>
      <c r="F1215" s="13">
        <v>1211</v>
      </c>
    </row>
    <row r="1216" spans="1:6" x14ac:dyDescent="0.25">
      <c r="A1216" s="16">
        <v>42880</v>
      </c>
      <c r="B1216" s="13" t="s">
        <v>1353</v>
      </c>
      <c r="C1216" s="13">
        <v>103</v>
      </c>
      <c r="D1216" s="13">
        <v>995.85</v>
      </c>
      <c r="E1216" s="13" t="s">
        <v>71</v>
      </c>
      <c r="F1216" s="13">
        <v>1212</v>
      </c>
    </row>
    <row r="1217" spans="1:12" x14ac:dyDescent="0.25">
      <c r="A1217" s="16">
        <v>42880</v>
      </c>
      <c r="B1217" s="13" t="s">
        <v>1354</v>
      </c>
      <c r="C1217" s="13">
        <v>43</v>
      </c>
      <c r="D1217" s="13">
        <v>554.95000000000005</v>
      </c>
      <c r="E1217" s="13" t="s">
        <v>71</v>
      </c>
      <c r="F1217" s="13">
        <v>1213</v>
      </c>
    </row>
    <row r="1218" spans="1:12" x14ac:dyDescent="0.25">
      <c r="A1218" s="16">
        <v>42880</v>
      </c>
      <c r="B1218" s="13" t="s">
        <v>1356</v>
      </c>
      <c r="C1218" s="13">
        <v>44</v>
      </c>
      <c r="D1218" s="13">
        <v>680.7</v>
      </c>
      <c r="E1218" s="13" t="s">
        <v>71</v>
      </c>
      <c r="F1218" s="13">
        <v>1215</v>
      </c>
    </row>
    <row r="1219" spans="1:12" x14ac:dyDescent="0.25">
      <c r="A1219" s="16">
        <v>42880</v>
      </c>
      <c r="B1219" s="13" t="s">
        <v>1357</v>
      </c>
      <c r="C1219" s="13">
        <v>35</v>
      </c>
      <c r="D1219" s="13">
        <v>879.43</v>
      </c>
      <c r="E1219" s="13" t="s">
        <v>71</v>
      </c>
      <c r="F1219" s="13">
        <v>1216</v>
      </c>
    </row>
    <row r="1220" spans="1:12" x14ac:dyDescent="0.25">
      <c r="A1220" s="16">
        <v>42880</v>
      </c>
      <c r="B1220" s="13" t="s">
        <v>1358</v>
      </c>
      <c r="C1220" s="13">
        <v>201</v>
      </c>
      <c r="D1220" s="13">
        <v>889.78</v>
      </c>
      <c r="E1220" s="13" t="s">
        <v>71</v>
      </c>
      <c r="F1220" s="13">
        <v>1217</v>
      </c>
    </row>
    <row r="1221" spans="1:12" x14ac:dyDescent="0.25">
      <c r="A1221" s="16">
        <v>42880</v>
      </c>
      <c r="B1221" s="13" t="s">
        <v>1359</v>
      </c>
      <c r="C1221" s="13">
        <v>37</v>
      </c>
      <c r="D1221" s="13">
        <v>1583.5</v>
      </c>
      <c r="E1221" s="13" t="s">
        <v>71</v>
      </c>
      <c r="F1221" s="13">
        <v>1218</v>
      </c>
    </row>
    <row r="1222" spans="1:12" x14ac:dyDescent="0.25">
      <c r="A1222" s="16">
        <v>42880</v>
      </c>
      <c r="B1222" s="13" t="s">
        <v>1355</v>
      </c>
      <c r="C1222" s="13">
        <v>41</v>
      </c>
      <c r="D1222" s="13">
        <v>992.3</v>
      </c>
      <c r="E1222" s="13" t="s">
        <v>71</v>
      </c>
      <c r="F1222" s="13">
        <v>1214</v>
      </c>
      <c r="L1222">
        <v>1260.1500000000001</v>
      </c>
    </row>
    <row r="1223" spans="1:12" x14ac:dyDescent="0.25">
      <c r="A1223" s="16">
        <v>42878</v>
      </c>
      <c r="B1223" s="13" t="s">
        <v>1345</v>
      </c>
      <c r="C1223" s="13">
        <v>41</v>
      </c>
      <c r="D1223" s="13">
        <v>267.85000000000002</v>
      </c>
      <c r="E1223" s="13" t="s">
        <v>71</v>
      </c>
      <c r="F1223" s="13">
        <v>1206</v>
      </c>
    </row>
    <row r="1224" spans="1:12" x14ac:dyDescent="0.25">
      <c r="A1224" s="16">
        <v>42881</v>
      </c>
      <c r="B1224" s="13" t="s">
        <v>1345</v>
      </c>
      <c r="C1224" s="13">
        <v>41</v>
      </c>
      <c r="D1224" s="15">
        <v>207.85</v>
      </c>
      <c r="E1224" s="13" t="s">
        <v>71</v>
      </c>
      <c r="F1224" s="13">
        <v>1219</v>
      </c>
    </row>
    <row r="1225" spans="1:12" x14ac:dyDescent="0.25">
      <c r="A1225" s="16">
        <v>42881</v>
      </c>
      <c r="B1225" s="13" t="s">
        <v>1345</v>
      </c>
      <c r="C1225" s="13">
        <v>41</v>
      </c>
      <c r="D1225" s="15">
        <v>157.85</v>
      </c>
      <c r="E1225" s="13" t="s">
        <v>71</v>
      </c>
      <c r="F1225" s="13">
        <v>1220</v>
      </c>
    </row>
    <row r="1226" spans="1:12" x14ac:dyDescent="0.25">
      <c r="A1226" s="16">
        <v>42881</v>
      </c>
      <c r="B1226" s="13" t="s">
        <v>1345</v>
      </c>
      <c r="C1226" s="13">
        <v>41</v>
      </c>
      <c r="D1226" s="15">
        <v>844.45</v>
      </c>
      <c r="E1226" s="13" t="s">
        <v>71</v>
      </c>
      <c r="F1226" s="13">
        <v>1221</v>
      </c>
    </row>
    <row r="1227" spans="1:12" x14ac:dyDescent="0.25">
      <c r="A1227" s="16">
        <v>42883</v>
      </c>
      <c r="B1227" s="13" t="s">
        <v>1360</v>
      </c>
      <c r="C1227" s="13">
        <v>41</v>
      </c>
      <c r="D1227" s="13">
        <v>274.85000000000002</v>
      </c>
      <c r="E1227" s="13" t="s">
        <v>71</v>
      </c>
      <c r="F1227" s="13">
        <v>1222</v>
      </c>
    </row>
    <row r="1228" spans="1:12" x14ac:dyDescent="0.25">
      <c r="A1228" s="16">
        <v>42883</v>
      </c>
      <c r="B1228" s="13" t="s">
        <v>1361</v>
      </c>
      <c r="C1228" s="13">
        <v>44</v>
      </c>
      <c r="D1228" s="13">
        <v>362.05</v>
      </c>
      <c r="E1228" s="13" t="s">
        <v>71</v>
      </c>
      <c r="F1228" s="13">
        <v>1223</v>
      </c>
    </row>
    <row r="1229" spans="1:12" x14ac:dyDescent="0.25">
      <c r="A1229" s="16">
        <v>42883</v>
      </c>
      <c r="B1229" s="13" t="s">
        <v>1362</v>
      </c>
      <c r="C1229" s="13">
        <v>103</v>
      </c>
      <c r="D1229" s="13">
        <v>539.54999999999995</v>
      </c>
      <c r="E1229" s="13" t="s">
        <v>71</v>
      </c>
      <c r="F1229" s="13">
        <v>1224</v>
      </c>
    </row>
    <row r="1230" spans="1:12" x14ac:dyDescent="0.25">
      <c r="A1230" s="16">
        <v>42883</v>
      </c>
      <c r="B1230" s="13" t="s">
        <v>1363</v>
      </c>
      <c r="C1230" s="13">
        <v>43</v>
      </c>
      <c r="D1230" s="13">
        <v>457.8</v>
      </c>
      <c r="E1230" s="13" t="s">
        <v>71</v>
      </c>
      <c r="F1230" s="13">
        <v>1225</v>
      </c>
    </row>
    <row r="1231" spans="1:12" x14ac:dyDescent="0.25">
      <c r="A1231" s="16">
        <v>42883</v>
      </c>
      <c r="B1231" s="13" t="s">
        <v>1364</v>
      </c>
      <c r="C1231" s="13">
        <v>35</v>
      </c>
      <c r="D1231" s="13">
        <v>824.49</v>
      </c>
      <c r="E1231" s="13" t="s">
        <v>71</v>
      </c>
      <c r="F1231" s="13">
        <v>1226</v>
      </c>
    </row>
    <row r="1232" spans="1:12" x14ac:dyDescent="0.25">
      <c r="A1232" s="16">
        <v>42882</v>
      </c>
      <c r="B1232" s="13" t="s">
        <v>1365</v>
      </c>
      <c r="C1232" s="13">
        <v>43</v>
      </c>
      <c r="D1232" s="13">
        <v>704.83</v>
      </c>
      <c r="E1232" s="13" t="s">
        <v>71</v>
      </c>
      <c r="F1232" s="13">
        <v>1227</v>
      </c>
    </row>
    <row r="1233" spans="1:6" x14ac:dyDescent="0.25">
      <c r="A1233" s="16">
        <v>42882</v>
      </c>
      <c r="B1233" s="13" t="s">
        <v>1366</v>
      </c>
      <c r="C1233" s="13">
        <v>103</v>
      </c>
      <c r="D1233" s="13">
        <v>619.70000000000005</v>
      </c>
      <c r="E1233" s="13" t="s">
        <v>71</v>
      </c>
      <c r="F1233" s="13">
        <v>1228</v>
      </c>
    </row>
    <row r="1234" spans="1:6" x14ac:dyDescent="0.25">
      <c r="A1234" s="16">
        <v>42882</v>
      </c>
      <c r="B1234" s="13" t="s">
        <v>1367</v>
      </c>
      <c r="C1234" s="13">
        <v>44</v>
      </c>
      <c r="D1234" s="13">
        <v>1370.55</v>
      </c>
      <c r="E1234" s="13" t="s">
        <v>71</v>
      </c>
      <c r="F1234" s="13">
        <v>1229</v>
      </c>
    </row>
    <row r="1235" spans="1:6" x14ac:dyDescent="0.25">
      <c r="A1235" s="16">
        <v>42882</v>
      </c>
      <c r="B1235" s="13" t="s">
        <v>1368</v>
      </c>
      <c r="C1235" s="13">
        <v>41</v>
      </c>
      <c r="D1235" s="13">
        <v>900.35</v>
      </c>
      <c r="E1235" s="13" t="s">
        <v>71</v>
      </c>
      <c r="F1235" s="13">
        <v>1230</v>
      </c>
    </row>
    <row r="1236" spans="1:6" x14ac:dyDescent="0.25">
      <c r="A1236" s="16">
        <v>42882</v>
      </c>
      <c r="B1236" s="13" t="s">
        <v>1369</v>
      </c>
      <c r="C1236" s="13">
        <v>35</v>
      </c>
      <c r="D1236" s="13">
        <v>1360.9</v>
      </c>
      <c r="E1236" s="13" t="s">
        <v>71</v>
      </c>
      <c r="F1236" s="13">
        <v>1231</v>
      </c>
    </row>
    <row r="1237" spans="1:6" x14ac:dyDescent="0.25">
      <c r="A1237" s="16">
        <v>42881</v>
      </c>
      <c r="B1237" s="13" t="s">
        <v>1370</v>
      </c>
      <c r="C1237" s="13">
        <v>35</v>
      </c>
      <c r="D1237" s="13">
        <v>1344.09</v>
      </c>
      <c r="E1237" s="13" t="s">
        <v>71</v>
      </c>
      <c r="F1237" s="13">
        <v>1232</v>
      </c>
    </row>
    <row r="1238" spans="1:6" x14ac:dyDescent="0.25">
      <c r="A1238" s="16">
        <v>42881</v>
      </c>
      <c r="B1238" s="13" t="s">
        <v>1371</v>
      </c>
      <c r="C1238" s="13">
        <v>44</v>
      </c>
      <c r="D1238" s="13">
        <v>618.9</v>
      </c>
      <c r="E1238" s="13" t="s">
        <v>71</v>
      </c>
      <c r="F1238" s="13">
        <v>1233</v>
      </c>
    </row>
    <row r="1239" spans="1:6" x14ac:dyDescent="0.25">
      <c r="A1239" s="16">
        <v>42881</v>
      </c>
      <c r="B1239" s="13" t="s">
        <v>1372</v>
      </c>
      <c r="C1239" s="13">
        <v>41</v>
      </c>
      <c r="D1239" s="13">
        <v>870.58</v>
      </c>
      <c r="E1239" s="13" t="s">
        <v>71</v>
      </c>
      <c r="F1239" s="13">
        <v>1234</v>
      </c>
    </row>
    <row r="1240" spans="1:6" x14ac:dyDescent="0.25">
      <c r="A1240" s="16">
        <v>42881</v>
      </c>
      <c r="B1240" s="13" t="s">
        <v>1373</v>
      </c>
      <c r="C1240" s="13">
        <v>103</v>
      </c>
      <c r="D1240" s="13">
        <v>632.4</v>
      </c>
      <c r="E1240" s="13" t="s">
        <v>71</v>
      </c>
      <c r="F1240" s="13">
        <v>1235</v>
      </c>
    </row>
    <row r="1241" spans="1:6" x14ac:dyDescent="0.25">
      <c r="A1241" s="16">
        <v>42881</v>
      </c>
      <c r="B1241" s="13" t="s">
        <v>1374</v>
      </c>
      <c r="C1241" s="13">
        <v>43</v>
      </c>
      <c r="D1241" s="13">
        <v>264.95</v>
      </c>
      <c r="E1241" s="13" t="s">
        <v>71</v>
      </c>
      <c r="F1241" s="13">
        <v>1236</v>
      </c>
    </row>
    <row r="1242" spans="1:6" x14ac:dyDescent="0.25">
      <c r="A1242" s="16">
        <v>42883</v>
      </c>
      <c r="B1242" s="13" t="s">
        <v>1375</v>
      </c>
      <c r="C1242" s="13">
        <v>201</v>
      </c>
      <c r="D1242" s="13">
        <v>462.6</v>
      </c>
      <c r="E1242" s="13" t="s">
        <v>71</v>
      </c>
      <c r="F1242" s="13">
        <v>1237</v>
      </c>
    </row>
    <row r="1243" spans="1:6" x14ac:dyDescent="0.25">
      <c r="A1243" s="16">
        <v>42883</v>
      </c>
      <c r="B1243" s="13" t="s">
        <v>1376</v>
      </c>
      <c r="C1243" s="13">
        <v>37</v>
      </c>
      <c r="D1243" s="13">
        <v>911.33</v>
      </c>
      <c r="E1243" s="13" t="s">
        <v>71</v>
      </c>
      <c r="F1243" s="13">
        <v>1238</v>
      </c>
    </row>
    <row r="1244" spans="1:6" x14ac:dyDescent="0.25">
      <c r="A1244" s="16">
        <v>42882</v>
      </c>
      <c r="B1244" s="13" t="s">
        <v>1377</v>
      </c>
      <c r="C1244" s="13">
        <v>37</v>
      </c>
      <c r="D1244" s="13">
        <v>1258.25</v>
      </c>
      <c r="E1244" s="13" t="s">
        <v>71</v>
      </c>
      <c r="F1244" s="13">
        <v>1239</v>
      </c>
    </row>
    <row r="1245" spans="1:6" x14ac:dyDescent="0.25">
      <c r="A1245" s="16">
        <v>42882</v>
      </c>
      <c r="B1245" s="13" t="s">
        <v>1378</v>
      </c>
      <c r="C1245" s="13">
        <v>201</v>
      </c>
      <c r="D1245" s="13">
        <v>844.5</v>
      </c>
      <c r="E1245" s="13" t="s">
        <v>71</v>
      </c>
      <c r="F1245" s="13">
        <v>1240</v>
      </c>
    </row>
    <row r="1246" spans="1:6" x14ac:dyDescent="0.25">
      <c r="A1246" s="16">
        <v>42881</v>
      </c>
      <c r="B1246" s="13" t="s">
        <v>1379</v>
      </c>
      <c r="C1246" s="13">
        <v>201</v>
      </c>
      <c r="D1246" s="13">
        <v>589.54999999999995</v>
      </c>
      <c r="E1246" s="13" t="s">
        <v>71</v>
      </c>
      <c r="F1246" s="13">
        <v>1241</v>
      </c>
    </row>
    <row r="1247" spans="1:6" x14ac:dyDescent="0.25">
      <c r="A1247" s="16">
        <v>42881</v>
      </c>
      <c r="B1247" s="13" t="s">
        <v>1380</v>
      </c>
      <c r="C1247" s="13">
        <v>37</v>
      </c>
      <c r="D1247" s="13">
        <v>1442.6</v>
      </c>
      <c r="E1247" s="13" t="s">
        <v>71</v>
      </c>
      <c r="F1247" s="13">
        <v>1242</v>
      </c>
    </row>
    <row r="1248" spans="1:6" x14ac:dyDescent="0.25">
      <c r="A1248" s="16">
        <v>42885</v>
      </c>
      <c r="B1248" s="13" t="s">
        <v>1381</v>
      </c>
      <c r="C1248" s="13">
        <v>35</v>
      </c>
      <c r="D1248" s="13">
        <v>1200.3</v>
      </c>
      <c r="E1248" s="13" t="s">
        <v>71</v>
      </c>
      <c r="F1248" s="13">
        <v>1243</v>
      </c>
    </row>
    <row r="1249" spans="1:11" x14ac:dyDescent="0.25">
      <c r="A1249" s="16">
        <v>42885</v>
      </c>
      <c r="B1249" s="13" t="s">
        <v>1382</v>
      </c>
      <c r="C1249" s="13">
        <v>103</v>
      </c>
      <c r="D1249" s="13">
        <v>960.87</v>
      </c>
      <c r="E1249" s="13" t="s">
        <v>71</v>
      </c>
      <c r="F1249" s="13">
        <v>1244</v>
      </c>
    </row>
    <row r="1250" spans="1:11" x14ac:dyDescent="0.25">
      <c r="A1250" s="16">
        <v>42885</v>
      </c>
      <c r="B1250" s="13" t="s">
        <v>1382</v>
      </c>
      <c r="C1250" s="13">
        <v>103</v>
      </c>
      <c r="D1250" s="13">
        <v>227.65</v>
      </c>
      <c r="E1250" s="13" t="s">
        <v>71</v>
      </c>
      <c r="F1250" s="13">
        <v>1256</v>
      </c>
    </row>
    <row r="1251" spans="1:11" x14ac:dyDescent="0.25">
      <c r="A1251" s="16">
        <v>42885</v>
      </c>
      <c r="B1251" s="13" t="s">
        <v>1382</v>
      </c>
      <c r="C1251" s="13">
        <v>103</v>
      </c>
      <c r="D1251" s="13">
        <v>733.22</v>
      </c>
      <c r="E1251" s="13" t="s">
        <v>71</v>
      </c>
      <c r="F1251" s="13">
        <v>1257</v>
      </c>
    </row>
    <row r="1252" spans="1:11" x14ac:dyDescent="0.25">
      <c r="A1252" s="16">
        <v>42885</v>
      </c>
      <c r="B1252" s="13" t="s">
        <v>1383</v>
      </c>
      <c r="C1252" s="13">
        <v>43</v>
      </c>
      <c r="D1252" s="13">
        <v>504.4</v>
      </c>
      <c r="E1252" s="13" t="s">
        <v>71</v>
      </c>
      <c r="F1252" s="13">
        <v>1245</v>
      </c>
    </row>
    <row r="1253" spans="1:11" x14ac:dyDescent="0.25">
      <c r="A1253" s="16">
        <v>42885</v>
      </c>
      <c r="B1253" s="13" t="s">
        <v>1384</v>
      </c>
      <c r="C1253" s="13">
        <v>44</v>
      </c>
      <c r="D1253" s="13">
        <v>998.6</v>
      </c>
      <c r="E1253" s="13" t="s">
        <v>71</v>
      </c>
      <c r="F1253" s="13">
        <v>1246</v>
      </c>
    </row>
    <row r="1254" spans="1:11" x14ac:dyDescent="0.25">
      <c r="A1254" s="16">
        <v>42885</v>
      </c>
      <c r="B1254" s="13" t="s">
        <v>1385</v>
      </c>
      <c r="C1254" s="13">
        <v>41</v>
      </c>
      <c r="D1254" s="13">
        <v>277.45</v>
      </c>
      <c r="E1254" s="13" t="s">
        <v>71</v>
      </c>
      <c r="F1254" s="13">
        <v>1247</v>
      </c>
    </row>
    <row r="1255" spans="1:11" x14ac:dyDescent="0.25">
      <c r="A1255" s="16">
        <v>42884</v>
      </c>
      <c r="B1255" s="13" t="s">
        <v>1386</v>
      </c>
      <c r="C1255" s="13">
        <v>44</v>
      </c>
      <c r="D1255" s="13">
        <v>518.70000000000005</v>
      </c>
      <c r="E1255" s="13" t="s">
        <v>71</v>
      </c>
      <c r="F1255" s="13">
        <v>1248</v>
      </c>
    </row>
    <row r="1256" spans="1:11" x14ac:dyDescent="0.25">
      <c r="A1256" s="16">
        <v>42884</v>
      </c>
      <c r="B1256" s="13" t="s">
        <v>1387</v>
      </c>
      <c r="C1256" s="13">
        <v>35</v>
      </c>
      <c r="D1256" s="13">
        <v>695.4</v>
      </c>
      <c r="E1256" s="13" t="s">
        <v>71</v>
      </c>
      <c r="F1256" s="13">
        <v>1249</v>
      </c>
    </row>
    <row r="1257" spans="1:11" x14ac:dyDescent="0.25">
      <c r="A1257" s="16">
        <v>42884</v>
      </c>
      <c r="B1257" s="13" t="s">
        <v>1388</v>
      </c>
      <c r="C1257" s="13">
        <v>43</v>
      </c>
      <c r="D1257" s="13">
        <v>352.5</v>
      </c>
      <c r="E1257" s="13" t="s">
        <v>71</v>
      </c>
      <c r="F1257" s="13">
        <v>1250</v>
      </c>
    </row>
    <row r="1258" spans="1:11" x14ac:dyDescent="0.25">
      <c r="A1258" s="16">
        <v>42884</v>
      </c>
      <c r="B1258" s="13" t="s">
        <v>1389</v>
      </c>
      <c r="C1258" s="13">
        <v>41</v>
      </c>
      <c r="D1258" s="13">
        <v>392.3</v>
      </c>
      <c r="E1258" s="13" t="s">
        <v>71</v>
      </c>
      <c r="F1258" s="13">
        <v>1251</v>
      </c>
    </row>
    <row r="1259" spans="1:11" x14ac:dyDescent="0.25">
      <c r="A1259" s="16">
        <v>42885</v>
      </c>
      <c r="B1259" s="13" t="s">
        <v>1392</v>
      </c>
      <c r="C1259" s="13">
        <v>201</v>
      </c>
      <c r="D1259" s="13">
        <v>189.9</v>
      </c>
      <c r="E1259" s="13" t="s">
        <v>71</v>
      </c>
      <c r="F1259" s="13">
        <v>1252</v>
      </c>
    </row>
    <row r="1260" spans="1:11" x14ac:dyDescent="0.25">
      <c r="A1260" s="16">
        <v>42885</v>
      </c>
      <c r="B1260" s="13" t="s">
        <v>1393</v>
      </c>
      <c r="C1260" s="13">
        <v>37</v>
      </c>
      <c r="D1260" s="13">
        <v>1193.57</v>
      </c>
      <c r="E1260" s="13" t="s">
        <v>71</v>
      </c>
      <c r="F1260" s="13">
        <v>1253</v>
      </c>
    </row>
    <row r="1261" spans="1:11" x14ac:dyDescent="0.25">
      <c r="A1261" s="16">
        <v>42884</v>
      </c>
      <c r="B1261" s="13" t="s">
        <v>1395</v>
      </c>
      <c r="C1261" s="13">
        <v>201</v>
      </c>
      <c r="D1261" s="13">
        <v>497.8</v>
      </c>
      <c r="E1261" s="13" t="s">
        <v>71</v>
      </c>
      <c r="F1261" s="13">
        <v>1254</v>
      </c>
      <c r="K1261" s="5"/>
    </row>
    <row r="1262" spans="1:11" x14ac:dyDescent="0.25">
      <c r="A1262" s="16">
        <v>42884</v>
      </c>
      <c r="B1262" s="13" t="s">
        <v>1396</v>
      </c>
      <c r="C1262" s="13">
        <v>37</v>
      </c>
      <c r="D1262" s="13">
        <v>830.5</v>
      </c>
      <c r="E1262" s="13" t="s">
        <v>71</v>
      </c>
      <c r="F1262" s="13">
        <v>1255</v>
      </c>
      <c r="K1262" s="5"/>
    </row>
    <row r="1263" spans="1:11" x14ac:dyDescent="0.25">
      <c r="A1263" s="16">
        <v>42886</v>
      </c>
      <c r="B1263" s="13" t="s">
        <v>1397</v>
      </c>
      <c r="C1263" s="13">
        <v>44</v>
      </c>
      <c r="D1263" s="13">
        <v>789.45</v>
      </c>
      <c r="E1263" s="13" t="s">
        <v>71</v>
      </c>
      <c r="F1263" s="13">
        <v>1258</v>
      </c>
    </row>
    <row r="1264" spans="1:11" x14ac:dyDescent="0.25">
      <c r="A1264" s="16">
        <v>42886</v>
      </c>
      <c r="B1264" s="13" t="s">
        <v>1398</v>
      </c>
      <c r="C1264" s="13">
        <v>41</v>
      </c>
      <c r="D1264" s="13">
        <v>594.95000000000005</v>
      </c>
      <c r="E1264" s="13" t="s">
        <v>71</v>
      </c>
      <c r="F1264" s="13">
        <v>1259</v>
      </c>
    </row>
    <row r="1265" spans="1:10" x14ac:dyDescent="0.25">
      <c r="A1265" s="16">
        <v>42886</v>
      </c>
      <c r="B1265" s="13" t="s">
        <v>1399</v>
      </c>
      <c r="C1265" s="13">
        <v>43</v>
      </c>
      <c r="D1265" s="13">
        <v>380.15</v>
      </c>
      <c r="E1265" s="13" t="s">
        <v>71</v>
      </c>
      <c r="F1265" s="13">
        <v>1260</v>
      </c>
    </row>
    <row r="1266" spans="1:10" x14ac:dyDescent="0.25">
      <c r="A1266" s="16">
        <v>42886</v>
      </c>
      <c r="B1266" s="13" t="s">
        <v>1400</v>
      </c>
      <c r="C1266" s="13">
        <v>35</v>
      </c>
      <c r="D1266" s="13">
        <v>1243.6500000000001</v>
      </c>
      <c r="E1266" s="13" t="s">
        <v>71</v>
      </c>
      <c r="F1266" s="13">
        <v>1261</v>
      </c>
    </row>
    <row r="1267" spans="1:10" x14ac:dyDescent="0.25">
      <c r="A1267" s="16">
        <v>42886</v>
      </c>
      <c r="B1267" s="13" t="s">
        <v>1401</v>
      </c>
      <c r="C1267" s="13">
        <v>103</v>
      </c>
      <c r="D1267" s="13">
        <v>914</v>
      </c>
      <c r="E1267" s="13" t="s">
        <v>71</v>
      </c>
      <c r="F1267" s="13">
        <v>1262</v>
      </c>
    </row>
    <row r="1268" spans="1:10" x14ac:dyDescent="0.25">
      <c r="A1268" s="16">
        <v>42886</v>
      </c>
      <c r="B1268" s="13" t="s">
        <v>1402</v>
      </c>
      <c r="C1268" s="13">
        <v>37</v>
      </c>
      <c r="D1268" s="13">
        <v>1118.3900000000001</v>
      </c>
      <c r="E1268" s="13" t="s">
        <v>71</v>
      </c>
      <c r="F1268" s="13">
        <v>1263</v>
      </c>
    </row>
    <row r="1269" spans="1:10" x14ac:dyDescent="0.25">
      <c r="A1269" s="16">
        <v>42886</v>
      </c>
      <c r="B1269" s="13" t="s">
        <v>1403</v>
      </c>
      <c r="C1269" s="13">
        <v>201</v>
      </c>
      <c r="D1269" s="13">
        <v>484.15</v>
      </c>
      <c r="E1269" s="13" t="s">
        <v>71</v>
      </c>
      <c r="F1269" s="13">
        <v>1264</v>
      </c>
    </row>
    <row r="1270" spans="1:10" x14ac:dyDescent="0.25">
      <c r="A1270" s="16">
        <v>42887</v>
      </c>
      <c r="B1270" s="13" t="s">
        <v>1404</v>
      </c>
      <c r="C1270" s="13">
        <v>43</v>
      </c>
      <c r="D1270" s="13">
        <v>936.05</v>
      </c>
      <c r="E1270" s="13" t="s">
        <v>71</v>
      </c>
      <c r="F1270" s="13">
        <v>1265</v>
      </c>
      <c r="J1270" s="5"/>
    </row>
    <row r="1271" spans="1:10" x14ac:dyDescent="0.25">
      <c r="A1271" s="16">
        <v>42887</v>
      </c>
      <c r="B1271" s="13" t="s">
        <v>1405</v>
      </c>
      <c r="C1271" s="13">
        <v>44</v>
      </c>
      <c r="D1271" s="13">
        <v>677.15</v>
      </c>
      <c r="E1271" s="13" t="s">
        <v>71</v>
      </c>
      <c r="F1271" s="13">
        <v>1266</v>
      </c>
    </row>
    <row r="1272" spans="1:10" x14ac:dyDescent="0.25">
      <c r="A1272" s="16">
        <v>42887</v>
      </c>
      <c r="B1272" s="13" t="s">
        <v>1406</v>
      </c>
      <c r="C1272" s="13">
        <v>103</v>
      </c>
      <c r="D1272" s="13">
        <v>1979.85</v>
      </c>
      <c r="E1272" s="13" t="s">
        <v>71</v>
      </c>
      <c r="F1272" s="13">
        <v>1267</v>
      </c>
    </row>
    <row r="1273" spans="1:10" x14ac:dyDescent="0.25">
      <c r="A1273" s="16">
        <v>42887</v>
      </c>
      <c r="B1273" s="13" t="s">
        <v>1407</v>
      </c>
      <c r="C1273" s="13">
        <v>35</v>
      </c>
      <c r="D1273" s="13">
        <v>2121.2600000000002</v>
      </c>
      <c r="E1273" s="13" t="s">
        <v>71</v>
      </c>
      <c r="F1273" s="13">
        <v>1268</v>
      </c>
    </row>
    <row r="1274" spans="1:10" x14ac:dyDescent="0.25">
      <c r="A1274" s="16">
        <v>42887</v>
      </c>
      <c r="B1274" s="13" t="s">
        <v>1408</v>
      </c>
      <c r="C1274" s="13">
        <v>41</v>
      </c>
      <c r="D1274" s="13">
        <v>748.5</v>
      </c>
      <c r="E1274" s="13" t="s">
        <v>71</v>
      </c>
      <c r="F1274" s="13">
        <v>1269</v>
      </c>
    </row>
    <row r="1275" spans="1:10" x14ac:dyDescent="0.25">
      <c r="A1275" s="16">
        <v>42887</v>
      </c>
      <c r="B1275" s="13" t="s">
        <v>1409</v>
      </c>
      <c r="C1275" s="13">
        <v>37</v>
      </c>
      <c r="D1275" s="13">
        <v>1723.47</v>
      </c>
      <c r="E1275" s="13" t="s">
        <v>71</v>
      </c>
      <c r="F1275" s="13">
        <v>1270</v>
      </c>
      <c r="I1275" s="5"/>
    </row>
    <row r="1276" spans="1:10" x14ac:dyDescent="0.25">
      <c r="A1276" s="16">
        <v>42887</v>
      </c>
      <c r="B1276" s="13" t="s">
        <v>1410</v>
      </c>
      <c r="C1276" s="13">
        <v>201</v>
      </c>
      <c r="D1276" s="13">
        <v>731.85</v>
      </c>
      <c r="E1276" s="13" t="s">
        <v>71</v>
      </c>
      <c r="F1276" s="13">
        <v>1271</v>
      </c>
    </row>
    <row r="1277" spans="1:10" x14ac:dyDescent="0.25">
      <c r="A1277" s="16">
        <v>42892</v>
      </c>
      <c r="B1277" s="13" t="s">
        <v>1411</v>
      </c>
      <c r="C1277" s="13">
        <v>103</v>
      </c>
      <c r="D1277" s="13">
        <v>434.4</v>
      </c>
      <c r="E1277" s="13" t="s">
        <v>71</v>
      </c>
      <c r="F1277" s="13">
        <v>1272</v>
      </c>
    </row>
    <row r="1278" spans="1:10" x14ac:dyDescent="0.25">
      <c r="A1278" s="16">
        <v>42892</v>
      </c>
      <c r="B1278" s="13" t="s">
        <v>1412</v>
      </c>
      <c r="C1278" s="13">
        <v>41</v>
      </c>
      <c r="D1278" s="13">
        <v>387.2</v>
      </c>
      <c r="E1278" s="13" t="s">
        <v>71</v>
      </c>
      <c r="F1278" s="13">
        <v>1273</v>
      </c>
    </row>
    <row r="1279" spans="1:10" x14ac:dyDescent="0.25">
      <c r="A1279" s="16">
        <v>42892</v>
      </c>
      <c r="B1279" s="13" t="s">
        <v>1413</v>
      </c>
      <c r="C1279" s="13">
        <v>35</v>
      </c>
      <c r="D1279" s="13">
        <v>632</v>
      </c>
      <c r="E1279" s="13" t="s">
        <v>71</v>
      </c>
      <c r="F1279" s="13">
        <v>1274</v>
      </c>
    </row>
    <row r="1280" spans="1:10" x14ac:dyDescent="0.25">
      <c r="A1280" s="16">
        <v>42892</v>
      </c>
      <c r="B1280" s="13" t="s">
        <v>1414</v>
      </c>
      <c r="C1280" s="13">
        <v>43</v>
      </c>
      <c r="D1280" s="13">
        <v>359.4</v>
      </c>
      <c r="E1280" s="13" t="s">
        <v>71</v>
      </c>
      <c r="F1280" s="13">
        <v>1275</v>
      </c>
    </row>
    <row r="1281" spans="1:6" x14ac:dyDescent="0.25">
      <c r="A1281" s="16">
        <v>42891</v>
      </c>
      <c r="B1281" s="13" t="s">
        <v>1416</v>
      </c>
      <c r="C1281" s="13">
        <v>41</v>
      </c>
      <c r="D1281" s="13">
        <v>477.25</v>
      </c>
      <c r="E1281" s="13" t="s">
        <v>71</v>
      </c>
      <c r="F1281" s="13">
        <v>1276</v>
      </c>
    </row>
    <row r="1282" spans="1:6" x14ac:dyDescent="0.25">
      <c r="A1282" s="16">
        <v>42891</v>
      </c>
      <c r="B1282" s="13" t="s">
        <v>1417</v>
      </c>
      <c r="C1282" s="13">
        <v>103</v>
      </c>
      <c r="D1282" s="13">
        <v>514.29999999999995</v>
      </c>
      <c r="E1282" s="13" t="s">
        <v>71</v>
      </c>
      <c r="F1282" s="13">
        <v>1277</v>
      </c>
    </row>
    <row r="1283" spans="1:6" x14ac:dyDescent="0.25">
      <c r="A1283" s="16">
        <v>42891</v>
      </c>
      <c r="B1283" s="13" t="s">
        <v>1418</v>
      </c>
      <c r="C1283" s="13">
        <v>43</v>
      </c>
      <c r="D1283" s="13">
        <v>254.55</v>
      </c>
      <c r="E1283" s="13" t="s">
        <v>71</v>
      </c>
      <c r="F1283" s="13">
        <v>1278</v>
      </c>
    </row>
    <row r="1284" spans="1:6" x14ac:dyDescent="0.25">
      <c r="A1284" s="16">
        <v>42891</v>
      </c>
      <c r="B1284" s="13" t="s">
        <v>1419</v>
      </c>
      <c r="C1284" s="13">
        <v>44</v>
      </c>
      <c r="D1284" s="13">
        <v>331.05</v>
      </c>
      <c r="E1284" s="13" t="s">
        <v>71</v>
      </c>
      <c r="F1284" s="13">
        <v>1279</v>
      </c>
    </row>
    <row r="1285" spans="1:6" x14ac:dyDescent="0.25">
      <c r="A1285" s="16">
        <v>42891</v>
      </c>
      <c r="B1285" s="13" t="s">
        <v>1420</v>
      </c>
      <c r="C1285" s="13">
        <v>35</v>
      </c>
      <c r="D1285" s="13">
        <v>668.65</v>
      </c>
      <c r="E1285" s="13" t="s">
        <v>71</v>
      </c>
      <c r="F1285" s="13">
        <v>1280</v>
      </c>
    </row>
    <row r="1286" spans="1:6" x14ac:dyDescent="0.25">
      <c r="A1286" s="16">
        <v>42890</v>
      </c>
      <c r="B1286" s="13" t="s">
        <v>1424</v>
      </c>
      <c r="C1286" s="13">
        <v>103</v>
      </c>
      <c r="D1286" s="13">
        <v>857.5</v>
      </c>
      <c r="E1286" s="13" t="s">
        <v>71</v>
      </c>
      <c r="F1286" s="13">
        <v>1281</v>
      </c>
    </row>
    <row r="1287" spans="1:6" x14ac:dyDescent="0.25">
      <c r="A1287" s="16">
        <v>42890</v>
      </c>
      <c r="B1287" s="13" t="s">
        <v>1425</v>
      </c>
      <c r="C1287" s="13">
        <v>35</v>
      </c>
      <c r="D1287" s="13">
        <v>1046.75</v>
      </c>
      <c r="E1287" s="13" t="s">
        <v>71</v>
      </c>
      <c r="F1287" s="13">
        <v>1282</v>
      </c>
    </row>
    <row r="1288" spans="1:6" x14ac:dyDescent="0.25">
      <c r="A1288" s="16">
        <v>42890</v>
      </c>
      <c r="B1288" s="13" t="s">
        <v>1426</v>
      </c>
      <c r="C1288" s="13">
        <v>43</v>
      </c>
      <c r="D1288" s="13">
        <v>414.55</v>
      </c>
      <c r="E1288" s="13" t="s">
        <v>71</v>
      </c>
      <c r="F1288" s="13">
        <v>1283</v>
      </c>
    </row>
    <row r="1289" spans="1:6" x14ac:dyDescent="0.25">
      <c r="A1289" s="16">
        <v>42890</v>
      </c>
      <c r="B1289" s="13" t="s">
        <v>1427</v>
      </c>
      <c r="C1289" s="13">
        <v>41</v>
      </c>
      <c r="D1289" s="13">
        <v>144.80000000000001</v>
      </c>
      <c r="E1289" s="13" t="s">
        <v>71</v>
      </c>
      <c r="F1289" s="13">
        <v>1284</v>
      </c>
    </row>
    <row r="1290" spans="1:6" x14ac:dyDescent="0.25">
      <c r="A1290" s="16">
        <v>42890</v>
      </c>
      <c r="B1290" s="13" t="s">
        <v>1428</v>
      </c>
      <c r="C1290" s="13">
        <v>44</v>
      </c>
      <c r="D1290" s="13">
        <v>758.55</v>
      </c>
      <c r="E1290" s="13" t="s">
        <v>71</v>
      </c>
      <c r="F1290" s="13">
        <v>1285</v>
      </c>
    </row>
    <row r="1291" spans="1:6" x14ac:dyDescent="0.25">
      <c r="A1291" s="16">
        <v>42889</v>
      </c>
      <c r="B1291" s="13" t="s">
        <v>1429</v>
      </c>
      <c r="C1291" s="13">
        <v>41</v>
      </c>
      <c r="D1291" s="13">
        <v>804.5</v>
      </c>
      <c r="E1291" s="13" t="s">
        <v>71</v>
      </c>
      <c r="F1291" s="13">
        <v>1286</v>
      </c>
    </row>
    <row r="1292" spans="1:6" x14ac:dyDescent="0.25">
      <c r="A1292" s="16">
        <v>42889</v>
      </c>
      <c r="B1292" s="13" t="s">
        <v>1430</v>
      </c>
      <c r="C1292" s="13">
        <v>103</v>
      </c>
      <c r="D1292" s="13">
        <v>779.9</v>
      </c>
      <c r="E1292" s="13" t="s">
        <v>71</v>
      </c>
      <c r="F1292" s="13">
        <v>1287</v>
      </c>
    </row>
    <row r="1293" spans="1:6" x14ac:dyDescent="0.25">
      <c r="A1293" s="16">
        <v>42889</v>
      </c>
      <c r="B1293" s="13" t="s">
        <v>1431</v>
      </c>
      <c r="C1293" s="13">
        <v>43</v>
      </c>
      <c r="D1293" s="13">
        <v>808.7</v>
      </c>
      <c r="E1293" s="13" t="s">
        <v>71</v>
      </c>
      <c r="F1293" s="13">
        <v>1288</v>
      </c>
    </row>
    <row r="1294" spans="1:6" x14ac:dyDescent="0.25">
      <c r="A1294" s="16">
        <v>42889</v>
      </c>
      <c r="B1294" s="13" t="s">
        <v>1432</v>
      </c>
      <c r="C1294" s="13">
        <v>35</v>
      </c>
      <c r="D1294" s="13">
        <v>1491.9</v>
      </c>
      <c r="E1294" s="13" t="s">
        <v>71</v>
      </c>
      <c r="F1294" s="13">
        <v>1289</v>
      </c>
    </row>
    <row r="1295" spans="1:6" x14ac:dyDescent="0.25">
      <c r="A1295" s="16">
        <v>42889</v>
      </c>
      <c r="B1295" s="13" t="s">
        <v>1433</v>
      </c>
      <c r="C1295" s="13">
        <v>44</v>
      </c>
      <c r="D1295" s="13">
        <v>1069.2</v>
      </c>
      <c r="E1295" s="13" t="s">
        <v>71</v>
      </c>
      <c r="F1295" s="13">
        <v>1290</v>
      </c>
    </row>
    <row r="1296" spans="1:6" x14ac:dyDescent="0.25">
      <c r="A1296" s="16">
        <v>42888</v>
      </c>
      <c r="B1296" s="13" t="s">
        <v>1434</v>
      </c>
      <c r="C1296" s="13">
        <v>103</v>
      </c>
      <c r="D1296" s="13">
        <v>879.85</v>
      </c>
      <c r="E1296" s="13" t="s">
        <v>71</v>
      </c>
      <c r="F1296" s="13">
        <v>1291</v>
      </c>
    </row>
    <row r="1297" spans="1:10" x14ac:dyDescent="0.25">
      <c r="A1297" s="16">
        <v>42888</v>
      </c>
      <c r="B1297" s="13" t="s">
        <v>1435</v>
      </c>
      <c r="C1297" s="13">
        <v>41</v>
      </c>
      <c r="D1297" s="13">
        <v>901.65</v>
      </c>
      <c r="E1297" s="13" t="s">
        <v>71</v>
      </c>
      <c r="F1297" s="13">
        <v>1292</v>
      </c>
    </row>
    <row r="1298" spans="1:10" x14ac:dyDescent="0.25">
      <c r="A1298" s="16">
        <v>42888</v>
      </c>
      <c r="B1298" s="13" t="s">
        <v>1436</v>
      </c>
      <c r="C1298" s="13">
        <v>35</v>
      </c>
      <c r="D1298" s="13">
        <v>1292.8</v>
      </c>
      <c r="E1298" s="13" t="s">
        <v>71</v>
      </c>
      <c r="F1298" s="13">
        <v>1293</v>
      </c>
    </row>
    <row r="1299" spans="1:10" x14ac:dyDescent="0.25">
      <c r="A1299" s="16">
        <v>42888</v>
      </c>
      <c r="B1299" s="13" t="s">
        <v>1437</v>
      </c>
      <c r="C1299" s="13">
        <v>44</v>
      </c>
      <c r="D1299" s="13">
        <v>941</v>
      </c>
      <c r="E1299" s="13" t="s">
        <v>71</v>
      </c>
      <c r="F1299" s="13">
        <v>1294</v>
      </c>
    </row>
    <row r="1300" spans="1:10" x14ac:dyDescent="0.25">
      <c r="A1300" s="16">
        <v>42888</v>
      </c>
      <c r="B1300" s="13" t="s">
        <v>1438</v>
      </c>
      <c r="C1300" s="13">
        <v>43</v>
      </c>
      <c r="D1300" s="13">
        <v>769</v>
      </c>
      <c r="E1300" s="13" t="s">
        <v>71</v>
      </c>
      <c r="F1300" s="13">
        <v>1295</v>
      </c>
    </row>
    <row r="1301" spans="1:10" x14ac:dyDescent="0.25">
      <c r="A1301" s="16">
        <v>42892</v>
      </c>
      <c r="B1301" s="13" t="s">
        <v>1439</v>
      </c>
      <c r="C1301" s="13">
        <v>37</v>
      </c>
      <c r="D1301" s="13">
        <v>808.85</v>
      </c>
      <c r="E1301" s="13" t="s">
        <v>71</v>
      </c>
      <c r="F1301" s="13">
        <v>1296</v>
      </c>
    </row>
    <row r="1302" spans="1:10" x14ac:dyDescent="0.25">
      <c r="A1302" s="16">
        <v>42892</v>
      </c>
      <c r="B1302" s="13" t="s">
        <v>1440</v>
      </c>
      <c r="C1302" s="13">
        <v>201</v>
      </c>
      <c r="D1302" s="13">
        <v>349.8</v>
      </c>
      <c r="E1302" s="13" t="s">
        <v>71</v>
      </c>
      <c r="F1302" s="13">
        <v>1297</v>
      </c>
    </row>
    <row r="1303" spans="1:10" x14ac:dyDescent="0.25">
      <c r="A1303" s="16">
        <v>42891</v>
      </c>
      <c r="B1303" s="13" t="s">
        <v>1441</v>
      </c>
      <c r="C1303" s="13">
        <v>37</v>
      </c>
      <c r="D1303" s="13">
        <v>520.85</v>
      </c>
      <c r="E1303" s="13" t="s">
        <v>71</v>
      </c>
      <c r="F1303" s="13">
        <v>1298</v>
      </c>
    </row>
    <row r="1304" spans="1:10" x14ac:dyDescent="0.25">
      <c r="A1304" s="16">
        <v>42891</v>
      </c>
      <c r="B1304" s="13" t="s">
        <v>1442</v>
      </c>
      <c r="C1304" s="13">
        <v>201</v>
      </c>
      <c r="D1304" s="13">
        <v>259.60000000000002</v>
      </c>
      <c r="E1304" s="13" t="s">
        <v>71</v>
      </c>
      <c r="F1304" s="13">
        <v>1299</v>
      </c>
    </row>
    <row r="1305" spans="1:10" x14ac:dyDescent="0.25">
      <c r="A1305" s="16">
        <v>42890</v>
      </c>
      <c r="B1305" s="13" t="s">
        <v>1443</v>
      </c>
      <c r="C1305" s="13">
        <v>37</v>
      </c>
      <c r="D1305" s="13">
        <v>1241.98</v>
      </c>
      <c r="E1305" s="13" t="s">
        <v>71</v>
      </c>
      <c r="F1305" s="13">
        <v>1300</v>
      </c>
    </row>
    <row r="1306" spans="1:10" x14ac:dyDescent="0.25">
      <c r="A1306" s="16">
        <v>42890</v>
      </c>
      <c r="B1306" s="13" t="s">
        <v>1444</v>
      </c>
      <c r="C1306" s="13">
        <v>201</v>
      </c>
      <c r="D1306" s="13">
        <v>444.45</v>
      </c>
      <c r="E1306" s="13" t="s">
        <v>71</v>
      </c>
      <c r="F1306" s="13">
        <v>1301</v>
      </c>
    </row>
    <row r="1307" spans="1:10" x14ac:dyDescent="0.25">
      <c r="A1307" s="16">
        <v>42889</v>
      </c>
      <c r="B1307" s="13" t="s">
        <v>1445</v>
      </c>
      <c r="C1307" s="13">
        <v>201</v>
      </c>
      <c r="D1307" s="13">
        <v>583.9</v>
      </c>
      <c r="E1307" s="13" t="s">
        <v>71</v>
      </c>
      <c r="F1307" s="13">
        <v>1302</v>
      </c>
    </row>
    <row r="1308" spans="1:10" x14ac:dyDescent="0.25">
      <c r="A1308" s="16">
        <v>42889</v>
      </c>
      <c r="B1308" s="13" t="s">
        <v>1446</v>
      </c>
      <c r="C1308" s="13">
        <v>37</v>
      </c>
      <c r="D1308" s="13">
        <v>1786.81</v>
      </c>
      <c r="E1308" s="13" t="s">
        <v>71</v>
      </c>
      <c r="F1308" s="13">
        <v>1303</v>
      </c>
    </row>
    <row r="1309" spans="1:10" x14ac:dyDescent="0.25">
      <c r="A1309" s="16">
        <v>42888</v>
      </c>
      <c r="B1309" s="13" t="s">
        <v>1447</v>
      </c>
      <c r="C1309" s="13">
        <v>201</v>
      </c>
      <c r="D1309" s="13">
        <v>991.1</v>
      </c>
      <c r="E1309" s="13" t="s">
        <v>71</v>
      </c>
      <c r="F1309" s="13">
        <v>1304</v>
      </c>
    </row>
    <row r="1310" spans="1:10" x14ac:dyDescent="0.25">
      <c r="A1310" s="16">
        <v>42888</v>
      </c>
      <c r="B1310" s="13" t="s">
        <v>1448</v>
      </c>
      <c r="C1310" s="13">
        <v>37</v>
      </c>
      <c r="D1310" s="13">
        <v>1507.7</v>
      </c>
      <c r="E1310" s="13" t="s">
        <v>71</v>
      </c>
      <c r="F1310" s="13">
        <v>1305</v>
      </c>
      <c r="J1310" s="5"/>
    </row>
    <row r="1311" spans="1:10" x14ac:dyDescent="0.25">
      <c r="A1311" s="16">
        <v>42893</v>
      </c>
      <c r="B1311" s="13" t="s">
        <v>1449</v>
      </c>
      <c r="C1311" s="13">
        <v>35</v>
      </c>
      <c r="D1311" s="13">
        <v>1211.05</v>
      </c>
      <c r="E1311" s="13" t="s">
        <v>71</v>
      </c>
      <c r="F1311" s="13">
        <v>1306</v>
      </c>
    </row>
    <row r="1312" spans="1:10" x14ac:dyDescent="0.25">
      <c r="A1312" s="16">
        <v>42893</v>
      </c>
      <c r="B1312" s="13" t="s">
        <v>1450</v>
      </c>
      <c r="C1312" s="13">
        <v>44</v>
      </c>
      <c r="D1312" s="13">
        <v>488.8</v>
      </c>
      <c r="E1312" s="13" t="s">
        <v>71</v>
      </c>
      <c r="F1312" s="13">
        <v>1307</v>
      </c>
    </row>
    <row r="1313" spans="1:6" x14ac:dyDescent="0.25">
      <c r="A1313" s="16">
        <v>42893</v>
      </c>
      <c r="B1313" s="13" t="s">
        <v>1451</v>
      </c>
      <c r="C1313" s="13">
        <v>103</v>
      </c>
      <c r="D1313" s="13">
        <v>564.29999999999995</v>
      </c>
      <c r="E1313" s="13" t="s">
        <v>71</v>
      </c>
      <c r="F1313" s="13">
        <v>1308</v>
      </c>
    </row>
    <row r="1314" spans="1:6" x14ac:dyDescent="0.25">
      <c r="A1314" s="16">
        <v>42893</v>
      </c>
      <c r="B1314" s="13" t="s">
        <v>1452</v>
      </c>
      <c r="C1314" s="13">
        <v>43</v>
      </c>
      <c r="D1314" s="13">
        <v>319.7</v>
      </c>
      <c r="E1314" s="13" t="s">
        <v>71</v>
      </c>
      <c r="F1314" s="13">
        <v>1309</v>
      </c>
    </row>
    <row r="1315" spans="1:6" x14ac:dyDescent="0.25">
      <c r="A1315" s="16">
        <v>42893</v>
      </c>
      <c r="B1315" s="13" t="s">
        <v>1453</v>
      </c>
      <c r="C1315" s="13">
        <v>41</v>
      </c>
      <c r="D1315" s="13">
        <v>634.20000000000005</v>
      </c>
      <c r="E1315" s="13" t="s">
        <v>71</v>
      </c>
      <c r="F1315" s="13">
        <v>1310</v>
      </c>
    </row>
    <row r="1316" spans="1:6" x14ac:dyDescent="0.25">
      <c r="A1316" s="16">
        <v>42893</v>
      </c>
      <c r="B1316" s="13" t="s">
        <v>1454</v>
      </c>
      <c r="C1316" s="13">
        <v>37</v>
      </c>
      <c r="D1316" s="13">
        <v>636.45000000000005</v>
      </c>
      <c r="E1316" s="13" t="s">
        <v>71</v>
      </c>
      <c r="F1316" s="13">
        <v>1311</v>
      </c>
    </row>
    <row r="1317" spans="1:6" x14ac:dyDescent="0.25">
      <c r="A1317" s="16">
        <v>42893</v>
      </c>
      <c r="B1317" s="13" t="s">
        <v>1455</v>
      </c>
      <c r="C1317" s="13">
        <v>201</v>
      </c>
      <c r="D1317" s="13">
        <v>365.7</v>
      </c>
      <c r="E1317" s="13" t="s">
        <v>71</v>
      </c>
      <c r="F1317" s="13">
        <v>1312</v>
      </c>
    </row>
    <row r="1318" spans="1:6" x14ac:dyDescent="0.25">
      <c r="A1318" s="16">
        <v>42894</v>
      </c>
      <c r="B1318" s="13" t="s">
        <v>1456</v>
      </c>
      <c r="C1318" s="13">
        <v>44</v>
      </c>
      <c r="D1318" s="13">
        <v>672.3</v>
      </c>
      <c r="E1318" s="13" t="s">
        <v>71</v>
      </c>
      <c r="F1318" s="13">
        <v>1313</v>
      </c>
    </row>
    <row r="1319" spans="1:6" x14ac:dyDescent="0.25">
      <c r="A1319" s="16">
        <v>42894</v>
      </c>
      <c r="B1319" s="13" t="s">
        <v>1457</v>
      </c>
      <c r="C1319" s="13">
        <v>41</v>
      </c>
      <c r="D1319" s="13">
        <v>997.1</v>
      </c>
      <c r="E1319" s="13" t="s">
        <v>71</v>
      </c>
      <c r="F1319" s="13">
        <v>1314</v>
      </c>
    </row>
    <row r="1320" spans="1:6" x14ac:dyDescent="0.25">
      <c r="A1320" s="16">
        <v>42894</v>
      </c>
      <c r="B1320" s="13" t="s">
        <v>1458</v>
      </c>
      <c r="C1320" s="13">
        <v>43</v>
      </c>
      <c r="D1320" s="13">
        <v>709.6</v>
      </c>
      <c r="E1320" s="13" t="s">
        <v>71</v>
      </c>
      <c r="F1320" s="13">
        <v>1315</v>
      </c>
    </row>
    <row r="1321" spans="1:6" x14ac:dyDescent="0.25">
      <c r="A1321" s="16">
        <v>42894</v>
      </c>
      <c r="B1321" s="13" t="s">
        <v>1459</v>
      </c>
      <c r="C1321" s="13">
        <v>35</v>
      </c>
      <c r="D1321" s="13">
        <v>1733.95</v>
      </c>
      <c r="E1321" s="13" t="s">
        <v>71</v>
      </c>
      <c r="F1321" s="13">
        <v>1316</v>
      </c>
    </row>
    <row r="1322" spans="1:6" x14ac:dyDescent="0.25">
      <c r="A1322" s="16">
        <v>42894</v>
      </c>
      <c r="B1322" s="13" t="s">
        <v>1460</v>
      </c>
      <c r="C1322" s="13">
        <v>103</v>
      </c>
      <c r="D1322" s="13">
        <v>2138.75</v>
      </c>
      <c r="E1322" s="13" t="s">
        <v>71</v>
      </c>
      <c r="F1322" s="13">
        <v>1317</v>
      </c>
    </row>
    <row r="1323" spans="1:6" x14ac:dyDescent="0.25">
      <c r="A1323" s="16">
        <v>42894</v>
      </c>
      <c r="B1323" s="13" t="s">
        <v>1461</v>
      </c>
      <c r="C1323" s="13">
        <v>37</v>
      </c>
      <c r="D1323" s="13">
        <v>1370.7</v>
      </c>
      <c r="E1323" s="13" t="s">
        <v>71</v>
      </c>
      <c r="F1323" s="13">
        <v>1318</v>
      </c>
    </row>
    <row r="1324" spans="1:6" x14ac:dyDescent="0.25">
      <c r="A1324" s="16">
        <v>42894</v>
      </c>
      <c r="B1324" s="13" t="s">
        <v>1462</v>
      </c>
      <c r="C1324" s="13">
        <v>201</v>
      </c>
      <c r="D1324" s="13">
        <v>734.25</v>
      </c>
      <c r="E1324" s="13" t="s">
        <v>71</v>
      </c>
      <c r="F1324" s="13">
        <v>1319</v>
      </c>
    </row>
    <row r="1325" spans="1:6" x14ac:dyDescent="0.25">
      <c r="A1325" s="16">
        <v>42898</v>
      </c>
      <c r="B1325" s="13" t="s">
        <v>1463</v>
      </c>
      <c r="C1325" s="13">
        <v>44</v>
      </c>
      <c r="D1325" s="13">
        <v>369.7</v>
      </c>
      <c r="E1325" s="13" t="s">
        <v>71</v>
      </c>
      <c r="F1325" s="13">
        <v>1320</v>
      </c>
    </row>
    <row r="1326" spans="1:6" x14ac:dyDescent="0.25">
      <c r="A1326" s="16">
        <v>42897</v>
      </c>
      <c r="B1326" s="13" t="s">
        <v>1465</v>
      </c>
      <c r="C1326" s="13">
        <v>35</v>
      </c>
      <c r="D1326" s="13">
        <v>1311.3</v>
      </c>
      <c r="E1326" s="13" t="s">
        <v>71</v>
      </c>
      <c r="F1326" s="13">
        <v>1321</v>
      </c>
    </row>
    <row r="1327" spans="1:6" x14ac:dyDescent="0.25">
      <c r="A1327" s="16">
        <v>42897</v>
      </c>
      <c r="B1327" s="13" t="s">
        <v>1466</v>
      </c>
      <c r="C1327" s="13">
        <v>44</v>
      </c>
      <c r="D1327" s="13">
        <v>851.05</v>
      </c>
      <c r="E1327" s="13" t="s">
        <v>71</v>
      </c>
      <c r="F1327" s="13">
        <v>1322</v>
      </c>
    </row>
    <row r="1328" spans="1:6" x14ac:dyDescent="0.25">
      <c r="A1328" s="16">
        <v>42897</v>
      </c>
      <c r="B1328" s="13" t="s">
        <v>1467</v>
      </c>
      <c r="C1328" s="13">
        <v>43</v>
      </c>
      <c r="D1328" s="13">
        <v>204.95</v>
      </c>
      <c r="E1328" s="13" t="s">
        <v>71</v>
      </c>
      <c r="F1328" s="13">
        <v>1323</v>
      </c>
    </row>
    <row r="1329" spans="1:10" x14ac:dyDescent="0.25">
      <c r="A1329" s="16">
        <v>42897</v>
      </c>
      <c r="B1329" s="13" t="s">
        <v>1468</v>
      </c>
      <c r="C1329" s="13">
        <v>103</v>
      </c>
      <c r="D1329" s="13">
        <v>419.85</v>
      </c>
      <c r="E1329" s="13" t="s">
        <v>71</v>
      </c>
      <c r="F1329" s="13">
        <v>1324</v>
      </c>
    </row>
    <row r="1330" spans="1:10" x14ac:dyDescent="0.25">
      <c r="A1330" s="16">
        <v>42897</v>
      </c>
      <c r="B1330" s="13" t="s">
        <v>1469</v>
      </c>
      <c r="C1330" s="13">
        <v>41</v>
      </c>
      <c r="D1330" s="13">
        <v>234.65</v>
      </c>
      <c r="E1330" s="13" t="s">
        <v>71</v>
      </c>
      <c r="F1330" s="13">
        <v>1325</v>
      </c>
    </row>
    <row r="1331" spans="1:10" x14ac:dyDescent="0.25">
      <c r="A1331" s="16">
        <v>42896</v>
      </c>
      <c r="B1331" s="13" t="s">
        <v>1470</v>
      </c>
      <c r="C1331" s="13">
        <v>43</v>
      </c>
      <c r="D1331" s="13">
        <v>727.1</v>
      </c>
      <c r="E1331" s="13" t="s">
        <v>71</v>
      </c>
      <c r="F1331" s="13">
        <v>1326</v>
      </c>
    </row>
    <row r="1332" spans="1:10" x14ac:dyDescent="0.25">
      <c r="A1332" s="16">
        <v>42896</v>
      </c>
      <c r="B1332" s="13" t="s">
        <v>1471</v>
      </c>
      <c r="C1332" s="13">
        <v>103</v>
      </c>
      <c r="D1332" s="13">
        <v>1176.1500000000001</v>
      </c>
      <c r="E1332" s="13" t="s">
        <v>71</v>
      </c>
      <c r="F1332" s="13">
        <v>1327</v>
      </c>
    </row>
    <row r="1333" spans="1:10" x14ac:dyDescent="0.25">
      <c r="A1333" s="16">
        <v>42896</v>
      </c>
      <c r="B1333" s="13" t="s">
        <v>1472</v>
      </c>
      <c r="C1333" s="13">
        <v>44</v>
      </c>
      <c r="D1333" s="13">
        <v>1818.05</v>
      </c>
      <c r="E1333" s="13" t="s">
        <v>71</v>
      </c>
      <c r="F1333" s="13">
        <v>1328</v>
      </c>
      <c r="J1333" s="5"/>
    </row>
    <row r="1334" spans="1:10" x14ac:dyDescent="0.25">
      <c r="A1334" s="16">
        <v>42896</v>
      </c>
      <c r="B1334" s="13" t="s">
        <v>1472</v>
      </c>
      <c r="C1334" s="13">
        <v>44</v>
      </c>
      <c r="D1334" s="13">
        <v>748.85</v>
      </c>
      <c r="E1334" s="13" t="s">
        <v>71</v>
      </c>
      <c r="F1334" s="13">
        <v>1342</v>
      </c>
      <c r="J1334" s="5"/>
    </row>
    <row r="1335" spans="1:10" x14ac:dyDescent="0.25">
      <c r="A1335" s="16">
        <v>42896</v>
      </c>
      <c r="B1335" s="13" t="s">
        <v>1472</v>
      </c>
      <c r="C1335" s="13">
        <v>44</v>
      </c>
      <c r="D1335" s="13">
        <v>1069.2</v>
      </c>
      <c r="E1335" s="13" t="s">
        <v>71</v>
      </c>
      <c r="F1335" s="13">
        <v>1343</v>
      </c>
      <c r="J1335" s="5"/>
    </row>
    <row r="1336" spans="1:10" x14ac:dyDescent="0.25">
      <c r="A1336" s="16">
        <v>42896</v>
      </c>
      <c r="B1336" s="13" t="s">
        <v>1473</v>
      </c>
      <c r="C1336" s="13">
        <v>35</v>
      </c>
      <c r="D1336" s="13">
        <v>1039.8499999999999</v>
      </c>
      <c r="E1336" s="13" t="s">
        <v>71</v>
      </c>
      <c r="F1336" s="13">
        <v>1329</v>
      </c>
      <c r="J1336" s="5"/>
    </row>
    <row r="1337" spans="1:10" x14ac:dyDescent="0.25">
      <c r="A1337" s="16">
        <v>42896</v>
      </c>
      <c r="B1337" s="13" t="s">
        <v>1474</v>
      </c>
      <c r="C1337" s="13">
        <v>41</v>
      </c>
      <c r="D1337" s="13">
        <v>942.76</v>
      </c>
      <c r="E1337" s="13" t="s">
        <v>71</v>
      </c>
      <c r="F1337" s="13">
        <v>1330</v>
      </c>
    </row>
    <row r="1338" spans="1:10" x14ac:dyDescent="0.25">
      <c r="A1338" s="16">
        <v>42895</v>
      </c>
      <c r="B1338" s="13" t="s">
        <v>1475</v>
      </c>
      <c r="C1338" s="13">
        <v>43</v>
      </c>
      <c r="D1338" s="13">
        <v>632.45000000000005</v>
      </c>
      <c r="E1338" s="13" t="s">
        <v>71</v>
      </c>
      <c r="F1338" s="13">
        <v>1331</v>
      </c>
    </row>
    <row r="1339" spans="1:10" x14ac:dyDescent="0.25">
      <c r="A1339" s="16">
        <v>42895</v>
      </c>
      <c r="B1339" s="13" t="s">
        <v>1476</v>
      </c>
      <c r="C1339" s="13">
        <v>44</v>
      </c>
      <c r="D1339" s="13">
        <v>1063.7</v>
      </c>
      <c r="E1339" s="13" t="s">
        <v>71</v>
      </c>
      <c r="F1339" s="13">
        <v>1332</v>
      </c>
    </row>
    <row r="1340" spans="1:10" x14ac:dyDescent="0.25">
      <c r="A1340" s="16">
        <v>42895</v>
      </c>
      <c r="B1340" s="13" t="s">
        <v>1477</v>
      </c>
      <c r="C1340" s="13">
        <v>35</v>
      </c>
      <c r="D1340" s="13">
        <v>1124.2</v>
      </c>
      <c r="E1340" s="13" t="s">
        <v>71</v>
      </c>
      <c r="F1340" s="13">
        <v>1333</v>
      </c>
    </row>
    <row r="1341" spans="1:10" x14ac:dyDescent="0.25">
      <c r="A1341" s="16">
        <v>42895</v>
      </c>
      <c r="B1341" s="13" t="s">
        <v>1478</v>
      </c>
      <c r="C1341" s="13">
        <v>41</v>
      </c>
      <c r="D1341" s="13">
        <v>1127.3</v>
      </c>
      <c r="E1341" s="13" t="s">
        <v>71</v>
      </c>
      <c r="F1341" s="13">
        <v>1334</v>
      </c>
    </row>
    <row r="1342" spans="1:10" x14ac:dyDescent="0.25">
      <c r="A1342" s="16">
        <v>42895</v>
      </c>
      <c r="B1342" s="13" t="s">
        <v>1479</v>
      </c>
      <c r="C1342" s="13">
        <v>103</v>
      </c>
      <c r="D1342" s="13">
        <v>959.4</v>
      </c>
      <c r="E1342" s="13" t="s">
        <v>71</v>
      </c>
      <c r="F1342" s="13">
        <v>1335</v>
      </c>
    </row>
    <row r="1343" spans="1:10" x14ac:dyDescent="0.25">
      <c r="A1343" s="16">
        <v>42897</v>
      </c>
      <c r="B1343" s="13" t="s">
        <v>1480</v>
      </c>
      <c r="C1343" s="13">
        <v>201</v>
      </c>
      <c r="D1343" s="13">
        <v>479.65</v>
      </c>
      <c r="E1343" s="13" t="s">
        <v>71</v>
      </c>
      <c r="F1343" s="13">
        <v>1336</v>
      </c>
    </row>
    <row r="1344" spans="1:10" x14ac:dyDescent="0.25">
      <c r="A1344" s="16">
        <v>42897</v>
      </c>
      <c r="B1344" s="13" t="s">
        <v>1481</v>
      </c>
      <c r="C1344" s="13">
        <v>37</v>
      </c>
      <c r="D1344" s="13">
        <v>1053.8499999999999</v>
      </c>
      <c r="E1344" s="13" t="s">
        <v>71</v>
      </c>
      <c r="F1344" s="13">
        <v>1337</v>
      </c>
    </row>
    <row r="1345" spans="1:6" x14ac:dyDescent="0.25">
      <c r="A1345" s="16">
        <v>42896</v>
      </c>
      <c r="B1345" s="13" t="s">
        <v>1482</v>
      </c>
      <c r="C1345" s="13">
        <v>201</v>
      </c>
      <c r="D1345" s="13">
        <v>1129</v>
      </c>
      <c r="E1345" s="13" t="s">
        <v>71</v>
      </c>
      <c r="F1345" s="13">
        <v>1338</v>
      </c>
    </row>
    <row r="1346" spans="1:6" x14ac:dyDescent="0.25">
      <c r="A1346" s="16">
        <v>42896</v>
      </c>
      <c r="B1346" s="13" t="s">
        <v>1483</v>
      </c>
      <c r="C1346" s="13">
        <v>37</v>
      </c>
      <c r="D1346" s="13">
        <v>1333.48</v>
      </c>
      <c r="E1346" s="13" t="s">
        <v>71</v>
      </c>
      <c r="F1346" s="13">
        <v>1339</v>
      </c>
    </row>
    <row r="1347" spans="1:6" x14ac:dyDescent="0.25">
      <c r="A1347" s="16">
        <v>42895</v>
      </c>
      <c r="B1347" s="13" t="s">
        <v>1484</v>
      </c>
      <c r="C1347" s="13">
        <v>201</v>
      </c>
      <c r="D1347" s="13">
        <v>1164.0999999999999</v>
      </c>
      <c r="E1347" s="13" t="s">
        <v>71</v>
      </c>
      <c r="F1347" s="13">
        <v>1340</v>
      </c>
    </row>
    <row r="1348" spans="1:6" x14ac:dyDescent="0.25">
      <c r="A1348" s="16">
        <v>42895</v>
      </c>
      <c r="B1348" s="13" t="s">
        <v>1485</v>
      </c>
      <c r="C1348" s="13">
        <v>37</v>
      </c>
      <c r="D1348" s="13">
        <v>1333.7</v>
      </c>
      <c r="E1348" s="13" t="s">
        <v>71</v>
      </c>
      <c r="F1348" s="13">
        <v>1341</v>
      </c>
    </row>
    <row r="1349" spans="1:6" x14ac:dyDescent="0.25">
      <c r="A1349" s="16">
        <v>42899</v>
      </c>
      <c r="B1349" s="13" t="s">
        <v>1486</v>
      </c>
      <c r="C1349" s="13">
        <v>41</v>
      </c>
      <c r="D1349" s="13">
        <v>362.65</v>
      </c>
      <c r="E1349" s="13" t="s">
        <v>71</v>
      </c>
      <c r="F1349" s="13">
        <v>1344</v>
      </c>
    </row>
    <row r="1350" spans="1:6" x14ac:dyDescent="0.25">
      <c r="A1350" s="16">
        <v>42899</v>
      </c>
      <c r="B1350" s="13" t="s">
        <v>1487</v>
      </c>
      <c r="C1350" s="13">
        <v>103</v>
      </c>
      <c r="D1350" s="13">
        <v>748</v>
      </c>
      <c r="E1350" s="13" t="s">
        <v>71</v>
      </c>
      <c r="F1350" s="13">
        <v>1345</v>
      </c>
    </row>
    <row r="1351" spans="1:6" x14ac:dyDescent="0.25">
      <c r="A1351" s="16">
        <v>42899</v>
      </c>
      <c r="B1351" s="13" t="s">
        <v>1488</v>
      </c>
      <c r="C1351" s="13">
        <v>43</v>
      </c>
      <c r="D1351" s="13">
        <v>397.85</v>
      </c>
      <c r="E1351" s="13" t="s">
        <v>71</v>
      </c>
      <c r="F1351" s="13">
        <v>1346</v>
      </c>
    </row>
    <row r="1352" spans="1:6" x14ac:dyDescent="0.25">
      <c r="A1352" s="16">
        <v>42899</v>
      </c>
      <c r="B1352" s="13" t="s">
        <v>1489</v>
      </c>
      <c r="C1352" s="13">
        <v>35</v>
      </c>
      <c r="D1352" s="13">
        <v>604.29999999999995</v>
      </c>
      <c r="E1352" s="13" t="s">
        <v>71</v>
      </c>
      <c r="F1352" s="13">
        <v>1347</v>
      </c>
    </row>
    <row r="1353" spans="1:6" x14ac:dyDescent="0.25">
      <c r="A1353" s="16">
        <v>42899</v>
      </c>
      <c r="B1353" s="13" t="s">
        <v>1490</v>
      </c>
      <c r="C1353" s="13">
        <v>37</v>
      </c>
      <c r="D1353" s="13">
        <v>695.7</v>
      </c>
      <c r="E1353" s="13" t="s">
        <v>71</v>
      </c>
      <c r="F1353" s="13">
        <v>1348</v>
      </c>
    </row>
    <row r="1354" spans="1:6" x14ac:dyDescent="0.25">
      <c r="A1354" s="16">
        <v>42899</v>
      </c>
      <c r="B1354" s="13" t="s">
        <v>1491</v>
      </c>
      <c r="C1354" s="13">
        <v>201</v>
      </c>
      <c r="D1354" s="13">
        <v>799.65</v>
      </c>
      <c r="E1354" s="13" t="s">
        <v>71</v>
      </c>
      <c r="F1354" s="13">
        <v>1349</v>
      </c>
    </row>
    <row r="1355" spans="1:6" x14ac:dyDescent="0.25">
      <c r="A1355" s="16">
        <v>42900</v>
      </c>
      <c r="B1355" s="13" t="s">
        <v>1492</v>
      </c>
      <c r="C1355" s="13">
        <v>35</v>
      </c>
      <c r="D1355" s="13">
        <v>654.95000000000005</v>
      </c>
      <c r="E1355" s="13" t="s">
        <v>71</v>
      </c>
      <c r="F1355" s="13">
        <v>1350</v>
      </c>
    </row>
    <row r="1356" spans="1:6" x14ac:dyDescent="0.25">
      <c r="A1356" s="16">
        <v>42900</v>
      </c>
      <c r="B1356" s="13" t="s">
        <v>1493</v>
      </c>
      <c r="C1356" s="13">
        <v>44</v>
      </c>
      <c r="D1356" s="13">
        <v>946.7</v>
      </c>
      <c r="E1356" s="13" t="s">
        <v>71</v>
      </c>
      <c r="F1356" s="13">
        <v>1351</v>
      </c>
    </row>
    <row r="1357" spans="1:6" x14ac:dyDescent="0.25">
      <c r="A1357" s="16">
        <v>42900</v>
      </c>
      <c r="B1357" s="13" t="s">
        <v>1493</v>
      </c>
      <c r="C1357" s="13">
        <v>44</v>
      </c>
      <c r="D1357" s="15">
        <v>487.95</v>
      </c>
      <c r="E1357" s="13" t="s">
        <v>71</v>
      </c>
      <c r="F1357" s="13">
        <v>1357</v>
      </c>
    </row>
    <row r="1358" spans="1:6" x14ac:dyDescent="0.25">
      <c r="A1358" s="16">
        <v>42900</v>
      </c>
      <c r="B1358" s="13" t="s">
        <v>1493</v>
      </c>
      <c r="C1358" s="13">
        <v>44</v>
      </c>
      <c r="D1358" s="15">
        <v>458.75</v>
      </c>
      <c r="E1358" s="13" t="s">
        <v>71</v>
      </c>
      <c r="F1358" s="13">
        <v>1358</v>
      </c>
    </row>
    <row r="1359" spans="1:6" x14ac:dyDescent="0.25">
      <c r="A1359" s="16">
        <v>42900</v>
      </c>
      <c r="B1359" s="13" t="s">
        <v>1494</v>
      </c>
      <c r="C1359" s="13">
        <v>41</v>
      </c>
      <c r="D1359" s="13">
        <v>264.85000000000002</v>
      </c>
      <c r="E1359" s="13" t="s">
        <v>71</v>
      </c>
      <c r="F1359" s="13">
        <v>1352</v>
      </c>
    </row>
    <row r="1360" spans="1:6" x14ac:dyDescent="0.25">
      <c r="A1360" s="16">
        <v>42900</v>
      </c>
      <c r="B1360" s="13" t="s">
        <v>1495</v>
      </c>
      <c r="C1360" s="13">
        <v>103</v>
      </c>
      <c r="D1360" s="13">
        <v>304.55</v>
      </c>
      <c r="E1360" s="13" t="s">
        <v>71</v>
      </c>
      <c r="F1360" s="13">
        <v>1353</v>
      </c>
    </row>
    <row r="1361" spans="1:6" x14ac:dyDescent="0.25">
      <c r="A1361" s="16">
        <v>42900</v>
      </c>
      <c r="B1361" s="13" t="s">
        <v>1496</v>
      </c>
      <c r="C1361" s="13">
        <v>43</v>
      </c>
      <c r="D1361" s="13">
        <v>139.80000000000001</v>
      </c>
      <c r="E1361" s="13" t="s">
        <v>71</v>
      </c>
      <c r="F1361" s="13">
        <v>1354</v>
      </c>
    </row>
    <row r="1362" spans="1:6" x14ac:dyDescent="0.25">
      <c r="A1362" s="16">
        <v>42900</v>
      </c>
      <c r="B1362" s="13" t="s">
        <v>1497</v>
      </c>
      <c r="C1362" s="13">
        <v>37</v>
      </c>
      <c r="D1362" s="13">
        <v>726.35</v>
      </c>
      <c r="E1362" s="13" t="s">
        <v>71</v>
      </c>
      <c r="F1362" s="13">
        <v>1355</v>
      </c>
    </row>
    <row r="1363" spans="1:6" x14ac:dyDescent="0.25">
      <c r="A1363" s="16">
        <v>42900</v>
      </c>
      <c r="B1363" s="13" t="s">
        <v>1498</v>
      </c>
      <c r="C1363" s="13">
        <v>201</v>
      </c>
      <c r="D1363" s="13">
        <v>499.35</v>
      </c>
      <c r="E1363" s="13" t="s">
        <v>71</v>
      </c>
      <c r="F1363" s="13">
        <v>1356</v>
      </c>
    </row>
    <row r="1364" spans="1:6" x14ac:dyDescent="0.25">
      <c r="A1364" s="16">
        <v>42904</v>
      </c>
      <c r="B1364" s="13" t="s">
        <v>1499</v>
      </c>
      <c r="C1364" s="13">
        <v>41</v>
      </c>
      <c r="D1364" s="13">
        <v>469.75</v>
      </c>
      <c r="E1364" s="13" t="s">
        <v>71</v>
      </c>
      <c r="F1364" s="13">
        <v>1359</v>
      </c>
    </row>
    <row r="1365" spans="1:6" x14ac:dyDescent="0.25">
      <c r="A1365" s="16">
        <v>42904</v>
      </c>
      <c r="B1365" s="13" t="s">
        <v>1500</v>
      </c>
      <c r="C1365" s="13">
        <v>35</v>
      </c>
      <c r="D1365" s="13">
        <v>1080.9000000000001</v>
      </c>
      <c r="E1365" s="13" t="s">
        <v>71</v>
      </c>
      <c r="F1365" s="13">
        <v>1360</v>
      </c>
    </row>
    <row r="1366" spans="1:6" x14ac:dyDescent="0.25">
      <c r="A1366" s="16">
        <v>42904</v>
      </c>
      <c r="B1366" s="13" t="s">
        <v>1501</v>
      </c>
      <c r="C1366" s="13">
        <v>44</v>
      </c>
      <c r="D1366" s="13">
        <v>267.64999999999998</v>
      </c>
      <c r="E1366" s="13" t="s">
        <v>71</v>
      </c>
      <c r="F1366" s="13">
        <v>1361</v>
      </c>
    </row>
    <row r="1367" spans="1:6" x14ac:dyDescent="0.25">
      <c r="A1367" s="16">
        <v>42904</v>
      </c>
      <c r="B1367" s="13" t="s">
        <v>1502</v>
      </c>
      <c r="C1367" s="13">
        <v>103</v>
      </c>
      <c r="D1367" s="13">
        <v>419.6</v>
      </c>
      <c r="E1367" s="13" t="s">
        <v>71</v>
      </c>
      <c r="F1367" s="13">
        <v>1362</v>
      </c>
    </row>
    <row r="1368" spans="1:6" x14ac:dyDescent="0.25">
      <c r="A1368" s="16">
        <v>42904</v>
      </c>
      <c r="B1368" s="13" t="s">
        <v>1503</v>
      </c>
      <c r="C1368" s="13">
        <v>43</v>
      </c>
      <c r="D1368" s="13">
        <v>420.45</v>
      </c>
      <c r="E1368" s="13" t="s">
        <v>71</v>
      </c>
      <c r="F1368" s="13">
        <v>1363</v>
      </c>
    </row>
    <row r="1369" spans="1:6" x14ac:dyDescent="0.25">
      <c r="A1369" s="16">
        <v>42903</v>
      </c>
      <c r="B1369" s="13" t="s">
        <v>1504</v>
      </c>
      <c r="C1369" s="13">
        <v>35</v>
      </c>
      <c r="D1369" s="13">
        <v>1477.65</v>
      </c>
      <c r="E1369" s="13" t="s">
        <v>71</v>
      </c>
      <c r="F1369" s="13">
        <v>1364</v>
      </c>
    </row>
    <row r="1370" spans="1:6" x14ac:dyDescent="0.25">
      <c r="A1370" s="16">
        <v>42903</v>
      </c>
      <c r="B1370" s="13" t="s">
        <v>1505</v>
      </c>
      <c r="C1370" s="13">
        <v>103</v>
      </c>
      <c r="D1370" s="13">
        <v>1102.7</v>
      </c>
      <c r="E1370" s="13" t="s">
        <v>71</v>
      </c>
      <c r="F1370" s="13">
        <v>1365</v>
      </c>
    </row>
    <row r="1371" spans="1:6" x14ac:dyDescent="0.25">
      <c r="A1371" s="16">
        <v>42903</v>
      </c>
      <c r="B1371" s="13" t="s">
        <v>1506</v>
      </c>
      <c r="C1371" s="13">
        <v>43</v>
      </c>
      <c r="D1371" s="13">
        <v>280.60000000000002</v>
      </c>
      <c r="E1371" s="13" t="s">
        <v>71</v>
      </c>
      <c r="F1371" s="13">
        <v>1366</v>
      </c>
    </row>
    <row r="1372" spans="1:6" x14ac:dyDescent="0.25">
      <c r="A1372" s="16">
        <v>42903</v>
      </c>
      <c r="B1372" s="13" t="s">
        <v>1507</v>
      </c>
      <c r="C1372" s="13">
        <v>41</v>
      </c>
      <c r="D1372" s="13">
        <v>337.6</v>
      </c>
      <c r="E1372" s="13" t="s">
        <v>71</v>
      </c>
      <c r="F1372" s="13">
        <v>1367</v>
      </c>
    </row>
    <row r="1373" spans="1:6" x14ac:dyDescent="0.25">
      <c r="A1373" s="16">
        <v>42903</v>
      </c>
      <c r="B1373" s="13" t="s">
        <v>1508</v>
      </c>
      <c r="C1373" s="13">
        <v>44</v>
      </c>
      <c r="D1373" s="13">
        <v>744.1</v>
      </c>
      <c r="E1373" s="13" t="s">
        <v>71</v>
      </c>
      <c r="F1373" s="13">
        <v>1368</v>
      </c>
    </row>
    <row r="1374" spans="1:6" x14ac:dyDescent="0.25">
      <c r="A1374" s="16">
        <v>42902</v>
      </c>
      <c r="B1374" s="13" t="s">
        <v>1509</v>
      </c>
      <c r="C1374" s="13">
        <v>41</v>
      </c>
      <c r="D1374" s="13">
        <v>364.62</v>
      </c>
      <c r="E1374" s="13" t="s">
        <v>71</v>
      </c>
      <c r="F1374" s="13">
        <v>1369</v>
      </c>
    </row>
    <row r="1375" spans="1:6" x14ac:dyDescent="0.25">
      <c r="A1375" s="16">
        <v>42902</v>
      </c>
      <c r="B1375" s="13" t="s">
        <v>1510</v>
      </c>
      <c r="C1375" s="13">
        <v>43</v>
      </c>
      <c r="D1375" s="13">
        <v>587.5</v>
      </c>
      <c r="E1375" s="13" t="s">
        <v>71</v>
      </c>
      <c r="F1375" s="13">
        <v>1370</v>
      </c>
    </row>
    <row r="1376" spans="1:6" x14ac:dyDescent="0.25">
      <c r="A1376" s="16">
        <v>42902</v>
      </c>
      <c r="B1376" s="13" t="s">
        <v>1511</v>
      </c>
      <c r="C1376" s="13">
        <v>35</v>
      </c>
      <c r="D1376" s="13">
        <v>876.85</v>
      </c>
      <c r="E1376" s="13" t="s">
        <v>71</v>
      </c>
      <c r="F1376" s="13">
        <v>1371</v>
      </c>
    </row>
    <row r="1377" spans="1:16" x14ac:dyDescent="0.25">
      <c r="A1377" s="16">
        <v>42902</v>
      </c>
      <c r="B1377" s="13" t="s">
        <v>1512</v>
      </c>
      <c r="C1377" s="13">
        <v>44</v>
      </c>
      <c r="D1377" s="13">
        <v>697.1</v>
      </c>
      <c r="E1377" s="13" t="s">
        <v>71</v>
      </c>
      <c r="F1377" s="13">
        <v>1372</v>
      </c>
    </row>
    <row r="1378" spans="1:16" x14ac:dyDescent="0.25">
      <c r="A1378" s="16">
        <v>42902</v>
      </c>
      <c r="B1378" s="13" t="s">
        <v>1512</v>
      </c>
      <c r="C1378" s="13">
        <v>44</v>
      </c>
      <c r="D1378" s="15">
        <v>427.4</v>
      </c>
      <c r="E1378" s="13" t="s">
        <v>71</v>
      </c>
      <c r="F1378" s="13">
        <v>1386</v>
      </c>
    </row>
    <row r="1379" spans="1:16" x14ac:dyDescent="0.25">
      <c r="A1379" s="16">
        <v>42902</v>
      </c>
      <c r="B1379" s="13" t="s">
        <v>1512</v>
      </c>
      <c r="C1379" s="13">
        <v>44</v>
      </c>
      <c r="D1379" s="15">
        <v>269.7</v>
      </c>
      <c r="E1379" s="13" t="s">
        <v>71</v>
      </c>
      <c r="F1379" s="13">
        <v>1387</v>
      </c>
    </row>
    <row r="1380" spans="1:16" x14ac:dyDescent="0.25">
      <c r="A1380" s="16">
        <v>42902</v>
      </c>
      <c r="B1380" s="13" t="s">
        <v>1513</v>
      </c>
      <c r="C1380" s="13">
        <v>103</v>
      </c>
      <c r="D1380" s="13">
        <v>642.29999999999995</v>
      </c>
      <c r="E1380" s="13" t="s">
        <v>71</v>
      </c>
      <c r="F1380" s="13">
        <v>1373</v>
      </c>
      <c r="P1380" s="5"/>
    </row>
    <row r="1381" spans="1:16" x14ac:dyDescent="0.25">
      <c r="A1381" s="16">
        <v>42901</v>
      </c>
      <c r="B1381" s="13" t="s">
        <v>1514</v>
      </c>
      <c r="C1381" s="13">
        <v>103</v>
      </c>
      <c r="D1381" s="13">
        <v>1171.8499999999999</v>
      </c>
      <c r="E1381" s="13" t="s">
        <v>71</v>
      </c>
      <c r="F1381" s="13">
        <v>1374</v>
      </c>
    </row>
    <row r="1382" spans="1:16" x14ac:dyDescent="0.25">
      <c r="A1382" s="16">
        <v>42901</v>
      </c>
      <c r="B1382" s="13" t="s">
        <v>1515</v>
      </c>
      <c r="C1382" s="13">
        <v>43</v>
      </c>
      <c r="D1382" s="13">
        <v>752.6</v>
      </c>
      <c r="E1382" s="13" t="s">
        <v>71</v>
      </c>
      <c r="F1382" s="13">
        <v>1375</v>
      </c>
    </row>
    <row r="1383" spans="1:16" x14ac:dyDescent="0.25">
      <c r="A1383" s="16">
        <v>42901</v>
      </c>
      <c r="B1383" s="13" t="s">
        <v>1516</v>
      </c>
      <c r="C1383" s="13">
        <v>35</v>
      </c>
      <c r="D1383" s="13">
        <v>1827.1</v>
      </c>
      <c r="E1383" s="13" t="s">
        <v>71</v>
      </c>
      <c r="F1383" s="13">
        <v>1376</v>
      </c>
    </row>
    <row r="1384" spans="1:16" x14ac:dyDescent="0.25">
      <c r="A1384" s="16">
        <v>42901</v>
      </c>
      <c r="B1384" s="13" t="s">
        <v>1517</v>
      </c>
      <c r="C1384" s="13">
        <v>41</v>
      </c>
      <c r="D1384" s="13">
        <v>934.9</v>
      </c>
      <c r="E1384" s="13" t="s">
        <v>71</v>
      </c>
      <c r="F1384" s="13">
        <v>1377</v>
      </c>
    </row>
    <row r="1385" spans="1:16" x14ac:dyDescent="0.25">
      <c r="A1385" s="16">
        <v>42904</v>
      </c>
      <c r="B1385" s="13" t="s">
        <v>1518</v>
      </c>
      <c r="C1385" s="13">
        <v>201</v>
      </c>
      <c r="D1385" s="13">
        <v>570</v>
      </c>
      <c r="E1385" s="13" t="s">
        <v>71</v>
      </c>
      <c r="F1385" s="13">
        <v>1378</v>
      </c>
    </row>
    <row r="1386" spans="1:16" x14ac:dyDescent="0.25">
      <c r="A1386" s="16">
        <v>42904</v>
      </c>
      <c r="B1386" s="13" t="s">
        <v>1519</v>
      </c>
      <c r="C1386" s="13">
        <v>37</v>
      </c>
      <c r="D1386" s="13">
        <v>734.13</v>
      </c>
      <c r="E1386" s="13" t="s">
        <v>71</v>
      </c>
      <c r="F1386" s="13">
        <v>1379</v>
      </c>
      <c r="L1386" s="5"/>
    </row>
    <row r="1387" spans="1:16" x14ac:dyDescent="0.25">
      <c r="A1387" s="16">
        <v>42903</v>
      </c>
      <c r="B1387" s="13" t="s">
        <v>1520</v>
      </c>
      <c r="C1387" s="13">
        <v>37</v>
      </c>
      <c r="D1387" s="13">
        <v>1487.06</v>
      </c>
      <c r="E1387" s="13" t="s">
        <v>71</v>
      </c>
      <c r="F1387" s="13">
        <v>1380</v>
      </c>
      <c r="L1387" s="5"/>
    </row>
    <row r="1388" spans="1:16" x14ac:dyDescent="0.25">
      <c r="A1388" s="16">
        <v>42903</v>
      </c>
      <c r="B1388" s="13" t="s">
        <v>1521</v>
      </c>
      <c r="C1388" s="13">
        <v>201</v>
      </c>
      <c r="D1388" s="13">
        <v>769.35</v>
      </c>
      <c r="E1388" s="13" t="s">
        <v>71</v>
      </c>
      <c r="F1388" s="13">
        <v>1381</v>
      </c>
    </row>
    <row r="1389" spans="1:16" x14ac:dyDescent="0.25">
      <c r="A1389" s="16">
        <v>42902</v>
      </c>
      <c r="B1389" s="13" t="s">
        <v>1522</v>
      </c>
      <c r="C1389" s="13">
        <v>37</v>
      </c>
      <c r="D1389" s="13">
        <v>822.3</v>
      </c>
      <c r="E1389" s="13" t="s">
        <v>71</v>
      </c>
      <c r="F1389" s="13">
        <v>1382</v>
      </c>
    </row>
    <row r="1390" spans="1:16" x14ac:dyDescent="0.25">
      <c r="A1390" s="16">
        <v>42902</v>
      </c>
      <c r="B1390" s="13" t="s">
        <v>1523</v>
      </c>
      <c r="C1390" s="13">
        <v>201</v>
      </c>
      <c r="D1390" s="13">
        <v>579.6</v>
      </c>
      <c r="E1390" s="13" t="s">
        <v>71</v>
      </c>
      <c r="F1390" s="13">
        <v>1383</v>
      </c>
    </row>
    <row r="1391" spans="1:16" x14ac:dyDescent="0.25">
      <c r="A1391" s="16">
        <v>42901</v>
      </c>
      <c r="B1391" s="13" t="s">
        <v>1524</v>
      </c>
      <c r="C1391" s="13">
        <v>201</v>
      </c>
      <c r="D1391" s="13">
        <v>885.39</v>
      </c>
      <c r="E1391" s="13" t="s">
        <v>71</v>
      </c>
      <c r="F1391" s="13">
        <v>1384</v>
      </c>
    </row>
    <row r="1392" spans="1:16" x14ac:dyDescent="0.25">
      <c r="A1392" s="16">
        <v>42901</v>
      </c>
      <c r="B1392" s="13" t="s">
        <v>1525</v>
      </c>
      <c r="C1392" s="13">
        <v>37</v>
      </c>
      <c r="D1392" s="13">
        <v>1020.85</v>
      </c>
      <c r="E1392" s="13" t="s">
        <v>71</v>
      </c>
      <c r="F1392" s="13">
        <v>1385</v>
      </c>
    </row>
    <row r="1393" spans="1:6" x14ac:dyDescent="0.25">
      <c r="A1393" s="16">
        <v>42905</v>
      </c>
      <c r="B1393" s="13" t="s">
        <v>1526</v>
      </c>
      <c r="C1393" s="13">
        <v>35</v>
      </c>
      <c r="D1393" s="13">
        <v>749.3</v>
      </c>
      <c r="E1393" s="13" t="s">
        <v>71</v>
      </c>
      <c r="F1393" s="13">
        <v>1388</v>
      </c>
    </row>
    <row r="1394" spans="1:6" x14ac:dyDescent="0.25">
      <c r="A1394" s="16">
        <v>42905</v>
      </c>
      <c r="B1394" s="13" t="s">
        <v>1527</v>
      </c>
      <c r="C1394" s="13">
        <v>43</v>
      </c>
      <c r="D1394" s="13">
        <v>288.75</v>
      </c>
      <c r="E1394" s="13" t="s">
        <v>71</v>
      </c>
      <c r="F1394" s="13">
        <v>1389</v>
      </c>
    </row>
    <row r="1395" spans="1:6" x14ac:dyDescent="0.25">
      <c r="A1395" s="16">
        <v>42905</v>
      </c>
      <c r="B1395" s="13" t="s">
        <v>1528</v>
      </c>
      <c r="C1395" s="13">
        <v>44</v>
      </c>
      <c r="D1395" s="13">
        <v>385.35</v>
      </c>
      <c r="E1395" s="13" t="s">
        <v>71</v>
      </c>
      <c r="F1395" s="13">
        <v>1390</v>
      </c>
    </row>
    <row r="1396" spans="1:6" x14ac:dyDescent="0.25">
      <c r="A1396" s="16">
        <v>42905</v>
      </c>
      <c r="B1396" s="13" t="s">
        <v>1529</v>
      </c>
      <c r="C1396" s="13">
        <v>103</v>
      </c>
      <c r="D1396" s="13">
        <v>616.29999999999995</v>
      </c>
      <c r="E1396" s="13" t="s">
        <v>71</v>
      </c>
      <c r="F1396" s="13">
        <v>1391</v>
      </c>
    </row>
    <row r="1397" spans="1:6" x14ac:dyDescent="0.25">
      <c r="A1397" s="16">
        <v>42905</v>
      </c>
      <c r="B1397" s="13" t="s">
        <v>1530</v>
      </c>
      <c r="C1397" s="13">
        <v>41</v>
      </c>
      <c r="D1397" s="13">
        <v>425.4</v>
      </c>
      <c r="E1397" s="13" t="s">
        <v>71</v>
      </c>
      <c r="F1397" s="13">
        <v>1392</v>
      </c>
    </row>
    <row r="1398" spans="1:6" x14ac:dyDescent="0.25">
      <c r="A1398" s="16">
        <v>42905</v>
      </c>
      <c r="B1398" s="13" t="s">
        <v>1533</v>
      </c>
      <c r="C1398" s="13">
        <v>37</v>
      </c>
      <c r="D1398" s="13">
        <v>614.6</v>
      </c>
      <c r="E1398" s="13" t="s">
        <v>71</v>
      </c>
      <c r="F1398" s="13">
        <v>1393</v>
      </c>
    </row>
    <row r="1399" spans="1:6" x14ac:dyDescent="0.25">
      <c r="A1399" s="16">
        <v>42905</v>
      </c>
      <c r="B1399" s="13" t="s">
        <v>1534</v>
      </c>
      <c r="C1399" s="13">
        <v>201</v>
      </c>
      <c r="D1399" s="13">
        <v>389.65</v>
      </c>
      <c r="E1399" s="13" t="s">
        <v>71</v>
      </c>
      <c r="F1399" s="13">
        <v>1394</v>
      </c>
    </row>
    <row r="1400" spans="1:6" x14ac:dyDescent="0.25">
      <c r="A1400" s="16">
        <v>42906</v>
      </c>
      <c r="B1400" s="13" t="s">
        <v>1537</v>
      </c>
      <c r="C1400" s="13">
        <v>35</v>
      </c>
      <c r="D1400" s="13">
        <v>537.70000000000005</v>
      </c>
      <c r="E1400" s="13" t="s">
        <v>71</v>
      </c>
      <c r="F1400" s="13">
        <v>1395</v>
      </c>
    </row>
    <row r="1401" spans="1:6" x14ac:dyDescent="0.25">
      <c r="A1401" s="16">
        <v>42906</v>
      </c>
      <c r="B1401" s="13" t="s">
        <v>1538</v>
      </c>
      <c r="C1401" s="13">
        <v>103</v>
      </c>
      <c r="D1401" s="13">
        <v>598.54999999999995</v>
      </c>
      <c r="E1401" s="13" t="s">
        <v>71</v>
      </c>
      <c r="F1401" s="13">
        <v>1396</v>
      </c>
    </row>
    <row r="1402" spans="1:6" x14ac:dyDescent="0.25">
      <c r="A1402" s="16">
        <v>42906</v>
      </c>
      <c r="B1402" s="13" t="s">
        <v>1539</v>
      </c>
      <c r="C1402" s="13">
        <v>43</v>
      </c>
      <c r="D1402" s="13">
        <v>287.60000000000002</v>
      </c>
      <c r="E1402" s="13" t="s">
        <v>71</v>
      </c>
      <c r="F1402" s="13">
        <v>1397</v>
      </c>
    </row>
    <row r="1403" spans="1:6" x14ac:dyDescent="0.25">
      <c r="A1403" s="16">
        <v>42906</v>
      </c>
      <c r="B1403" s="13" t="s">
        <v>1540</v>
      </c>
      <c r="C1403" s="13">
        <v>41</v>
      </c>
      <c r="D1403" s="13">
        <v>377.55</v>
      </c>
      <c r="E1403" s="13" t="s">
        <v>71</v>
      </c>
      <c r="F1403" s="13">
        <v>1398</v>
      </c>
    </row>
    <row r="1404" spans="1:6" x14ac:dyDescent="0.25">
      <c r="A1404" s="16">
        <v>42906</v>
      </c>
      <c r="B1404" s="13" t="s">
        <v>1541</v>
      </c>
      <c r="C1404" s="13">
        <v>201</v>
      </c>
      <c r="D1404" s="13">
        <v>432.6</v>
      </c>
      <c r="E1404" s="13" t="s">
        <v>71</v>
      </c>
      <c r="F1404" s="13">
        <v>1399</v>
      </c>
    </row>
    <row r="1405" spans="1:6" x14ac:dyDescent="0.25">
      <c r="A1405" s="16">
        <v>42906</v>
      </c>
      <c r="B1405" s="13" t="s">
        <v>1542</v>
      </c>
      <c r="C1405" s="13">
        <v>37</v>
      </c>
      <c r="D1405" s="13">
        <v>671.63</v>
      </c>
      <c r="E1405" s="13" t="s">
        <v>71</v>
      </c>
      <c r="F1405" s="13">
        <v>1400</v>
      </c>
    </row>
    <row r="1406" spans="1:6" x14ac:dyDescent="0.25">
      <c r="A1406" s="16">
        <v>42907</v>
      </c>
      <c r="B1406" s="13" t="s">
        <v>1543</v>
      </c>
      <c r="C1406" s="13">
        <v>35</v>
      </c>
      <c r="D1406" s="13">
        <v>1072.0999999999999</v>
      </c>
      <c r="E1406" s="13" t="s">
        <v>71</v>
      </c>
      <c r="F1406" s="13">
        <v>1401</v>
      </c>
    </row>
    <row r="1407" spans="1:6" x14ac:dyDescent="0.25">
      <c r="A1407" s="16">
        <v>42907</v>
      </c>
      <c r="B1407" s="13" t="s">
        <v>1544</v>
      </c>
      <c r="C1407" s="13">
        <v>41</v>
      </c>
      <c r="D1407" s="13">
        <v>343.7</v>
      </c>
      <c r="E1407" s="13" t="s">
        <v>71</v>
      </c>
      <c r="F1407" s="13">
        <v>1402</v>
      </c>
    </row>
    <row r="1408" spans="1:6" x14ac:dyDescent="0.25">
      <c r="A1408" s="16">
        <v>42907</v>
      </c>
      <c r="B1408" s="13" t="s">
        <v>1545</v>
      </c>
      <c r="C1408" s="13">
        <v>44</v>
      </c>
      <c r="D1408" s="13">
        <v>405.6</v>
      </c>
      <c r="E1408" s="13" t="s">
        <v>71</v>
      </c>
      <c r="F1408" s="13">
        <v>1403</v>
      </c>
    </row>
    <row r="1409" spans="1:6" x14ac:dyDescent="0.25">
      <c r="A1409" s="16">
        <v>42907</v>
      </c>
      <c r="B1409" s="13" t="s">
        <v>1546</v>
      </c>
      <c r="C1409" s="13">
        <v>43</v>
      </c>
      <c r="D1409" s="13">
        <v>293.5</v>
      </c>
      <c r="E1409" s="13" t="s">
        <v>71</v>
      </c>
      <c r="F1409" s="13">
        <v>1404</v>
      </c>
    </row>
    <row r="1410" spans="1:6" x14ac:dyDescent="0.25">
      <c r="A1410" s="16">
        <v>42907</v>
      </c>
      <c r="B1410" s="13" t="s">
        <v>1547</v>
      </c>
      <c r="C1410" s="13">
        <v>103</v>
      </c>
      <c r="D1410" s="13">
        <v>485.5</v>
      </c>
      <c r="E1410" s="13" t="s">
        <v>71</v>
      </c>
      <c r="F1410" s="13">
        <v>1405</v>
      </c>
    </row>
    <row r="1411" spans="1:6" x14ac:dyDescent="0.25">
      <c r="A1411" s="16">
        <v>42907</v>
      </c>
      <c r="B1411" s="13" t="s">
        <v>1548</v>
      </c>
      <c r="C1411" s="13">
        <v>37</v>
      </c>
      <c r="D1411" s="13">
        <v>649.04999999999995</v>
      </c>
      <c r="E1411" s="13" t="s">
        <v>71</v>
      </c>
      <c r="F1411" s="13">
        <v>1406</v>
      </c>
    </row>
    <row r="1412" spans="1:6" x14ac:dyDescent="0.25">
      <c r="A1412" s="16">
        <v>42907</v>
      </c>
      <c r="B1412" s="13" t="s">
        <v>1549</v>
      </c>
      <c r="C1412" s="13">
        <v>201</v>
      </c>
      <c r="D1412" s="13">
        <v>304.89</v>
      </c>
      <c r="E1412" s="13" t="s">
        <v>71</v>
      </c>
      <c r="F1412" s="13">
        <v>1407</v>
      </c>
    </row>
    <row r="1413" spans="1:6" x14ac:dyDescent="0.25">
      <c r="A1413" s="16">
        <v>42908</v>
      </c>
      <c r="B1413" s="13" t="s">
        <v>1550</v>
      </c>
      <c r="C1413" s="13">
        <v>43</v>
      </c>
      <c r="D1413" s="13">
        <v>643.45000000000005</v>
      </c>
      <c r="E1413" s="13" t="s">
        <v>71</v>
      </c>
      <c r="F1413" s="13">
        <v>1408</v>
      </c>
    </row>
    <row r="1414" spans="1:6" x14ac:dyDescent="0.25">
      <c r="A1414" s="16">
        <v>42908</v>
      </c>
      <c r="B1414" s="13" t="s">
        <v>1551</v>
      </c>
      <c r="C1414" s="13">
        <v>103</v>
      </c>
      <c r="D1414" s="13">
        <v>1117.9000000000001</v>
      </c>
      <c r="E1414" s="13" t="s">
        <v>71</v>
      </c>
      <c r="F1414" s="13">
        <v>1409</v>
      </c>
    </row>
    <row r="1415" spans="1:6" x14ac:dyDescent="0.25">
      <c r="A1415" s="16">
        <v>42908</v>
      </c>
      <c r="B1415" s="13" t="s">
        <v>1552</v>
      </c>
      <c r="C1415" s="13">
        <v>41</v>
      </c>
      <c r="D1415" s="13">
        <v>912.05</v>
      </c>
      <c r="E1415" s="13" t="s">
        <v>71</v>
      </c>
      <c r="F1415" s="13">
        <v>1410</v>
      </c>
    </row>
    <row r="1416" spans="1:6" x14ac:dyDescent="0.25">
      <c r="A1416" s="16">
        <v>42908</v>
      </c>
      <c r="B1416" s="13" t="s">
        <v>1553</v>
      </c>
      <c r="C1416" s="13">
        <v>44</v>
      </c>
      <c r="D1416" s="13">
        <v>546.1</v>
      </c>
      <c r="E1416" s="13" t="s">
        <v>71</v>
      </c>
      <c r="F1416" s="13">
        <v>1411</v>
      </c>
    </row>
    <row r="1417" spans="1:6" x14ac:dyDescent="0.25">
      <c r="A1417" s="16">
        <v>42908</v>
      </c>
      <c r="B1417" s="13" t="s">
        <v>1554</v>
      </c>
      <c r="C1417" s="13">
        <v>35</v>
      </c>
      <c r="D1417" s="13">
        <v>1527.45</v>
      </c>
      <c r="E1417" s="13" t="s">
        <v>71</v>
      </c>
      <c r="F1417" s="13">
        <v>1412</v>
      </c>
    </row>
    <row r="1418" spans="1:6" x14ac:dyDescent="0.25">
      <c r="A1418" s="16">
        <v>42908</v>
      </c>
      <c r="B1418" s="13" t="s">
        <v>1555</v>
      </c>
      <c r="C1418" s="13">
        <v>37</v>
      </c>
      <c r="D1418" s="13">
        <v>850.14</v>
      </c>
      <c r="E1418" s="13" t="s">
        <v>71</v>
      </c>
      <c r="F1418" s="13">
        <v>1413</v>
      </c>
    </row>
    <row r="1419" spans="1:6" x14ac:dyDescent="0.25">
      <c r="A1419" s="16">
        <v>42908</v>
      </c>
      <c r="B1419" s="13" t="s">
        <v>1556</v>
      </c>
      <c r="C1419" s="13">
        <v>201</v>
      </c>
      <c r="D1419" s="13">
        <v>427.55</v>
      </c>
      <c r="E1419" s="13" t="s">
        <v>71</v>
      </c>
      <c r="F1419" s="13">
        <v>1414</v>
      </c>
    </row>
    <row r="1420" spans="1:6" x14ac:dyDescent="0.25">
      <c r="A1420" s="16">
        <v>42911</v>
      </c>
      <c r="B1420" s="13" t="s">
        <v>1557</v>
      </c>
      <c r="C1420" s="13">
        <v>103</v>
      </c>
      <c r="D1420" s="13">
        <v>421.35</v>
      </c>
      <c r="E1420" s="13" t="s">
        <v>71</v>
      </c>
      <c r="F1420" s="13">
        <v>1415</v>
      </c>
    </row>
    <row r="1421" spans="1:6" x14ac:dyDescent="0.25">
      <c r="A1421" s="16">
        <v>42911</v>
      </c>
      <c r="B1421" s="13" t="s">
        <v>1558</v>
      </c>
      <c r="C1421" s="13">
        <v>43</v>
      </c>
      <c r="D1421" s="13">
        <v>370.5</v>
      </c>
      <c r="E1421" s="13" t="s">
        <v>71</v>
      </c>
      <c r="F1421" s="13">
        <v>1416</v>
      </c>
    </row>
    <row r="1422" spans="1:6" x14ac:dyDescent="0.25">
      <c r="A1422" s="16">
        <v>42911</v>
      </c>
      <c r="B1422" s="13" t="s">
        <v>1559</v>
      </c>
      <c r="C1422" s="13">
        <v>35</v>
      </c>
      <c r="D1422" s="13">
        <v>937.95</v>
      </c>
      <c r="E1422" s="13" t="s">
        <v>71</v>
      </c>
      <c r="F1422" s="13">
        <v>1417</v>
      </c>
    </row>
    <row r="1423" spans="1:6" x14ac:dyDescent="0.25">
      <c r="A1423" s="16">
        <v>42911</v>
      </c>
      <c r="B1423" s="13" t="s">
        <v>1560</v>
      </c>
      <c r="C1423" s="13">
        <v>44</v>
      </c>
      <c r="D1423" s="13">
        <v>350.35</v>
      </c>
      <c r="E1423" s="13" t="s">
        <v>71</v>
      </c>
      <c r="F1423" s="13">
        <v>1418</v>
      </c>
    </row>
    <row r="1424" spans="1:6" x14ac:dyDescent="0.25">
      <c r="A1424" s="16">
        <v>42911</v>
      </c>
      <c r="B1424" s="13" t="s">
        <v>1561</v>
      </c>
      <c r="C1424" s="13">
        <v>41</v>
      </c>
      <c r="D1424" s="13">
        <v>265.75</v>
      </c>
      <c r="E1424" s="13" t="s">
        <v>71</v>
      </c>
      <c r="F1424" s="13">
        <v>1419</v>
      </c>
    </row>
    <row r="1425" spans="1:14" x14ac:dyDescent="0.25">
      <c r="A1425" s="16">
        <v>42910</v>
      </c>
      <c r="B1425" s="13" t="s">
        <v>1562</v>
      </c>
      <c r="C1425" s="13">
        <v>44</v>
      </c>
      <c r="D1425" s="13">
        <v>1267.5999999999999</v>
      </c>
      <c r="E1425" s="13" t="s">
        <v>71</v>
      </c>
      <c r="F1425" s="13">
        <v>1420</v>
      </c>
    </row>
    <row r="1426" spans="1:14" x14ac:dyDescent="0.25">
      <c r="A1426" s="16">
        <v>42909</v>
      </c>
      <c r="B1426" s="13" t="s">
        <v>1562</v>
      </c>
      <c r="C1426" s="13">
        <v>44</v>
      </c>
      <c r="D1426" s="13">
        <v>549.20000000000005</v>
      </c>
      <c r="E1426" s="13" t="s">
        <v>71</v>
      </c>
      <c r="F1426" s="13">
        <v>1436</v>
      </c>
    </row>
    <row r="1427" spans="1:14" x14ac:dyDescent="0.25">
      <c r="A1427" s="16">
        <v>42910</v>
      </c>
      <c r="B1427" s="13" t="s">
        <v>1562</v>
      </c>
      <c r="C1427" s="13">
        <v>44</v>
      </c>
      <c r="D1427" s="13">
        <v>718.4</v>
      </c>
      <c r="E1427" s="13" t="s">
        <v>71</v>
      </c>
      <c r="F1427" s="13">
        <v>1437</v>
      </c>
    </row>
    <row r="1428" spans="1:14" x14ac:dyDescent="0.25">
      <c r="A1428" s="16">
        <v>42910</v>
      </c>
      <c r="B1428" s="13" t="s">
        <v>1563</v>
      </c>
      <c r="C1428" s="13">
        <v>43</v>
      </c>
      <c r="D1428" s="13">
        <v>433.15</v>
      </c>
      <c r="E1428" s="13" t="s">
        <v>71</v>
      </c>
      <c r="F1428" s="13">
        <v>1421</v>
      </c>
    </row>
    <row r="1429" spans="1:14" x14ac:dyDescent="0.25">
      <c r="A1429" s="16">
        <v>42910</v>
      </c>
      <c r="B1429" s="13" t="s">
        <v>1564</v>
      </c>
      <c r="C1429" s="13">
        <v>103</v>
      </c>
      <c r="D1429" s="13">
        <v>873.15</v>
      </c>
      <c r="E1429" s="13" t="s">
        <v>71</v>
      </c>
      <c r="F1429" s="13">
        <v>1422</v>
      </c>
    </row>
    <row r="1430" spans="1:14" x14ac:dyDescent="0.25">
      <c r="A1430" s="16">
        <v>42910</v>
      </c>
      <c r="B1430" s="13" t="s">
        <v>1565</v>
      </c>
      <c r="C1430" s="13">
        <v>41</v>
      </c>
      <c r="D1430" s="13">
        <v>556.59</v>
      </c>
      <c r="E1430" s="13" t="s">
        <v>71</v>
      </c>
      <c r="F1430" s="13">
        <v>1423</v>
      </c>
    </row>
    <row r="1431" spans="1:14" x14ac:dyDescent="0.25">
      <c r="A1431" s="16">
        <v>42910</v>
      </c>
      <c r="B1431" s="13" t="s">
        <v>1566</v>
      </c>
      <c r="C1431" s="13">
        <v>35</v>
      </c>
      <c r="D1431" s="13">
        <v>1330.45</v>
      </c>
      <c r="E1431" s="13" t="s">
        <v>71</v>
      </c>
      <c r="F1431" s="13">
        <v>1424</v>
      </c>
    </row>
    <row r="1432" spans="1:14" x14ac:dyDescent="0.25">
      <c r="A1432" s="16">
        <v>42909</v>
      </c>
      <c r="B1432" s="13" t="s">
        <v>1567</v>
      </c>
      <c r="C1432" s="13">
        <v>103</v>
      </c>
      <c r="D1432" s="13">
        <v>761.5</v>
      </c>
      <c r="E1432" s="13" t="s">
        <v>71</v>
      </c>
      <c r="F1432" s="13">
        <v>1425</v>
      </c>
    </row>
    <row r="1433" spans="1:14" x14ac:dyDescent="0.25">
      <c r="A1433" s="16">
        <v>42909</v>
      </c>
      <c r="B1433" s="13" t="s">
        <v>1568</v>
      </c>
      <c r="C1433" s="13">
        <v>44</v>
      </c>
      <c r="D1433" s="13">
        <v>665.1</v>
      </c>
      <c r="E1433" s="13" t="s">
        <v>71</v>
      </c>
      <c r="F1433" s="13">
        <v>1426</v>
      </c>
    </row>
    <row r="1434" spans="1:14" x14ac:dyDescent="0.25">
      <c r="A1434" s="16">
        <v>42909</v>
      </c>
      <c r="B1434" s="13" t="s">
        <v>1569</v>
      </c>
      <c r="C1434" s="13">
        <v>43</v>
      </c>
      <c r="D1434" s="13">
        <v>619.54999999999995</v>
      </c>
      <c r="E1434" s="13" t="s">
        <v>71</v>
      </c>
      <c r="F1434" s="13">
        <v>1427</v>
      </c>
    </row>
    <row r="1435" spans="1:14" x14ac:dyDescent="0.25">
      <c r="A1435" s="16">
        <v>42909</v>
      </c>
      <c r="B1435" s="13" t="s">
        <v>1570</v>
      </c>
      <c r="C1435" s="13">
        <v>35</v>
      </c>
      <c r="D1435" s="13">
        <v>527.4</v>
      </c>
      <c r="E1435" s="13" t="s">
        <v>71</v>
      </c>
      <c r="F1435" s="13">
        <v>1428</v>
      </c>
    </row>
    <row r="1436" spans="1:14" x14ac:dyDescent="0.25">
      <c r="A1436" s="16">
        <v>42909</v>
      </c>
      <c r="B1436" s="13" t="s">
        <v>1571</v>
      </c>
      <c r="C1436" s="13">
        <v>41</v>
      </c>
      <c r="D1436" s="13">
        <v>665.5</v>
      </c>
      <c r="E1436" s="13" t="s">
        <v>71</v>
      </c>
      <c r="F1436" s="13">
        <v>1429</v>
      </c>
      <c r="N1436" s="5"/>
    </row>
    <row r="1437" spans="1:14" x14ac:dyDescent="0.25">
      <c r="A1437" s="16">
        <v>42911</v>
      </c>
      <c r="B1437" s="13" t="s">
        <v>1572</v>
      </c>
      <c r="C1437" s="13">
        <v>37</v>
      </c>
      <c r="D1437" s="13">
        <v>577.54</v>
      </c>
      <c r="E1437" s="13" t="s">
        <v>71</v>
      </c>
      <c r="F1437" s="13">
        <v>1430</v>
      </c>
      <c r="N1437" s="5"/>
    </row>
    <row r="1438" spans="1:14" x14ac:dyDescent="0.25">
      <c r="A1438" s="16">
        <v>42911</v>
      </c>
      <c r="B1438" s="13" t="s">
        <v>1573</v>
      </c>
      <c r="C1438" s="13">
        <v>201</v>
      </c>
      <c r="D1438" s="13">
        <v>239.75</v>
      </c>
      <c r="E1438" s="13" t="s">
        <v>71</v>
      </c>
      <c r="F1438" s="13">
        <v>1431</v>
      </c>
      <c r="L1438" s="5"/>
    </row>
    <row r="1439" spans="1:14" x14ac:dyDescent="0.25">
      <c r="A1439" s="16">
        <v>42910</v>
      </c>
      <c r="B1439" s="13" t="s">
        <v>1574</v>
      </c>
      <c r="C1439" s="13">
        <v>201</v>
      </c>
      <c r="D1439" s="13">
        <v>794.05</v>
      </c>
      <c r="E1439" s="13" t="s">
        <v>71</v>
      </c>
      <c r="F1439" s="13">
        <v>1432</v>
      </c>
      <c r="L1439" s="5"/>
    </row>
    <row r="1440" spans="1:14" x14ac:dyDescent="0.25">
      <c r="A1440" s="16">
        <v>42910</v>
      </c>
      <c r="B1440" s="13" t="s">
        <v>1575</v>
      </c>
      <c r="C1440" s="13">
        <v>37</v>
      </c>
      <c r="D1440" s="13">
        <v>906.57</v>
      </c>
      <c r="E1440" s="13" t="s">
        <v>71</v>
      </c>
      <c r="F1440" s="13">
        <v>1433</v>
      </c>
    </row>
    <row r="1441" spans="1:6" x14ac:dyDescent="0.25">
      <c r="A1441" s="16">
        <v>42909</v>
      </c>
      <c r="B1441" s="13" t="s">
        <v>1576</v>
      </c>
      <c r="C1441" s="13">
        <v>201</v>
      </c>
      <c r="D1441" s="13">
        <v>819.2</v>
      </c>
      <c r="E1441" s="13" t="s">
        <v>71</v>
      </c>
      <c r="F1441" s="13">
        <v>1434</v>
      </c>
    </row>
    <row r="1442" spans="1:6" x14ac:dyDescent="0.25">
      <c r="A1442" s="16">
        <v>42909</v>
      </c>
      <c r="B1442" s="13" t="s">
        <v>1577</v>
      </c>
      <c r="C1442" s="13">
        <v>37</v>
      </c>
      <c r="D1442" s="13">
        <v>909.09</v>
      </c>
      <c r="E1442" s="13" t="s">
        <v>71</v>
      </c>
      <c r="F1442" s="13">
        <v>1435</v>
      </c>
    </row>
    <row r="1443" spans="1:6" x14ac:dyDescent="0.25">
      <c r="A1443" s="16">
        <v>42912</v>
      </c>
      <c r="B1443" s="13" t="s">
        <v>1578</v>
      </c>
      <c r="C1443" s="13">
        <v>41</v>
      </c>
      <c r="D1443" s="13">
        <v>650.29999999999995</v>
      </c>
      <c r="E1443" s="13" t="s">
        <v>71</v>
      </c>
      <c r="F1443" s="13">
        <v>1438</v>
      </c>
    </row>
    <row r="1444" spans="1:6" x14ac:dyDescent="0.25">
      <c r="A1444" s="16">
        <v>42912</v>
      </c>
      <c r="B1444" s="13" t="s">
        <v>1579</v>
      </c>
      <c r="C1444" s="13">
        <v>103</v>
      </c>
      <c r="D1444" s="13">
        <v>387.75</v>
      </c>
      <c r="E1444" s="13" t="s">
        <v>71</v>
      </c>
      <c r="F1444" s="13">
        <v>1439</v>
      </c>
    </row>
    <row r="1445" spans="1:6" x14ac:dyDescent="0.25">
      <c r="A1445" s="16">
        <v>42912</v>
      </c>
      <c r="B1445" s="13" t="s">
        <v>1580</v>
      </c>
      <c r="C1445" s="13">
        <v>44</v>
      </c>
      <c r="D1445" s="13">
        <v>310.55</v>
      </c>
      <c r="E1445" s="13" t="s">
        <v>71</v>
      </c>
      <c r="F1445" s="13">
        <v>1440</v>
      </c>
    </row>
    <row r="1446" spans="1:6" x14ac:dyDescent="0.25">
      <c r="A1446" s="16">
        <v>42912</v>
      </c>
      <c r="B1446" s="13" t="s">
        <v>1581</v>
      </c>
      <c r="C1446" s="13">
        <v>35</v>
      </c>
      <c r="D1446" s="13">
        <v>466.35</v>
      </c>
      <c r="E1446" s="13" t="s">
        <v>71</v>
      </c>
      <c r="F1446" s="13">
        <v>1441</v>
      </c>
    </row>
    <row r="1447" spans="1:6" x14ac:dyDescent="0.25">
      <c r="A1447" s="16">
        <v>42912</v>
      </c>
      <c r="B1447" s="13" t="s">
        <v>1582</v>
      </c>
      <c r="C1447" s="13">
        <v>43</v>
      </c>
      <c r="D1447" s="13">
        <v>262.7</v>
      </c>
      <c r="E1447" s="13" t="s">
        <v>71</v>
      </c>
      <c r="F1447" s="13">
        <v>1442</v>
      </c>
    </row>
    <row r="1448" spans="1:6" x14ac:dyDescent="0.25">
      <c r="A1448" s="16">
        <v>42912</v>
      </c>
      <c r="B1448" s="13" t="s">
        <v>1587</v>
      </c>
      <c r="C1448" s="13">
        <v>201</v>
      </c>
      <c r="D1448" s="13">
        <v>109.9</v>
      </c>
      <c r="E1448" s="13" t="s">
        <v>71</v>
      </c>
      <c r="F1448" s="13">
        <v>1443</v>
      </c>
    </row>
    <row r="1449" spans="1:6" x14ac:dyDescent="0.25">
      <c r="A1449" s="16">
        <v>42912</v>
      </c>
      <c r="B1449" s="13" t="s">
        <v>1588</v>
      </c>
      <c r="C1449" s="13">
        <v>37</v>
      </c>
      <c r="D1449" s="13">
        <v>259.75</v>
      </c>
      <c r="E1449" s="13" t="s">
        <v>71</v>
      </c>
      <c r="F1449" s="13">
        <v>1444</v>
      </c>
    </row>
    <row r="1450" spans="1:6" x14ac:dyDescent="0.25">
      <c r="A1450" s="16">
        <v>42913</v>
      </c>
      <c r="B1450" s="13" t="s">
        <v>1589</v>
      </c>
      <c r="C1450" s="13">
        <v>41</v>
      </c>
      <c r="D1450" s="13">
        <v>662</v>
      </c>
      <c r="E1450" s="13" t="s">
        <v>71</v>
      </c>
      <c r="F1450" s="13">
        <v>1445</v>
      </c>
    </row>
    <row r="1451" spans="1:6" x14ac:dyDescent="0.25">
      <c r="A1451" s="16">
        <v>42913</v>
      </c>
      <c r="B1451" s="13" t="s">
        <v>1590</v>
      </c>
      <c r="C1451" s="13">
        <v>103</v>
      </c>
      <c r="D1451" s="13">
        <v>488.4</v>
      </c>
      <c r="E1451" s="13" t="s">
        <v>71</v>
      </c>
      <c r="F1451" s="13">
        <v>1446</v>
      </c>
    </row>
    <row r="1452" spans="1:6" x14ac:dyDescent="0.25">
      <c r="A1452" s="16">
        <v>42913</v>
      </c>
      <c r="B1452" s="13" t="s">
        <v>1591</v>
      </c>
      <c r="C1452" s="13">
        <v>35</v>
      </c>
      <c r="D1452" s="13">
        <v>647.15</v>
      </c>
      <c r="E1452" s="13" t="s">
        <v>71</v>
      </c>
      <c r="F1452" s="13">
        <v>1447</v>
      </c>
    </row>
    <row r="1453" spans="1:6" x14ac:dyDescent="0.25">
      <c r="A1453" s="16">
        <v>42913</v>
      </c>
      <c r="B1453" s="13" t="s">
        <v>1592</v>
      </c>
      <c r="C1453" s="13">
        <v>43</v>
      </c>
      <c r="D1453" s="13">
        <v>289.45</v>
      </c>
      <c r="E1453" s="13" t="s">
        <v>71</v>
      </c>
      <c r="F1453" s="13">
        <v>1448</v>
      </c>
    </row>
    <row r="1454" spans="1:6" x14ac:dyDescent="0.25">
      <c r="A1454" s="16">
        <v>42913</v>
      </c>
      <c r="B1454" s="13" t="s">
        <v>1593</v>
      </c>
      <c r="C1454" s="13">
        <v>201</v>
      </c>
      <c r="D1454" s="13">
        <v>184.8</v>
      </c>
      <c r="E1454" s="13" t="s">
        <v>71</v>
      </c>
      <c r="F1454" s="13">
        <v>1449</v>
      </c>
    </row>
    <row r="1455" spans="1:6" x14ac:dyDescent="0.25">
      <c r="A1455" s="16">
        <v>42913</v>
      </c>
      <c r="B1455" s="13" t="s">
        <v>1594</v>
      </c>
      <c r="C1455" s="13">
        <v>37</v>
      </c>
      <c r="D1455" s="13">
        <v>354.55</v>
      </c>
      <c r="E1455" s="13" t="s">
        <v>71</v>
      </c>
      <c r="F1455" s="13">
        <v>1450</v>
      </c>
    </row>
    <row r="1456" spans="1:6" x14ac:dyDescent="0.25">
      <c r="A1456" s="16">
        <v>42914</v>
      </c>
      <c r="B1456" s="13" t="s">
        <v>1595</v>
      </c>
      <c r="C1456" s="13">
        <v>41</v>
      </c>
      <c r="D1456" s="13">
        <v>646.95000000000005</v>
      </c>
      <c r="E1456" s="13" t="s">
        <v>71</v>
      </c>
      <c r="F1456" s="13">
        <v>1451</v>
      </c>
    </row>
    <row r="1457" spans="1:9" x14ac:dyDescent="0.25">
      <c r="A1457" s="16">
        <v>42914</v>
      </c>
      <c r="B1457" s="13" t="s">
        <v>1596</v>
      </c>
      <c r="C1457" s="13">
        <v>43</v>
      </c>
      <c r="D1457" s="13">
        <v>317.45</v>
      </c>
      <c r="E1457" s="13" t="s">
        <v>71</v>
      </c>
      <c r="F1457" s="13">
        <v>1452</v>
      </c>
    </row>
    <row r="1458" spans="1:9" x14ac:dyDescent="0.25">
      <c r="A1458" s="16">
        <v>42914</v>
      </c>
      <c r="B1458" s="13" t="s">
        <v>1597</v>
      </c>
      <c r="C1458" s="13">
        <v>44</v>
      </c>
      <c r="D1458" s="13">
        <v>781.3</v>
      </c>
      <c r="E1458" s="13" t="s">
        <v>71</v>
      </c>
      <c r="F1458" s="13">
        <v>1453</v>
      </c>
    </row>
    <row r="1459" spans="1:9" x14ac:dyDescent="0.25">
      <c r="A1459" s="16">
        <v>42914</v>
      </c>
      <c r="B1459" s="13" t="s">
        <v>1598</v>
      </c>
      <c r="C1459" s="13">
        <v>103</v>
      </c>
      <c r="D1459" s="13">
        <v>819.7</v>
      </c>
      <c r="E1459" s="13" t="s">
        <v>71</v>
      </c>
      <c r="F1459" s="13">
        <v>1454</v>
      </c>
    </row>
    <row r="1460" spans="1:9" x14ac:dyDescent="0.25">
      <c r="A1460" s="16">
        <v>42914</v>
      </c>
      <c r="B1460" s="13" t="s">
        <v>1599</v>
      </c>
      <c r="C1460" s="13">
        <v>35</v>
      </c>
      <c r="D1460" s="13">
        <v>761.75</v>
      </c>
      <c r="E1460" s="13" t="s">
        <v>71</v>
      </c>
      <c r="F1460" s="13">
        <v>1455</v>
      </c>
    </row>
    <row r="1461" spans="1:9" x14ac:dyDescent="0.25">
      <c r="A1461" s="16">
        <v>42914</v>
      </c>
      <c r="B1461" s="13" t="s">
        <v>1600</v>
      </c>
      <c r="C1461" s="13">
        <v>37</v>
      </c>
      <c r="D1461" s="13">
        <v>587.04</v>
      </c>
      <c r="E1461" s="13" t="s">
        <v>71</v>
      </c>
      <c r="F1461" s="13">
        <v>1456</v>
      </c>
    </row>
    <row r="1462" spans="1:9" x14ac:dyDescent="0.25">
      <c r="A1462" s="16">
        <v>42914</v>
      </c>
      <c r="B1462" s="13" t="s">
        <v>1601</v>
      </c>
      <c r="C1462" s="13">
        <v>201</v>
      </c>
      <c r="D1462" s="13">
        <v>488.85</v>
      </c>
      <c r="E1462" s="13" t="s">
        <v>71</v>
      </c>
      <c r="F1462" s="13">
        <v>1457</v>
      </c>
    </row>
    <row r="1463" spans="1:9" x14ac:dyDescent="0.25">
      <c r="A1463" s="16">
        <v>42915</v>
      </c>
      <c r="B1463" s="13" t="s">
        <v>1602</v>
      </c>
      <c r="C1463" s="13">
        <v>41</v>
      </c>
      <c r="D1463" s="13">
        <v>871.65</v>
      </c>
      <c r="E1463" s="13" t="s">
        <v>71</v>
      </c>
      <c r="F1463" s="13">
        <v>1458</v>
      </c>
    </row>
    <row r="1464" spans="1:9" x14ac:dyDescent="0.25">
      <c r="A1464" s="16">
        <v>42915</v>
      </c>
      <c r="B1464" s="13" t="s">
        <v>1603</v>
      </c>
      <c r="C1464" s="13">
        <v>43</v>
      </c>
      <c r="D1464" s="13">
        <v>693</v>
      </c>
      <c r="E1464" s="13" t="s">
        <v>71</v>
      </c>
      <c r="F1464" s="13">
        <v>1459</v>
      </c>
    </row>
    <row r="1465" spans="1:9" x14ac:dyDescent="0.25">
      <c r="A1465" s="16">
        <v>42915</v>
      </c>
      <c r="B1465" s="13" t="s">
        <v>1604</v>
      </c>
      <c r="C1465" s="13">
        <v>103</v>
      </c>
      <c r="D1465" s="13">
        <v>1059.05</v>
      </c>
      <c r="E1465" s="13" t="s">
        <v>71</v>
      </c>
      <c r="F1465" s="13">
        <v>1460</v>
      </c>
    </row>
    <row r="1466" spans="1:9" x14ac:dyDescent="0.25">
      <c r="A1466" s="16">
        <v>42915</v>
      </c>
      <c r="B1466" s="13" t="s">
        <v>1605</v>
      </c>
      <c r="C1466" s="13">
        <v>35</v>
      </c>
      <c r="D1466" s="13">
        <v>1148.8</v>
      </c>
      <c r="E1466" s="13" t="s">
        <v>71</v>
      </c>
      <c r="F1466" s="13">
        <v>1461</v>
      </c>
      <c r="I1466" s="5"/>
    </row>
    <row r="1467" spans="1:9" x14ac:dyDescent="0.25">
      <c r="A1467" s="16">
        <v>42915</v>
      </c>
      <c r="B1467" s="13" t="s">
        <v>1606</v>
      </c>
      <c r="C1467" s="13">
        <v>44</v>
      </c>
      <c r="D1467" s="13">
        <v>345.1</v>
      </c>
      <c r="E1467" s="13" t="s">
        <v>71</v>
      </c>
      <c r="F1467" s="13">
        <v>1462</v>
      </c>
    </row>
    <row r="1468" spans="1:9" x14ac:dyDescent="0.25">
      <c r="A1468" s="16">
        <v>42915</v>
      </c>
      <c r="B1468" s="13" t="s">
        <v>1608</v>
      </c>
      <c r="C1468" s="13">
        <v>37</v>
      </c>
      <c r="D1468" s="13">
        <v>1094.8</v>
      </c>
      <c r="E1468" s="13" t="s">
        <v>71</v>
      </c>
      <c r="F1468" s="13">
        <v>1463</v>
      </c>
    </row>
    <row r="1469" spans="1:9" x14ac:dyDescent="0.25">
      <c r="A1469" s="16">
        <v>42915</v>
      </c>
      <c r="B1469" s="13" t="s">
        <v>1609</v>
      </c>
      <c r="C1469" s="13">
        <v>201</v>
      </c>
      <c r="D1469" s="13">
        <v>803.45</v>
      </c>
      <c r="E1469" s="13" t="s">
        <v>71</v>
      </c>
      <c r="F1469" s="13">
        <v>1464</v>
      </c>
    </row>
    <row r="1470" spans="1:9" x14ac:dyDescent="0.25">
      <c r="A1470" s="16">
        <v>42918</v>
      </c>
      <c r="B1470" s="13" t="s">
        <v>1610</v>
      </c>
      <c r="C1470" s="13">
        <v>35</v>
      </c>
      <c r="D1470" s="13">
        <v>679.93</v>
      </c>
      <c r="E1470" s="13" t="s">
        <v>71</v>
      </c>
      <c r="F1470" s="13">
        <v>1465</v>
      </c>
    </row>
    <row r="1471" spans="1:9" x14ac:dyDescent="0.25">
      <c r="A1471" s="16">
        <v>42918</v>
      </c>
      <c r="B1471" s="13" t="s">
        <v>1611</v>
      </c>
      <c r="C1471" s="13">
        <v>44</v>
      </c>
      <c r="D1471" s="13">
        <v>284.51</v>
      </c>
      <c r="E1471" s="13" t="s">
        <v>71</v>
      </c>
      <c r="F1471" s="13">
        <v>1466</v>
      </c>
    </row>
    <row r="1472" spans="1:9" x14ac:dyDescent="0.25">
      <c r="A1472" s="16">
        <v>42918</v>
      </c>
      <c r="B1472" s="13" t="s">
        <v>1612</v>
      </c>
      <c r="C1472" s="13">
        <v>43</v>
      </c>
      <c r="D1472" s="13">
        <v>119.85</v>
      </c>
      <c r="E1472" s="13" t="s">
        <v>71</v>
      </c>
      <c r="F1472" s="13">
        <v>1467</v>
      </c>
    </row>
    <row r="1473" spans="1:16" x14ac:dyDescent="0.25">
      <c r="A1473" s="16">
        <v>42918</v>
      </c>
      <c r="B1473" s="13" t="s">
        <v>1613</v>
      </c>
      <c r="C1473" s="13">
        <v>41</v>
      </c>
      <c r="D1473" s="13">
        <v>545.29</v>
      </c>
      <c r="E1473" s="13" t="s">
        <v>71</v>
      </c>
      <c r="F1473" s="13">
        <v>1468</v>
      </c>
    </row>
    <row r="1474" spans="1:16" x14ac:dyDescent="0.25">
      <c r="A1474" s="16">
        <v>42918</v>
      </c>
      <c r="B1474" s="13" t="s">
        <v>1614</v>
      </c>
      <c r="C1474" s="13">
        <v>103</v>
      </c>
      <c r="D1474" s="13">
        <v>434.4</v>
      </c>
      <c r="E1474" s="13" t="s">
        <v>71</v>
      </c>
      <c r="F1474" s="13">
        <v>1469</v>
      </c>
    </row>
    <row r="1475" spans="1:16" x14ac:dyDescent="0.25">
      <c r="A1475" s="16">
        <v>42917</v>
      </c>
      <c r="B1475" s="13" t="s">
        <v>1615</v>
      </c>
      <c r="C1475" s="13">
        <v>41</v>
      </c>
      <c r="D1475" s="13">
        <v>509.1</v>
      </c>
      <c r="E1475" s="13" t="s">
        <v>71</v>
      </c>
      <c r="F1475" s="13">
        <v>1470</v>
      </c>
    </row>
    <row r="1476" spans="1:16" x14ac:dyDescent="0.25">
      <c r="A1476" s="16">
        <v>42917</v>
      </c>
      <c r="B1476" s="13" t="s">
        <v>1616</v>
      </c>
      <c r="C1476" s="13">
        <v>103</v>
      </c>
      <c r="D1476" s="13">
        <v>964.51</v>
      </c>
      <c r="E1476" s="13" t="s">
        <v>71</v>
      </c>
      <c r="F1476" s="13">
        <v>1471</v>
      </c>
    </row>
    <row r="1477" spans="1:16" x14ac:dyDescent="0.25">
      <c r="A1477" s="16">
        <v>42917</v>
      </c>
      <c r="B1477" s="13" t="s">
        <v>1617</v>
      </c>
      <c r="C1477" s="13">
        <v>35</v>
      </c>
      <c r="D1477" s="13">
        <v>1190.68</v>
      </c>
      <c r="E1477" s="13" t="s">
        <v>71</v>
      </c>
      <c r="F1477" s="13">
        <v>1472</v>
      </c>
    </row>
    <row r="1478" spans="1:16" x14ac:dyDescent="0.25">
      <c r="A1478" s="16">
        <v>42917</v>
      </c>
      <c r="B1478" s="13" t="s">
        <v>1618</v>
      </c>
      <c r="C1478" s="13">
        <v>44</v>
      </c>
      <c r="D1478" s="13">
        <v>1048.48</v>
      </c>
      <c r="E1478" s="13" t="s">
        <v>71</v>
      </c>
      <c r="F1478" s="13">
        <v>1473</v>
      </c>
    </row>
    <row r="1479" spans="1:16" x14ac:dyDescent="0.25">
      <c r="A1479" s="16">
        <v>42917</v>
      </c>
      <c r="B1479" s="13" t="s">
        <v>1618</v>
      </c>
      <c r="C1479" s="13">
        <v>44</v>
      </c>
      <c r="D1479" s="13">
        <v>431.43</v>
      </c>
      <c r="E1479" s="13" t="s">
        <v>71</v>
      </c>
      <c r="F1479" s="13">
        <v>1486</v>
      </c>
    </row>
    <row r="1480" spans="1:16" x14ac:dyDescent="0.25">
      <c r="A1480" s="16">
        <v>42917</v>
      </c>
      <c r="B1480" s="13" t="s">
        <v>1618</v>
      </c>
      <c r="C1480" s="13">
        <v>44</v>
      </c>
      <c r="D1480" s="13">
        <v>617.04999999999995</v>
      </c>
      <c r="E1480" s="13" t="s">
        <v>71</v>
      </c>
      <c r="F1480" s="13">
        <v>1487</v>
      </c>
    </row>
    <row r="1481" spans="1:16" x14ac:dyDescent="0.25">
      <c r="A1481" s="16">
        <v>42917</v>
      </c>
      <c r="B1481" s="13" t="s">
        <v>1619</v>
      </c>
      <c r="C1481" s="13">
        <v>43</v>
      </c>
      <c r="D1481" s="13">
        <v>516.38</v>
      </c>
      <c r="E1481" s="13" t="s">
        <v>71</v>
      </c>
      <c r="F1481" s="13">
        <v>1474</v>
      </c>
    </row>
    <row r="1482" spans="1:16" x14ac:dyDescent="0.25">
      <c r="A1482" s="16">
        <v>42916</v>
      </c>
      <c r="B1482" s="13" t="s">
        <v>1620</v>
      </c>
      <c r="C1482" s="13">
        <v>43</v>
      </c>
      <c r="D1482" s="13">
        <v>599.28</v>
      </c>
      <c r="E1482" s="13" t="s">
        <v>71</v>
      </c>
      <c r="F1482" s="13">
        <v>1475</v>
      </c>
    </row>
    <row r="1483" spans="1:16" x14ac:dyDescent="0.25">
      <c r="A1483" s="16">
        <v>42916</v>
      </c>
      <c r="B1483" s="13" t="s">
        <v>1621</v>
      </c>
      <c r="C1483" s="13">
        <v>41</v>
      </c>
      <c r="D1483" s="13">
        <v>373.25</v>
      </c>
      <c r="E1483" s="13" t="s">
        <v>71</v>
      </c>
      <c r="F1483" s="13">
        <v>1476</v>
      </c>
    </row>
    <row r="1484" spans="1:16" x14ac:dyDescent="0.25">
      <c r="A1484" s="16">
        <v>42916</v>
      </c>
      <c r="B1484" s="13" t="s">
        <v>1622</v>
      </c>
      <c r="C1484" s="13">
        <v>44</v>
      </c>
      <c r="D1484" s="13">
        <v>337.35</v>
      </c>
      <c r="E1484" s="13" t="s">
        <v>71</v>
      </c>
      <c r="F1484" s="13">
        <v>1477</v>
      </c>
    </row>
    <row r="1485" spans="1:16" x14ac:dyDescent="0.25">
      <c r="A1485" s="16">
        <v>42916</v>
      </c>
      <c r="B1485" s="13" t="s">
        <v>1623</v>
      </c>
      <c r="C1485" s="13">
        <v>103</v>
      </c>
      <c r="D1485" s="13">
        <v>819.1</v>
      </c>
      <c r="E1485" s="13" t="s">
        <v>71</v>
      </c>
      <c r="F1485" s="13">
        <v>1478</v>
      </c>
      <c r="L1485" s="5">
        <v>744.83</v>
      </c>
    </row>
    <row r="1486" spans="1:16" x14ac:dyDescent="0.25">
      <c r="A1486" s="16">
        <v>42916</v>
      </c>
      <c r="B1486" s="13" t="s">
        <v>1624</v>
      </c>
      <c r="C1486" s="13">
        <v>35</v>
      </c>
      <c r="D1486" s="13">
        <v>1182.08</v>
      </c>
      <c r="E1486" s="13" t="s">
        <v>71</v>
      </c>
      <c r="F1486" s="13">
        <v>1479</v>
      </c>
      <c r="L1486">
        <f>D1476-L1485</f>
        <v>219.67999999999995</v>
      </c>
      <c r="P1486" s="5">
        <v>431.43</v>
      </c>
    </row>
    <row r="1487" spans="1:16" x14ac:dyDescent="0.25">
      <c r="A1487" s="16">
        <v>42918</v>
      </c>
      <c r="B1487" s="13" t="s">
        <v>1625</v>
      </c>
      <c r="C1487" s="13">
        <v>37</v>
      </c>
      <c r="D1487" s="13">
        <v>810.6</v>
      </c>
      <c r="E1487" s="13" t="s">
        <v>71</v>
      </c>
      <c r="F1487" s="13">
        <v>1480</v>
      </c>
      <c r="P1487" s="5">
        <v>617.04999999999995</v>
      </c>
    </row>
    <row r="1488" spans="1:16" x14ac:dyDescent="0.25">
      <c r="A1488" s="16">
        <v>42918</v>
      </c>
      <c r="B1488" s="13" t="s">
        <v>1626</v>
      </c>
      <c r="C1488" s="13">
        <v>201</v>
      </c>
      <c r="D1488" s="13">
        <v>149.65</v>
      </c>
      <c r="E1488" s="13" t="s">
        <v>71</v>
      </c>
      <c r="F1488" s="13">
        <v>1481</v>
      </c>
    </row>
    <row r="1489" spans="1:6" x14ac:dyDescent="0.25">
      <c r="A1489" s="16">
        <v>42917</v>
      </c>
      <c r="B1489" s="13" t="s">
        <v>1627</v>
      </c>
      <c r="C1489" s="13">
        <v>201</v>
      </c>
      <c r="D1489" s="13">
        <v>644.4</v>
      </c>
      <c r="E1489" s="13" t="s">
        <v>71</v>
      </c>
      <c r="F1489" s="13">
        <v>1482</v>
      </c>
    </row>
    <row r="1490" spans="1:6" x14ac:dyDescent="0.25">
      <c r="A1490" s="16">
        <v>42917</v>
      </c>
      <c r="B1490" s="13" t="s">
        <v>1628</v>
      </c>
      <c r="C1490" s="13">
        <v>37</v>
      </c>
      <c r="D1490" s="13">
        <v>858.11</v>
      </c>
      <c r="E1490" s="13" t="s">
        <v>71</v>
      </c>
      <c r="F1490" s="13">
        <v>1483</v>
      </c>
    </row>
    <row r="1491" spans="1:6" x14ac:dyDescent="0.25">
      <c r="A1491" s="16">
        <v>42916</v>
      </c>
      <c r="B1491" s="13" t="s">
        <v>1629</v>
      </c>
      <c r="C1491" s="13">
        <v>201</v>
      </c>
      <c r="D1491" s="13">
        <v>709.09</v>
      </c>
      <c r="E1491" s="13" t="s">
        <v>71</v>
      </c>
      <c r="F1491" s="13">
        <v>1484</v>
      </c>
    </row>
    <row r="1492" spans="1:6" x14ac:dyDescent="0.25">
      <c r="A1492" s="16">
        <v>42916</v>
      </c>
      <c r="B1492" s="13" t="s">
        <v>1630</v>
      </c>
      <c r="C1492" s="13">
        <v>37</v>
      </c>
      <c r="D1492" s="13">
        <v>904.45</v>
      </c>
      <c r="E1492" s="13" t="s">
        <v>71</v>
      </c>
      <c r="F1492" s="13">
        <v>1485</v>
      </c>
    </row>
    <row r="1493" spans="1:6" x14ac:dyDescent="0.25">
      <c r="A1493" s="16">
        <v>42919</v>
      </c>
      <c r="B1493" s="13" t="s">
        <v>1631</v>
      </c>
      <c r="C1493" s="13">
        <v>41</v>
      </c>
      <c r="D1493" s="13">
        <v>516.04999999999995</v>
      </c>
      <c r="E1493" s="13" t="s">
        <v>71</v>
      </c>
      <c r="F1493" s="13">
        <v>1488</v>
      </c>
    </row>
    <row r="1494" spans="1:6" x14ac:dyDescent="0.25">
      <c r="A1494" s="16">
        <v>42919</v>
      </c>
      <c r="B1494" s="13" t="s">
        <v>1632</v>
      </c>
      <c r="C1494" s="13">
        <v>43</v>
      </c>
      <c r="D1494" s="13">
        <v>474.58</v>
      </c>
      <c r="E1494" s="13" t="s">
        <v>71</v>
      </c>
      <c r="F1494" s="13">
        <v>1489</v>
      </c>
    </row>
    <row r="1495" spans="1:6" x14ac:dyDescent="0.25">
      <c r="A1495" s="16">
        <v>42919</v>
      </c>
      <c r="B1495" s="13" t="s">
        <v>1633</v>
      </c>
      <c r="C1495" s="13">
        <v>44</v>
      </c>
      <c r="D1495" s="13">
        <v>593.17999999999995</v>
      </c>
      <c r="E1495" s="13" t="s">
        <v>71</v>
      </c>
      <c r="F1495" s="13">
        <v>1490</v>
      </c>
    </row>
    <row r="1496" spans="1:6" x14ac:dyDescent="0.25">
      <c r="A1496" s="16">
        <v>42919</v>
      </c>
      <c r="B1496" s="13" t="s">
        <v>1634</v>
      </c>
      <c r="C1496" s="13">
        <v>103</v>
      </c>
      <c r="D1496" s="13">
        <v>612.08000000000004</v>
      </c>
      <c r="E1496" s="13" t="s">
        <v>71</v>
      </c>
      <c r="F1496" s="13">
        <v>1491</v>
      </c>
    </row>
    <row r="1497" spans="1:6" x14ac:dyDescent="0.25">
      <c r="A1497" s="16">
        <v>42919</v>
      </c>
      <c r="B1497" s="13" t="s">
        <v>1635</v>
      </c>
      <c r="C1497" s="13">
        <v>35</v>
      </c>
      <c r="D1497" s="13">
        <v>666.54</v>
      </c>
      <c r="E1497" s="13" t="s">
        <v>71</v>
      </c>
      <c r="F1497" s="13">
        <v>1492</v>
      </c>
    </row>
    <row r="1498" spans="1:6" x14ac:dyDescent="0.25">
      <c r="A1498" s="16">
        <v>42919</v>
      </c>
      <c r="B1498" s="13" t="s">
        <v>1637</v>
      </c>
      <c r="C1498" s="13">
        <v>37</v>
      </c>
      <c r="D1498" s="13">
        <v>617.45000000000005</v>
      </c>
      <c r="E1498" s="13" t="s">
        <v>71</v>
      </c>
      <c r="F1498" s="13">
        <v>1493</v>
      </c>
    </row>
    <row r="1499" spans="1:6" x14ac:dyDescent="0.25">
      <c r="A1499" s="16">
        <v>42919</v>
      </c>
      <c r="B1499" s="13" t="s">
        <v>1638</v>
      </c>
      <c r="C1499" s="13">
        <v>201</v>
      </c>
      <c r="D1499" s="13">
        <v>229.95</v>
      </c>
      <c r="E1499" s="13" t="s">
        <v>71</v>
      </c>
      <c r="F1499" s="13">
        <v>1494</v>
      </c>
    </row>
    <row r="1500" spans="1:6" x14ac:dyDescent="0.25">
      <c r="A1500" s="16">
        <v>42921</v>
      </c>
      <c r="B1500" s="13" t="s">
        <v>1639</v>
      </c>
      <c r="C1500" s="13">
        <v>35</v>
      </c>
      <c r="D1500" s="13">
        <v>989.09</v>
      </c>
      <c r="E1500" s="13" t="s">
        <v>71</v>
      </c>
      <c r="F1500" s="13">
        <v>1495</v>
      </c>
    </row>
    <row r="1501" spans="1:6" x14ac:dyDescent="0.25">
      <c r="A1501" s="16">
        <v>42921</v>
      </c>
      <c r="B1501" s="13" t="s">
        <v>1640</v>
      </c>
      <c r="C1501" s="13">
        <v>41</v>
      </c>
      <c r="D1501" s="13">
        <v>724.25</v>
      </c>
      <c r="E1501" s="13" t="s">
        <v>71</v>
      </c>
      <c r="F1501" s="13">
        <v>1496</v>
      </c>
    </row>
    <row r="1502" spans="1:6" x14ac:dyDescent="0.25">
      <c r="A1502" s="16">
        <v>42921</v>
      </c>
      <c r="B1502" s="13" t="s">
        <v>1641</v>
      </c>
      <c r="C1502" s="13">
        <v>43</v>
      </c>
      <c r="D1502" s="13">
        <v>204.85</v>
      </c>
      <c r="E1502" s="13" t="s">
        <v>71</v>
      </c>
      <c r="F1502" s="13">
        <v>1497</v>
      </c>
    </row>
    <row r="1503" spans="1:6" x14ac:dyDescent="0.25">
      <c r="A1503" s="16">
        <v>42921</v>
      </c>
      <c r="B1503" s="13" t="s">
        <v>1642</v>
      </c>
      <c r="C1503" s="13">
        <v>103</v>
      </c>
      <c r="D1503" s="13">
        <v>404.75</v>
      </c>
      <c r="E1503" s="13" t="s">
        <v>71</v>
      </c>
      <c r="F1503" s="13">
        <v>1498</v>
      </c>
    </row>
    <row r="1504" spans="1:6" x14ac:dyDescent="0.25">
      <c r="A1504" s="16">
        <v>42921</v>
      </c>
      <c r="B1504" s="13" t="s">
        <v>1643</v>
      </c>
      <c r="C1504" s="13">
        <v>44</v>
      </c>
      <c r="D1504" s="13">
        <v>433.13</v>
      </c>
      <c r="E1504" s="13" t="s">
        <v>71</v>
      </c>
      <c r="F1504" s="13">
        <v>1499</v>
      </c>
    </row>
    <row r="1505" spans="1:6" x14ac:dyDescent="0.25">
      <c r="A1505" s="16">
        <v>42920</v>
      </c>
      <c r="B1505" s="13" t="s">
        <v>1645</v>
      </c>
      <c r="C1505" s="13">
        <v>41</v>
      </c>
      <c r="D1505" s="13">
        <v>635.04999999999995</v>
      </c>
      <c r="E1505" s="13" t="s">
        <v>71</v>
      </c>
      <c r="F1505" s="13">
        <v>1500</v>
      </c>
    </row>
    <row r="1506" spans="1:6" x14ac:dyDescent="0.25">
      <c r="A1506" s="16">
        <v>42920</v>
      </c>
      <c r="B1506" s="13" t="s">
        <v>1646</v>
      </c>
      <c r="C1506" s="13">
        <v>44</v>
      </c>
      <c r="D1506" s="13">
        <v>355.65</v>
      </c>
      <c r="E1506" s="13" t="s">
        <v>71</v>
      </c>
      <c r="F1506" s="13">
        <v>1501</v>
      </c>
    </row>
    <row r="1507" spans="1:6" x14ac:dyDescent="0.25">
      <c r="A1507" s="16">
        <v>42920</v>
      </c>
      <c r="B1507" s="13" t="s">
        <v>1647</v>
      </c>
      <c r="C1507" s="13">
        <v>103</v>
      </c>
      <c r="D1507" s="13">
        <v>500.2</v>
      </c>
      <c r="E1507" s="13" t="s">
        <v>71</v>
      </c>
      <c r="F1507" s="13">
        <v>1502</v>
      </c>
    </row>
    <row r="1508" spans="1:6" x14ac:dyDescent="0.25">
      <c r="A1508" s="16">
        <v>42920</v>
      </c>
      <c r="B1508" s="13" t="s">
        <v>1648</v>
      </c>
      <c r="C1508" s="13">
        <v>43</v>
      </c>
      <c r="D1508" s="13">
        <v>89.9</v>
      </c>
      <c r="E1508" s="13" t="s">
        <v>71</v>
      </c>
      <c r="F1508" s="13">
        <v>1503</v>
      </c>
    </row>
    <row r="1509" spans="1:6" x14ac:dyDescent="0.25">
      <c r="A1509" s="16">
        <v>42920</v>
      </c>
      <c r="B1509" s="13" t="s">
        <v>1649</v>
      </c>
      <c r="C1509" s="13">
        <v>35</v>
      </c>
      <c r="D1509" s="13">
        <v>815.85</v>
      </c>
      <c r="E1509" s="13" t="s">
        <v>71</v>
      </c>
      <c r="F1509" s="13">
        <v>1504</v>
      </c>
    </row>
    <row r="1510" spans="1:6" x14ac:dyDescent="0.25">
      <c r="A1510" s="16">
        <v>42921</v>
      </c>
      <c r="B1510" s="13" t="s">
        <v>1650</v>
      </c>
      <c r="C1510" s="13">
        <v>37</v>
      </c>
      <c r="D1510" s="13">
        <v>469.45</v>
      </c>
      <c r="E1510" s="13" t="s">
        <v>71</v>
      </c>
      <c r="F1510" s="13">
        <v>1505</v>
      </c>
    </row>
    <row r="1511" spans="1:6" x14ac:dyDescent="0.25">
      <c r="A1511" s="16">
        <v>42921</v>
      </c>
      <c r="B1511" s="13" t="s">
        <v>1651</v>
      </c>
      <c r="C1511" s="13">
        <v>201</v>
      </c>
      <c r="D1511" s="13">
        <v>219.65</v>
      </c>
      <c r="E1511" s="13" t="s">
        <v>71</v>
      </c>
      <c r="F1511" s="13">
        <v>1506</v>
      </c>
    </row>
    <row r="1512" spans="1:6" x14ac:dyDescent="0.25">
      <c r="A1512" s="16">
        <v>42920</v>
      </c>
      <c r="B1512" s="13" t="s">
        <v>1652</v>
      </c>
      <c r="C1512" s="13">
        <v>201</v>
      </c>
      <c r="D1512" s="13">
        <v>349.8</v>
      </c>
      <c r="E1512" s="13" t="s">
        <v>71</v>
      </c>
      <c r="F1512" s="13">
        <v>1507</v>
      </c>
    </row>
    <row r="1513" spans="1:6" x14ac:dyDescent="0.25">
      <c r="A1513" s="16">
        <v>42920</v>
      </c>
      <c r="B1513" s="13" t="s">
        <v>1653</v>
      </c>
      <c r="C1513" s="13">
        <v>37</v>
      </c>
      <c r="D1513" s="13">
        <v>532.04999999999995</v>
      </c>
      <c r="E1513" s="13" t="s">
        <v>71</v>
      </c>
      <c r="F1513" s="13">
        <v>1508</v>
      </c>
    </row>
    <row r="1514" spans="1:6" x14ac:dyDescent="0.25">
      <c r="A1514" s="16">
        <v>42922</v>
      </c>
      <c r="B1514" s="13" t="s">
        <v>1654</v>
      </c>
      <c r="C1514" s="13">
        <v>41</v>
      </c>
      <c r="D1514" s="13">
        <v>414.2</v>
      </c>
      <c r="E1514" s="13" t="s">
        <v>71</v>
      </c>
      <c r="F1514" s="13">
        <v>1509</v>
      </c>
    </row>
    <row r="1515" spans="1:6" x14ac:dyDescent="0.25">
      <c r="A1515" s="16">
        <v>42922</v>
      </c>
      <c r="B1515" s="13" t="s">
        <v>1655</v>
      </c>
      <c r="C1515" s="13">
        <v>35</v>
      </c>
      <c r="D1515" s="13">
        <v>1006.9</v>
      </c>
      <c r="E1515" s="13" t="s">
        <v>71</v>
      </c>
      <c r="F1515" s="13">
        <v>1510</v>
      </c>
    </row>
    <row r="1516" spans="1:6" x14ac:dyDescent="0.25">
      <c r="A1516" s="16">
        <v>42922</v>
      </c>
      <c r="B1516" s="13" t="s">
        <v>1656</v>
      </c>
      <c r="C1516" s="13">
        <v>44</v>
      </c>
      <c r="D1516" s="13">
        <v>404.7</v>
      </c>
      <c r="E1516" s="13" t="s">
        <v>71</v>
      </c>
      <c r="F1516" s="13">
        <v>1511</v>
      </c>
    </row>
    <row r="1517" spans="1:6" x14ac:dyDescent="0.25">
      <c r="A1517" s="16">
        <v>42922</v>
      </c>
      <c r="B1517" s="13" t="s">
        <v>1657</v>
      </c>
      <c r="C1517" s="13">
        <v>43</v>
      </c>
      <c r="D1517" s="13">
        <v>669.68</v>
      </c>
      <c r="E1517" s="13" t="s">
        <v>71</v>
      </c>
      <c r="F1517" s="13">
        <v>1512</v>
      </c>
    </row>
    <row r="1518" spans="1:6" x14ac:dyDescent="0.25">
      <c r="A1518" s="16">
        <v>42922</v>
      </c>
      <c r="B1518" s="13" t="s">
        <v>1658</v>
      </c>
      <c r="C1518" s="13">
        <v>103</v>
      </c>
      <c r="D1518" s="13">
        <v>1022.65</v>
      </c>
      <c r="E1518" s="13" t="s">
        <v>71</v>
      </c>
      <c r="F1518" s="13">
        <v>1513</v>
      </c>
    </row>
    <row r="1519" spans="1:6" x14ac:dyDescent="0.25">
      <c r="A1519" s="16">
        <v>42922</v>
      </c>
      <c r="B1519" s="13" t="s">
        <v>1659</v>
      </c>
      <c r="C1519" s="13">
        <v>201</v>
      </c>
      <c r="D1519" s="13">
        <v>507.65</v>
      </c>
      <c r="E1519" s="13" t="s">
        <v>71</v>
      </c>
      <c r="F1519" s="13">
        <v>1514</v>
      </c>
    </row>
    <row r="1520" spans="1:6" x14ac:dyDescent="0.25">
      <c r="A1520" s="16">
        <v>42922</v>
      </c>
      <c r="B1520" s="13" t="s">
        <v>1660</v>
      </c>
      <c r="C1520" s="13">
        <v>37</v>
      </c>
      <c r="D1520" s="13">
        <v>879.38</v>
      </c>
      <c r="E1520" s="13" t="s">
        <v>71</v>
      </c>
      <c r="F1520" s="13">
        <v>1515</v>
      </c>
    </row>
    <row r="1521" spans="1:14" x14ac:dyDescent="0.25">
      <c r="A1521" s="16">
        <v>42925</v>
      </c>
      <c r="B1521" s="13" t="s">
        <v>1661</v>
      </c>
      <c r="C1521" s="13">
        <v>43</v>
      </c>
      <c r="D1521" s="13">
        <v>184.85</v>
      </c>
      <c r="E1521" s="13" t="s">
        <v>71</v>
      </c>
      <c r="F1521" s="13">
        <v>1516</v>
      </c>
    </row>
    <row r="1522" spans="1:14" x14ac:dyDescent="0.25">
      <c r="A1522" s="16">
        <v>42925</v>
      </c>
      <c r="B1522" s="13" t="s">
        <v>1662</v>
      </c>
      <c r="C1522" s="13">
        <v>44</v>
      </c>
      <c r="D1522" s="15">
        <v>561.1</v>
      </c>
      <c r="E1522" s="13" t="s">
        <v>71</v>
      </c>
      <c r="F1522" s="13">
        <v>1517</v>
      </c>
    </row>
    <row r="1523" spans="1:14" x14ac:dyDescent="0.25">
      <c r="A1523" s="16">
        <v>42925</v>
      </c>
      <c r="B1523" s="13" t="s">
        <v>1663</v>
      </c>
      <c r="C1523" s="13">
        <v>41</v>
      </c>
      <c r="D1523" s="13">
        <v>204.84</v>
      </c>
      <c r="E1523" s="13" t="s">
        <v>71</v>
      </c>
      <c r="F1523" s="13">
        <v>1518</v>
      </c>
    </row>
    <row r="1524" spans="1:14" x14ac:dyDescent="0.25">
      <c r="A1524" s="16">
        <v>42925</v>
      </c>
      <c r="B1524" s="13" t="s">
        <v>1664</v>
      </c>
      <c r="C1524" s="13">
        <v>103</v>
      </c>
      <c r="D1524" s="13">
        <v>525.45000000000005</v>
      </c>
      <c r="E1524" s="13" t="s">
        <v>71</v>
      </c>
      <c r="F1524" s="13">
        <v>1519</v>
      </c>
    </row>
    <row r="1525" spans="1:14" x14ac:dyDescent="0.25">
      <c r="A1525" s="16">
        <v>42925</v>
      </c>
      <c r="B1525" s="13" t="s">
        <v>1665</v>
      </c>
      <c r="C1525" s="13">
        <v>35</v>
      </c>
      <c r="D1525" s="13">
        <v>405.65</v>
      </c>
      <c r="E1525" s="13" t="s">
        <v>71</v>
      </c>
      <c r="F1525" s="13">
        <v>1520</v>
      </c>
    </row>
    <row r="1526" spans="1:14" x14ac:dyDescent="0.25">
      <c r="A1526" s="16">
        <v>42924</v>
      </c>
      <c r="B1526" s="13" t="s">
        <v>1666</v>
      </c>
      <c r="C1526" s="13">
        <v>41</v>
      </c>
      <c r="D1526" s="13">
        <v>307.77999999999997</v>
      </c>
      <c r="E1526" s="13" t="s">
        <v>71</v>
      </c>
      <c r="F1526" s="13">
        <v>1521</v>
      </c>
    </row>
    <row r="1527" spans="1:14" x14ac:dyDescent="0.25">
      <c r="A1527" s="16">
        <v>42924</v>
      </c>
      <c r="B1527" s="13" t="s">
        <v>1667</v>
      </c>
      <c r="C1527" s="13">
        <v>44</v>
      </c>
      <c r="D1527" s="15">
        <v>716.2</v>
      </c>
      <c r="E1527" s="13" t="s">
        <v>71</v>
      </c>
      <c r="F1527" s="13">
        <v>1522</v>
      </c>
    </row>
    <row r="1528" spans="1:14" x14ac:dyDescent="0.25">
      <c r="A1528" s="16">
        <v>42924</v>
      </c>
      <c r="B1528" s="13" t="s">
        <v>1668</v>
      </c>
      <c r="C1528" s="13">
        <v>43</v>
      </c>
      <c r="D1528" s="13">
        <v>534.54999999999995</v>
      </c>
      <c r="E1528" s="13" t="s">
        <v>71</v>
      </c>
      <c r="F1528" s="13">
        <v>1523</v>
      </c>
    </row>
    <row r="1529" spans="1:14" x14ac:dyDescent="0.25">
      <c r="A1529" s="16">
        <v>42924</v>
      </c>
      <c r="B1529" s="13" t="s">
        <v>1669</v>
      </c>
      <c r="C1529" s="13">
        <v>103</v>
      </c>
      <c r="D1529" s="13">
        <v>1072.45</v>
      </c>
      <c r="E1529" s="13" t="s">
        <v>71</v>
      </c>
      <c r="F1529" s="13">
        <v>1524</v>
      </c>
    </row>
    <row r="1530" spans="1:14" x14ac:dyDescent="0.25">
      <c r="A1530" s="16">
        <v>42924</v>
      </c>
      <c r="B1530" s="13" t="s">
        <v>1670</v>
      </c>
      <c r="C1530" s="13">
        <v>35</v>
      </c>
      <c r="D1530" s="13">
        <v>935.19</v>
      </c>
      <c r="E1530" s="13" t="s">
        <v>71</v>
      </c>
      <c r="F1530" s="13">
        <v>1525</v>
      </c>
    </row>
    <row r="1531" spans="1:14" x14ac:dyDescent="0.25">
      <c r="A1531" s="16">
        <v>42923</v>
      </c>
      <c r="B1531" s="13" t="s">
        <v>1671</v>
      </c>
      <c r="C1531" s="13">
        <v>43</v>
      </c>
      <c r="D1531" s="13">
        <v>519.73</v>
      </c>
      <c r="E1531" s="13" t="s">
        <v>71</v>
      </c>
      <c r="F1531" s="13">
        <v>1526</v>
      </c>
    </row>
    <row r="1532" spans="1:14" x14ac:dyDescent="0.25">
      <c r="A1532" s="1">
        <v>42923</v>
      </c>
      <c r="B1532" t="s">
        <v>1672</v>
      </c>
      <c r="C1532">
        <v>44</v>
      </c>
      <c r="D1532" s="5">
        <v>292.7</v>
      </c>
      <c r="F1532">
        <v>1527</v>
      </c>
      <c r="N1532" s="5"/>
    </row>
    <row r="1533" spans="1:14" x14ac:dyDescent="0.25">
      <c r="A1533" s="16">
        <v>42923</v>
      </c>
      <c r="B1533" s="13" t="s">
        <v>1673</v>
      </c>
      <c r="C1533" s="13">
        <v>103</v>
      </c>
      <c r="D1533" s="13">
        <v>922</v>
      </c>
      <c r="E1533" s="13" t="s">
        <v>71</v>
      </c>
      <c r="F1533" s="13">
        <v>1528</v>
      </c>
      <c r="N1533" s="5"/>
    </row>
    <row r="1534" spans="1:14" x14ac:dyDescent="0.25">
      <c r="A1534" s="16">
        <v>42923</v>
      </c>
      <c r="B1534" s="13" t="s">
        <v>1674</v>
      </c>
      <c r="C1534" s="13">
        <v>35</v>
      </c>
      <c r="D1534" s="13">
        <v>856.03</v>
      </c>
      <c r="E1534" s="13" t="s">
        <v>71</v>
      </c>
      <c r="F1534" s="13">
        <v>1529</v>
      </c>
      <c r="N1534" s="5"/>
    </row>
    <row r="1535" spans="1:14" x14ac:dyDescent="0.25">
      <c r="A1535" s="16">
        <v>42923</v>
      </c>
      <c r="B1535" s="13" t="s">
        <v>1675</v>
      </c>
      <c r="C1535" s="13">
        <v>41</v>
      </c>
      <c r="D1535" s="13">
        <v>420.6</v>
      </c>
      <c r="E1535" s="13" t="s">
        <v>71</v>
      </c>
      <c r="F1535" s="13">
        <v>1530</v>
      </c>
    </row>
    <row r="1536" spans="1:14" x14ac:dyDescent="0.25">
      <c r="A1536" s="16">
        <v>42925</v>
      </c>
      <c r="B1536" s="13" t="s">
        <v>1676</v>
      </c>
      <c r="C1536" s="13">
        <v>37</v>
      </c>
      <c r="D1536" s="13">
        <v>379.84</v>
      </c>
      <c r="E1536" s="13" t="s">
        <v>71</v>
      </c>
      <c r="F1536" s="13">
        <v>1531</v>
      </c>
    </row>
    <row r="1537" spans="1:6" x14ac:dyDescent="0.25">
      <c r="A1537" s="16">
        <v>42925</v>
      </c>
      <c r="B1537" s="13" t="s">
        <v>1677</v>
      </c>
      <c r="C1537" s="13">
        <v>201</v>
      </c>
      <c r="D1537" s="13">
        <v>174.8</v>
      </c>
      <c r="E1537" s="13" t="s">
        <v>71</v>
      </c>
      <c r="F1537" s="13">
        <v>1532</v>
      </c>
    </row>
    <row r="1538" spans="1:6" x14ac:dyDescent="0.25">
      <c r="A1538" s="16">
        <v>42924</v>
      </c>
      <c r="B1538" s="13" t="s">
        <v>1678</v>
      </c>
      <c r="C1538" s="13">
        <v>37</v>
      </c>
      <c r="D1538" s="13">
        <v>1056.8499999999999</v>
      </c>
      <c r="E1538" s="13" t="s">
        <v>71</v>
      </c>
      <c r="F1538" s="13">
        <v>1533</v>
      </c>
    </row>
    <row r="1539" spans="1:6" x14ac:dyDescent="0.25">
      <c r="A1539" s="16">
        <v>42924</v>
      </c>
      <c r="B1539" s="13" t="s">
        <v>1679</v>
      </c>
      <c r="C1539" s="13">
        <v>201</v>
      </c>
      <c r="D1539" s="13">
        <v>534.6</v>
      </c>
      <c r="E1539" s="13" t="s">
        <v>71</v>
      </c>
      <c r="F1539" s="13">
        <v>1534</v>
      </c>
    </row>
    <row r="1540" spans="1:6" x14ac:dyDescent="0.25">
      <c r="A1540" s="16">
        <v>42923</v>
      </c>
      <c r="B1540" s="13" t="s">
        <v>1680</v>
      </c>
      <c r="C1540" s="13">
        <v>201</v>
      </c>
      <c r="D1540" s="13">
        <v>969.05</v>
      </c>
      <c r="E1540" s="13" t="s">
        <v>71</v>
      </c>
      <c r="F1540" s="13">
        <v>1535</v>
      </c>
    </row>
    <row r="1541" spans="1:6" x14ac:dyDescent="0.25">
      <c r="A1541" s="16">
        <v>42923</v>
      </c>
      <c r="B1541" s="13" t="s">
        <v>1681</v>
      </c>
      <c r="C1541" s="13">
        <v>37</v>
      </c>
      <c r="D1541" s="13">
        <v>949.29</v>
      </c>
      <c r="E1541" s="13" t="s">
        <v>71</v>
      </c>
      <c r="F1541" s="13">
        <v>1536</v>
      </c>
    </row>
    <row r="1542" spans="1:6" x14ac:dyDescent="0.25">
      <c r="A1542" s="16">
        <v>42926</v>
      </c>
      <c r="B1542" s="13" t="s">
        <v>1682</v>
      </c>
      <c r="C1542" s="13">
        <v>43</v>
      </c>
      <c r="D1542" s="13">
        <v>294.85000000000002</v>
      </c>
      <c r="E1542" s="13" t="s">
        <v>71</v>
      </c>
      <c r="F1542" s="13">
        <v>1537</v>
      </c>
    </row>
    <row r="1543" spans="1:6" x14ac:dyDescent="0.25">
      <c r="A1543" s="16">
        <v>42926</v>
      </c>
      <c r="B1543" s="13" t="s">
        <v>1683</v>
      </c>
      <c r="C1543" s="13">
        <v>35</v>
      </c>
      <c r="D1543" s="13">
        <v>714.51</v>
      </c>
      <c r="E1543" s="13" t="s">
        <v>71</v>
      </c>
      <c r="F1543" s="13">
        <v>1538</v>
      </c>
    </row>
    <row r="1544" spans="1:6" x14ac:dyDescent="0.25">
      <c r="A1544" s="16">
        <v>42926</v>
      </c>
      <c r="B1544" s="13" t="s">
        <v>1684</v>
      </c>
      <c r="C1544" s="13">
        <v>103</v>
      </c>
      <c r="D1544" s="13">
        <v>725.25</v>
      </c>
      <c r="E1544" s="13" t="s">
        <v>71</v>
      </c>
      <c r="F1544" s="13">
        <v>1539</v>
      </c>
    </row>
    <row r="1545" spans="1:6" x14ac:dyDescent="0.25">
      <c r="A1545" s="16">
        <v>42926</v>
      </c>
      <c r="B1545" s="13" t="s">
        <v>1685</v>
      </c>
      <c r="C1545" s="13">
        <v>44</v>
      </c>
      <c r="D1545" s="13">
        <v>335.46</v>
      </c>
      <c r="E1545" s="13" t="s">
        <v>71</v>
      </c>
      <c r="F1545" s="13">
        <v>1540</v>
      </c>
    </row>
    <row r="1546" spans="1:6" x14ac:dyDescent="0.25">
      <c r="A1546" s="16">
        <v>42926</v>
      </c>
      <c r="B1546" s="13" t="s">
        <v>1686</v>
      </c>
      <c r="C1546" s="13">
        <v>41</v>
      </c>
      <c r="D1546" s="13">
        <v>189.89</v>
      </c>
      <c r="E1546" s="13" t="s">
        <v>71</v>
      </c>
      <c r="F1546" s="13">
        <v>1541</v>
      </c>
    </row>
    <row r="1547" spans="1:6" x14ac:dyDescent="0.25">
      <c r="A1547" s="16">
        <v>42926</v>
      </c>
      <c r="B1547" s="13" t="s">
        <v>1688</v>
      </c>
      <c r="C1547" s="13">
        <v>201</v>
      </c>
      <c r="D1547" s="13">
        <v>232.9</v>
      </c>
      <c r="E1547" s="13" t="s">
        <v>71</v>
      </c>
      <c r="F1547" s="13">
        <v>1542</v>
      </c>
    </row>
    <row r="1548" spans="1:6" x14ac:dyDescent="0.25">
      <c r="A1548" s="16">
        <v>42926</v>
      </c>
      <c r="B1548" s="13" t="s">
        <v>1689</v>
      </c>
      <c r="C1548" s="13">
        <v>37</v>
      </c>
      <c r="D1548" s="13">
        <v>454.8</v>
      </c>
      <c r="E1548" s="13" t="s">
        <v>71</v>
      </c>
      <c r="F1548" s="13">
        <v>1543</v>
      </c>
    </row>
    <row r="1549" spans="1:6" x14ac:dyDescent="0.25">
      <c r="A1549" s="16">
        <v>42927</v>
      </c>
      <c r="B1549" s="13" t="s">
        <v>1690</v>
      </c>
      <c r="C1549" s="13">
        <v>35</v>
      </c>
      <c r="D1549" s="13">
        <v>604.97</v>
      </c>
      <c r="E1549" s="13" t="s">
        <v>71</v>
      </c>
      <c r="F1549" s="13">
        <v>1544</v>
      </c>
    </row>
    <row r="1550" spans="1:6" x14ac:dyDescent="0.25">
      <c r="A1550" s="16">
        <v>42927</v>
      </c>
      <c r="B1550" s="13" t="s">
        <v>1691</v>
      </c>
      <c r="C1550" s="13">
        <v>44</v>
      </c>
      <c r="D1550" s="13">
        <v>292.58</v>
      </c>
      <c r="E1550" s="13" t="s">
        <v>71</v>
      </c>
      <c r="F1550" s="13">
        <v>1545</v>
      </c>
    </row>
    <row r="1551" spans="1:6" x14ac:dyDescent="0.25">
      <c r="A1551" s="16">
        <v>42927</v>
      </c>
      <c r="B1551" s="13" t="s">
        <v>1692</v>
      </c>
      <c r="C1551" s="13">
        <v>103</v>
      </c>
      <c r="D1551" s="13">
        <v>1074.3900000000001</v>
      </c>
      <c r="E1551" s="13" t="s">
        <v>71</v>
      </c>
      <c r="F1551" s="13">
        <v>1546</v>
      </c>
    </row>
    <row r="1552" spans="1:6" x14ac:dyDescent="0.25">
      <c r="A1552" s="16">
        <v>42927</v>
      </c>
      <c r="B1552" s="13" t="s">
        <v>1693</v>
      </c>
      <c r="C1552" s="13">
        <v>43</v>
      </c>
      <c r="D1552" s="13">
        <v>304.75</v>
      </c>
      <c r="E1552" s="13" t="s">
        <v>71</v>
      </c>
      <c r="F1552" s="13">
        <v>1547</v>
      </c>
    </row>
    <row r="1553" spans="1:6" x14ac:dyDescent="0.25">
      <c r="A1553" s="16">
        <v>42927</v>
      </c>
      <c r="B1553" s="13" t="s">
        <v>1694</v>
      </c>
      <c r="C1553" s="13">
        <v>41</v>
      </c>
      <c r="D1553" s="13">
        <v>414.75</v>
      </c>
      <c r="E1553" s="13" t="s">
        <v>71</v>
      </c>
      <c r="F1553" s="13">
        <v>1548</v>
      </c>
    </row>
    <row r="1554" spans="1:6" x14ac:dyDescent="0.25">
      <c r="A1554" s="16">
        <v>42927</v>
      </c>
      <c r="B1554" s="13" t="s">
        <v>1696</v>
      </c>
      <c r="C1554" s="13">
        <v>201</v>
      </c>
      <c r="D1554" s="13">
        <v>619.9</v>
      </c>
      <c r="E1554" s="13" t="s">
        <v>71</v>
      </c>
      <c r="F1554" s="13">
        <v>1549</v>
      </c>
    </row>
    <row r="1555" spans="1:6" x14ac:dyDescent="0.25">
      <c r="A1555" s="16">
        <v>42927</v>
      </c>
      <c r="B1555" s="13" t="s">
        <v>1697</v>
      </c>
      <c r="C1555" s="13">
        <v>37</v>
      </c>
      <c r="D1555" s="13">
        <v>704.65</v>
      </c>
      <c r="E1555" s="13" t="s">
        <v>71</v>
      </c>
      <c r="F1555" s="13">
        <v>1550</v>
      </c>
    </row>
    <row r="1556" spans="1:6" x14ac:dyDescent="0.25">
      <c r="A1556" s="16">
        <v>42928</v>
      </c>
      <c r="B1556" s="13" t="s">
        <v>1698</v>
      </c>
      <c r="C1556" s="13">
        <v>103</v>
      </c>
      <c r="D1556" s="13">
        <v>1025.23</v>
      </c>
      <c r="E1556" s="13" t="s">
        <v>71</v>
      </c>
      <c r="F1556" s="13">
        <v>1551</v>
      </c>
    </row>
    <row r="1557" spans="1:6" x14ac:dyDescent="0.25">
      <c r="A1557" s="16">
        <v>42928</v>
      </c>
      <c r="B1557" s="13" t="s">
        <v>1699</v>
      </c>
      <c r="C1557" s="13">
        <v>43</v>
      </c>
      <c r="D1557" s="13">
        <v>702.25</v>
      </c>
      <c r="E1557" s="13" t="s">
        <v>71</v>
      </c>
      <c r="F1557" s="13">
        <v>1552</v>
      </c>
    </row>
    <row r="1558" spans="1:6" x14ac:dyDescent="0.25">
      <c r="A1558" s="16">
        <v>42928</v>
      </c>
      <c r="B1558" s="13" t="s">
        <v>1700</v>
      </c>
      <c r="C1558" s="13">
        <v>35</v>
      </c>
      <c r="D1558" s="13">
        <v>805.44</v>
      </c>
      <c r="E1558" s="13" t="s">
        <v>71</v>
      </c>
      <c r="F1558" s="13">
        <v>1553</v>
      </c>
    </row>
    <row r="1559" spans="1:6" x14ac:dyDescent="0.25">
      <c r="A1559" s="16">
        <v>42928</v>
      </c>
      <c r="B1559" s="13" t="s">
        <v>1701</v>
      </c>
      <c r="C1559" s="13">
        <v>41</v>
      </c>
      <c r="D1559" s="13">
        <v>694.44</v>
      </c>
      <c r="E1559" s="13" t="s">
        <v>71</v>
      </c>
      <c r="F1559" s="13">
        <v>1554</v>
      </c>
    </row>
    <row r="1560" spans="1:6" x14ac:dyDescent="0.25">
      <c r="A1560" s="16">
        <v>42928</v>
      </c>
      <c r="B1560" s="13" t="s">
        <v>1702</v>
      </c>
      <c r="C1560" s="13">
        <v>44</v>
      </c>
      <c r="D1560" s="13">
        <v>406.3</v>
      </c>
      <c r="E1560" s="13" t="s">
        <v>71</v>
      </c>
      <c r="F1560" s="13">
        <v>1555</v>
      </c>
    </row>
    <row r="1561" spans="1:6" x14ac:dyDescent="0.25">
      <c r="A1561" s="16">
        <v>42928</v>
      </c>
      <c r="B1561" s="13" t="s">
        <v>1703</v>
      </c>
      <c r="C1561" s="13">
        <v>37</v>
      </c>
      <c r="D1561" s="13">
        <v>859.5</v>
      </c>
      <c r="E1561" s="13" t="s">
        <v>71</v>
      </c>
      <c r="F1561" s="13">
        <v>1556</v>
      </c>
    </row>
    <row r="1562" spans="1:6" x14ac:dyDescent="0.25">
      <c r="A1562" s="16">
        <v>42928</v>
      </c>
      <c r="B1562" s="13" t="s">
        <v>1704</v>
      </c>
      <c r="C1562" s="13">
        <v>201</v>
      </c>
      <c r="D1562" s="13">
        <v>379.88</v>
      </c>
      <c r="E1562" s="13" t="s">
        <v>71</v>
      </c>
      <c r="F1562" s="13">
        <v>1557</v>
      </c>
    </row>
    <row r="1563" spans="1:6" x14ac:dyDescent="0.25">
      <c r="A1563" s="16">
        <v>42929</v>
      </c>
      <c r="B1563" s="13" t="s">
        <v>1705</v>
      </c>
      <c r="C1563" s="13">
        <v>103</v>
      </c>
      <c r="D1563" s="13">
        <v>1571.67</v>
      </c>
      <c r="E1563" s="13" t="s">
        <v>71</v>
      </c>
      <c r="F1563" s="13">
        <v>1558</v>
      </c>
    </row>
    <row r="1564" spans="1:6" x14ac:dyDescent="0.25">
      <c r="A1564" s="16">
        <v>42929</v>
      </c>
      <c r="B1564" s="13" t="s">
        <v>1706</v>
      </c>
      <c r="C1564" s="13">
        <v>41</v>
      </c>
      <c r="D1564" s="13">
        <v>567.28</v>
      </c>
      <c r="E1564" s="13" t="s">
        <v>71</v>
      </c>
      <c r="F1564" s="13">
        <v>1559</v>
      </c>
    </row>
    <row r="1565" spans="1:6" x14ac:dyDescent="0.25">
      <c r="A1565" s="16">
        <v>42929</v>
      </c>
      <c r="B1565" s="13" t="s">
        <v>1707</v>
      </c>
      <c r="C1565" s="13">
        <v>35</v>
      </c>
      <c r="D1565" s="13">
        <v>1384.08</v>
      </c>
      <c r="E1565" s="13" t="s">
        <v>71</v>
      </c>
      <c r="F1565" s="13">
        <v>1560</v>
      </c>
    </row>
    <row r="1566" spans="1:6" x14ac:dyDescent="0.25">
      <c r="A1566" s="16">
        <v>42929</v>
      </c>
      <c r="B1566" s="13" t="s">
        <v>1708</v>
      </c>
      <c r="C1566" s="13">
        <v>44</v>
      </c>
      <c r="D1566" s="13">
        <v>509.15</v>
      </c>
      <c r="E1566" s="13" t="s">
        <v>71</v>
      </c>
      <c r="F1566" s="13">
        <v>1561</v>
      </c>
    </row>
    <row r="1567" spans="1:6" x14ac:dyDescent="0.25">
      <c r="A1567" s="16">
        <v>42929</v>
      </c>
      <c r="B1567" s="13" t="s">
        <v>1709</v>
      </c>
      <c r="C1567" s="13">
        <v>43</v>
      </c>
      <c r="D1567" s="13">
        <v>772.53</v>
      </c>
      <c r="E1567" s="13" t="s">
        <v>71</v>
      </c>
      <c r="F1567" s="13">
        <v>1562</v>
      </c>
    </row>
    <row r="1568" spans="1:6" x14ac:dyDescent="0.25">
      <c r="A1568" s="16">
        <v>42929</v>
      </c>
      <c r="B1568" s="13" t="s">
        <v>1711</v>
      </c>
      <c r="C1568" s="13">
        <v>201</v>
      </c>
      <c r="D1568" s="13">
        <v>1022.7</v>
      </c>
      <c r="E1568" s="13" t="s">
        <v>71</v>
      </c>
      <c r="F1568" s="13">
        <v>1563</v>
      </c>
    </row>
    <row r="1569" spans="1:6" x14ac:dyDescent="0.25">
      <c r="A1569" s="16">
        <v>42929</v>
      </c>
      <c r="B1569" s="13" t="s">
        <v>1712</v>
      </c>
      <c r="C1569" s="13">
        <v>37</v>
      </c>
      <c r="D1569" s="13">
        <v>1183.5999999999999</v>
      </c>
      <c r="E1569" s="13" t="s">
        <v>71</v>
      </c>
      <c r="F1569" s="13">
        <v>1564</v>
      </c>
    </row>
    <row r="1570" spans="1:6" x14ac:dyDescent="0.25">
      <c r="A1570" s="16">
        <v>42932</v>
      </c>
      <c r="B1570" s="13" t="s">
        <v>1713</v>
      </c>
      <c r="C1570" s="13">
        <v>43</v>
      </c>
      <c r="D1570" s="13">
        <v>274.68</v>
      </c>
      <c r="E1570" s="13" t="s">
        <v>71</v>
      </c>
      <c r="F1570" s="13">
        <v>1565</v>
      </c>
    </row>
    <row r="1571" spans="1:6" x14ac:dyDescent="0.25">
      <c r="A1571" s="16">
        <v>42932</v>
      </c>
      <c r="B1571" s="13" t="s">
        <v>1714</v>
      </c>
      <c r="C1571" s="13">
        <v>103</v>
      </c>
      <c r="D1571" s="13">
        <v>254.75</v>
      </c>
      <c r="E1571" s="13" t="s">
        <v>71</v>
      </c>
      <c r="F1571" s="13">
        <v>1566</v>
      </c>
    </row>
    <row r="1572" spans="1:6" x14ac:dyDescent="0.25">
      <c r="A1572" s="16">
        <v>42932</v>
      </c>
      <c r="B1572" s="13" t="s">
        <v>1715</v>
      </c>
      <c r="C1572" s="13">
        <v>35</v>
      </c>
      <c r="D1572" s="13">
        <v>615.39</v>
      </c>
      <c r="E1572" s="13" t="s">
        <v>71</v>
      </c>
      <c r="F1572" s="13">
        <v>1567</v>
      </c>
    </row>
    <row r="1573" spans="1:6" x14ac:dyDescent="0.25">
      <c r="A1573" s="16">
        <v>42932</v>
      </c>
      <c r="B1573" s="13" t="s">
        <v>1716</v>
      </c>
      <c r="C1573" s="13">
        <v>41</v>
      </c>
      <c r="D1573" s="13">
        <v>358.36</v>
      </c>
      <c r="E1573" s="13" t="s">
        <v>71</v>
      </c>
      <c r="F1573" s="13">
        <v>1568</v>
      </c>
    </row>
    <row r="1574" spans="1:6" x14ac:dyDescent="0.25">
      <c r="A1574" s="16">
        <v>42932</v>
      </c>
      <c r="B1574" s="13" t="s">
        <v>1717</v>
      </c>
      <c r="C1574" s="13">
        <v>44</v>
      </c>
      <c r="D1574" s="13">
        <v>301.75</v>
      </c>
      <c r="E1574" s="13" t="s">
        <v>71</v>
      </c>
      <c r="F1574" s="13">
        <v>1569</v>
      </c>
    </row>
    <row r="1575" spans="1:6" x14ac:dyDescent="0.25">
      <c r="A1575" s="16">
        <v>42931</v>
      </c>
      <c r="B1575" s="13" t="s">
        <v>1718</v>
      </c>
      <c r="C1575" s="13">
        <v>35</v>
      </c>
      <c r="D1575" s="13">
        <v>1019.76</v>
      </c>
      <c r="E1575" s="13" t="s">
        <v>71</v>
      </c>
      <c r="F1575" s="13">
        <v>1570</v>
      </c>
    </row>
    <row r="1576" spans="1:6" x14ac:dyDescent="0.25">
      <c r="A1576" s="16">
        <v>42931</v>
      </c>
      <c r="B1576" s="13" t="s">
        <v>1719</v>
      </c>
      <c r="C1576" s="13">
        <v>103</v>
      </c>
      <c r="D1576" s="13">
        <v>742.13</v>
      </c>
      <c r="E1576" s="13" t="s">
        <v>71</v>
      </c>
      <c r="F1576" s="13">
        <v>1571</v>
      </c>
    </row>
    <row r="1577" spans="1:6" x14ac:dyDescent="0.25">
      <c r="A1577" s="16">
        <v>42931</v>
      </c>
      <c r="B1577" s="13" t="s">
        <v>1720</v>
      </c>
      <c r="C1577" s="13">
        <v>41</v>
      </c>
      <c r="D1577" s="13">
        <v>682.21</v>
      </c>
      <c r="E1577" s="13" t="s">
        <v>71</v>
      </c>
      <c r="F1577" s="13">
        <v>1572</v>
      </c>
    </row>
    <row r="1578" spans="1:6" x14ac:dyDescent="0.25">
      <c r="A1578" s="16">
        <v>42931</v>
      </c>
      <c r="B1578" s="13" t="s">
        <v>1721</v>
      </c>
      <c r="C1578" s="13">
        <v>43</v>
      </c>
      <c r="D1578" s="13">
        <v>733.42</v>
      </c>
      <c r="E1578" s="13" t="s">
        <v>71</v>
      </c>
      <c r="F1578" s="13">
        <v>1573</v>
      </c>
    </row>
    <row r="1579" spans="1:6" x14ac:dyDescent="0.25">
      <c r="A1579" s="16">
        <v>42931</v>
      </c>
      <c r="B1579" s="13" t="s">
        <v>1722</v>
      </c>
      <c r="C1579" s="13">
        <v>44</v>
      </c>
      <c r="D1579" s="13">
        <v>459.88</v>
      </c>
      <c r="E1579" s="13" t="s">
        <v>71</v>
      </c>
      <c r="F1579" s="13">
        <v>1574</v>
      </c>
    </row>
    <row r="1580" spans="1:6" x14ac:dyDescent="0.25">
      <c r="A1580" s="16">
        <v>42930</v>
      </c>
      <c r="B1580" s="13" t="s">
        <v>1723</v>
      </c>
      <c r="C1580" s="13">
        <v>35</v>
      </c>
      <c r="D1580" s="13">
        <v>920.43</v>
      </c>
      <c r="E1580" s="13" t="s">
        <v>71</v>
      </c>
      <c r="F1580" s="13">
        <v>1575</v>
      </c>
    </row>
    <row r="1581" spans="1:6" x14ac:dyDescent="0.25">
      <c r="A1581" s="16">
        <v>42930</v>
      </c>
      <c r="B1581" s="13" t="s">
        <v>1724</v>
      </c>
      <c r="C1581" s="13">
        <v>103</v>
      </c>
      <c r="D1581" s="13">
        <v>610.46</v>
      </c>
      <c r="E1581" s="13" t="s">
        <v>71</v>
      </c>
      <c r="F1581" s="13">
        <v>1576</v>
      </c>
    </row>
    <row r="1582" spans="1:6" x14ac:dyDescent="0.25">
      <c r="A1582" s="16">
        <v>42930</v>
      </c>
      <c r="B1582" s="13" t="s">
        <v>1725</v>
      </c>
      <c r="C1582" s="13">
        <v>41</v>
      </c>
      <c r="D1582" s="13">
        <v>737.27</v>
      </c>
      <c r="E1582" s="13" t="s">
        <v>71</v>
      </c>
      <c r="F1582" s="13">
        <v>1577</v>
      </c>
    </row>
    <row r="1583" spans="1:6" x14ac:dyDescent="0.25">
      <c r="A1583" s="16">
        <v>42930</v>
      </c>
      <c r="B1583" s="13" t="s">
        <v>1726</v>
      </c>
      <c r="C1583" s="13">
        <v>43</v>
      </c>
      <c r="D1583" s="13">
        <v>712.54</v>
      </c>
      <c r="E1583" s="13" t="s">
        <v>71</v>
      </c>
      <c r="F1583" s="13">
        <v>1578</v>
      </c>
    </row>
    <row r="1584" spans="1:6" x14ac:dyDescent="0.25">
      <c r="A1584" s="16">
        <v>42930</v>
      </c>
      <c r="B1584" s="13" t="s">
        <v>1727</v>
      </c>
      <c r="C1584" s="13">
        <v>44</v>
      </c>
      <c r="D1584" s="13">
        <v>260.74</v>
      </c>
      <c r="E1584" s="13" t="s">
        <v>71</v>
      </c>
      <c r="F1584" s="13">
        <v>1579</v>
      </c>
    </row>
    <row r="1585" spans="1:6" x14ac:dyDescent="0.25">
      <c r="A1585" s="16">
        <v>42932</v>
      </c>
      <c r="B1585" s="13" t="s">
        <v>1728</v>
      </c>
      <c r="C1585" s="13">
        <v>201</v>
      </c>
      <c r="D1585" s="13">
        <v>474.66</v>
      </c>
      <c r="E1585" s="13" t="s">
        <v>71</v>
      </c>
      <c r="F1585" s="13">
        <v>1580</v>
      </c>
    </row>
    <row r="1586" spans="1:6" x14ac:dyDescent="0.25">
      <c r="A1586" s="16">
        <v>42932</v>
      </c>
      <c r="B1586" s="13" t="s">
        <v>1729</v>
      </c>
      <c r="C1586" s="13">
        <v>37</v>
      </c>
      <c r="D1586" s="13">
        <v>809.34</v>
      </c>
      <c r="E1586" s="13" t="s">
        <v>71</v>
      </c>
      <c r="F1586" s="13">
        <v>1581</v>
      </c>
    </row>
    <row r="1587" spans="1:6" x14ac:dyDescent="0.25">
      <c r="A1587" s="16">
        <v>42931</v>
      </c>
      <c r="B1587" s="13" t="s">
        <v>1730</v>
      </c>
      <c r="C1587" s="13">
        <v>37</v>
      </c>
      <c r="D1587" s="13">
        <v>899.41</v>
      </c>
      <c r="E1587" s="13" t="s">
        <v>71</v>
      </c>
      <c r="F1587" s="13">
        <v>1582</v>
      </c>
    </row>
    <row r="1588" spans="1:6" x14ac:dyDescent="0.25">
      <c r="A1588" s="16">
        <v>42931</v>
      </c>
      <c r="B1588" s="13" t="s">
        <v>1731</v>
      </c>
      <c r="C1588" s="13">
        <v>201</v>
      </c>
      <c r="D1588" s="13">
        <v>714.66</v>
      </c>
      <c r="E1588" s="13" t="s">
        <v>71</v>
      </c>
      <c r="F1588" s="13">
        <v>1583</v>
      </c>
    </row>
    <row r="1589" spans="1:6" x14ac:dyDescent="0.25">
      <c r="A1589" s="16">
        <v>42930</v>
      </c>
      <c r="B1589" s="13" t="s">
        <v>1732</v>
      </c>
      <c r="C1589" s="13">
        <v>201</v>
      </c>
      <c r="D1589" s="13">
        <v>1249.3800000000001</v>
      </c>
      <c r="E1589" s="13" t="s">
        <v>71</v>
      </c>
      <c r="F1589" s="13">
        <v>1584</v>
      </c>
    </row>
    <row r="1590" spans="1:6" x14ac:dyDescent="0.25">
      <c r="A1590" s="16">
        <v>42930</v>
      </c>
      <c r="B1590" s="13" t="s">
        <v>1733</v>
      </c>
      <c r="C1590" s="13">
        <v>37</v>
      </c>
      <c r="D1590" s="13">
        <v>968.95</v>
      </c>
      <c r="E1590" s="13" t="s">
        <v>71</v>
      </c>
      <c r="F1590" s="13">
        <v>1585</v>
      </c>
    </row>
    <row r="1591" spans="1:6" x14ac:dyDescent="0.25">
      <c r="A1591" s="16">
        <v>42933</v>
      </c>
      <c r="B1591" s="13" t="s">
        <v>1734</v>
      </c>
      <c r="C1591" s="13">
        <v>44</v>
      </c>
      <c r="D1591" s="13">
        <v>110</v>
      </c>
      <c r="E1591" s="13" t="s">
        <v>71</v>
      </c>
      <c r="F1591" s="13">
        <v>1586</v>
      </c>
    </row>
    <row r="1592" spans="1:6" x14ac:dyDescent="0.25">
      <c r="A1592" s="16">
        <v>42933</v>
      </c>
      <c r="B1592" s="13" t="s">
        <v>1735</v>
      </c>
      <c r="C1592" s="13">
        <v>103</v>
      </c>
      <c r="D1592" s="13">
        <v>567.53</v>
      </c>
      <c r="E1592" s="13" t="s">
        <v>71</v>
      </c>
      <c r="F1592" s="13">
        <v>1587</v>
      </c>
    </row>
    <row r="1593" spans="1:6" x14ac:dyDescent="0.25">
      <c r="A1593" s="16">
        <v>42933</v>
      </c>
      <c r="B1593" s="13" t="s">
        <v>1736</v>
      </c>
      <c r="C1593" s="13">
        <v>35</v>
      </c>
      <c r="D1593" s="13">
        <v>477.5</v>
      </c>
      <c r="E1593" s="13" t="s">
        <v>71</v>
      </c>
      <c r="F1593" s="13">
        <v>1588</v>
      </c>
    </row>
    <row r="1594" spans="1:6" x14ac:dyDescent="0.25">
      <c r="A1594" s="16">
        <v>42933</v>
      </c>
      <c r="B1594" s="13" t="s">
        <v>1737</v>
      </c>
      <c r="C1594" s="13">
        <v>43</v>
      </c>
      <c r="D1594" s="13">
        <v>419.6</v>
      </c>
      <c r="E1594" s="13" t="s">
        <v>71</v>
      </c>
      <c r="F1594" s="13">
        <v>1589</v>
      </c>
    </row>
    <row r="1595" spans="1:6" x14ac:dyDescent="0.25">
      <c r="A1595" s="16">
        <v>42933</v>
      </c>
      <c r="B1595" s="13" t="s">
        <v>1738</v>
      </c>
      <c r="C1595" s="13">
        <v>41</v>
      </c>
      <c r="D1595" s="13">
        <v>322.55</v>
      </c>
      <c r="E1595" s="13" t="s">
        <v>71</v>
      </c>
      <c r="F1595" s="13">
        <v>1590</v>
      </c>
    </row>
    <row r="1596" spans="1:6" x14ac:dyDescent="0.25">
      <c r="A1596" s="16">
        <v>42933</v>
      </c>
      <c r="B1596" s="13" t="s">
        <v>1739</v>
      </c>
      <c r="C1596" s="13">
        <v>37</v>
      </c>
      <c r="D1596" s="13">
        <v>364.69</v>
      </c>
      <c r="E1596" s="13" t="s">
        <v>71</v>
      </c>
      <c r="F1596" s="13">
        <v>1591</v>
      </c>
    </row>
    <row r="1597" spans="1:6" x14ac:dyDescent="0.25">
      <c r="A1597" s="16">
        <v>42933</v>
      </c>
      <c r="B1597" s="13" t="s">
        <v>1740</v>
      </c>
      <c r="C1597" s="13">
        <v>201</v>
      </c>
      <c r="D1597" s="13">
        <v>644.65</v>
      </c>
      <c r="E1597" s="13" t="s">
        <v>71</v>
      </c>
      <c r="F1597" s="13">
        <v>1592</v>
      </c>
    </row>
    <row r="1598" spans="1:6" x14ac:dyDescent="0.25">
      <c r="A1598" s="16">
        <v>42934</v>
      </c>
      <c r="B1598" s="13" t="s">
        <v>1741</v>
      </c>
      <c r="C1598" s="13">
        <v>41</v>
      </c>
      <c r="D1598" s="13">
        <v>549.59</v>
      </c>
      <c r="E1598" s="13" t="s">
        <v>71</v>
      </c>
      <c r="F1598" s="13">
        <v>1593</v>
      </c>
    </row>
    <row r="1599" spans="1:6" x14ac:dyDescent="0.25">
      <c r="A1599" s="16">
        <v>42934</v>
      </c>
      <c r="B1599" s="13" t="s">
        <v>1742</v>
      </c>
      <c r="C1599" s="13">
        <v>35</v>
      </c>
      <c r="D1599" s="13">
        <v>544.57000000000005</v>
      </c>
      <c r="E1599" s="13" t="s">
        <v>71</v>
      </c>
      <c r="F1599" s="13">
        <v>1594</v>
      </c>
    </row>
    <row r="1600" spans="1:6" x14ac:dyDescent="0.25">
      <c r="A1600" s="16">
        <v>42934</v>
      </c>
      <c r="B1600" s="13" t="s">
        <v>1743</v>
      </c>
      <c r="C1600" s="13">
        <v>103</v>
      </c>
      <c r="D1600" s="13">
        <v>848.75</v>
      </c>
      <c r="E1600" s="13" t="s">
        <v>71</v>
      </c>
      <c r="F1600" s="13">
        <v>1595</v>
      </c>
    </row>
    <row r="1601" spans="1:6" x14ac:dyDescent="0.25">
      <c r="A1601" s="16">
        <v>42934</v>
      </c>
      <c r="B1601" s="13" t="s">
        <v>1744</v>
      </c>
      <c r="C1601" s="13">
        <v>44</v>
      </c>
      <c r="D1601" s="13">
        <v>229.83</v>
      </c>
      <c r="E1601" s="13" t="s">
        <v>71</v>
      </c>
      <c r="F1601" s="13">
        <v>1596</v>
      </c>
    </row>
    <row r="1602" spans="1:6" x14ac:dyDescent="0.25">
      <c r="A1602" s="16">
        <v>42934</v>
      </c>
      <c r="B1602" s="13" t="s">
        <v>1745</v>
      </c>
      <c r="C1602" s="13">
        <v>43</v>
      </c>
      <c r="D1602" s="13">
        <v>279.8</v>
      </c>
      <c r="E1602" s="13" t="s">
        <v>71</v>
      </c>
      <c r="F1602" s="13">
        <v>1597</v>
      </c>
    </row>
    <row r="1603" spans="1:6" x14ac:dyDescent="0.25">
      <c r="A1603" s="16">
        <v>42934</v>
      </c>
      <c r="B1603" s="13" t="s">
        <v>1746</v>
      </c>
      <c r="C1603" s="13">
        <v>201</v>
      </c>
      <c r="D1603" s="13">
        <v>254.95</v>
      </c>
      <c r="E1603" s="13" t="s">
        <v>71</v>
      </c>
      <c r="F1603" s="13">
        <v>1598</v>
      </c>
    </row>
    <row r="1604" spans="1:6" x14ac:dyDescent="0.25">
      <c r="A1604" s="16">
        <v>42934</v>
      </c>
      <c r="B1604" s="13" t="s">
        <v>1747</v>
      </c>
      <c r="C1604" s="13">
        <v>37</v>
      </c>
      <c r="D1604" s="13">
        <v>289.89999999999998</v>
      </c>
      <c r="E1604" s="13" t="s">
        <v>71</v>
      </c>
      <c r="F1604" s="13">
        <v>1599</v>
      </c>
    </row>
    <row r="1605" spans="1:6" x14ac:dyDescent="0.25">
      <c r="A1605" s="16">
        <v>42935</v>
      </c>
      <c r="B1605" s="13" t="s">
        <v>1748</v>
      </c>
      <c r="C1605" s="13">
        <v>41</v>
      </c>
      <c r="D1605" s="13">
        <v>189.8</v>
      </c>
      <c r="E1605" s="13" t="s">
        <v>71</v>
      </c>
      <c r="F1605" s="13">
        <v>1600</v>
      </c>
    </row>
    <row r="1606" spans="1:6" x14ac:dyDescent="0.25">
      <c r="A1606" s="16">
        <v>42935</v>
      </c>
      <c r="B1606" s="13" t="s">
        <v>1749</v>
      </c>
      <c r="C1606" s="13">
        <v>44</v>
      </c>
      <c r="D1606" s="13">
        <v>308.63</v>
      </c>
      <c r="E1606" s="13" t="s">
        <v>71</v>
      </c>
      <c r="F1606" s="13">
        <v>1601</v>
      </c>
    </row>
    <row r="1607" spans="1:6" x14ac:dyDescent="0.25">
      <c r="A1607" s="16">
        <v>42935</v>
      </c>
      <c r="B1607" s="13" t="s">
        <v>1750</v>
      </c>
      <c r="C1607" s="13">
        <v>103</v>
      </c>
      <c r="D1607" s="13">
        <v>477.63</v>
      </c>
      <c r="E1607" s="13" t="s">
        <v>71</v>
      </c>
      <c r="F1607" s="13">
        <v>1602</v>
      </c>
    </row>
    <row r="1608" spans="1:6" x14ac:dyDescent="0.25">
      <c r="A1608" s="16">
        <v>42935</v>
      </c>
      <c r="B1608" s="13" t="s">
        <v>1751</v>
      </c>
      <c r="C1608" s="13">
        <v>35</v>
      </c>
      <c r="D1608" s="13">
        <v>359.71</v>
      </c>
      <c r="E1608" s="13" t="s">
        <v>71</v>
      </c>
      <c r="F1608" s="13">
        <v>1603</v>
      </c>
    </row>
    <row r="1609" spans="1:6" x14ac:dyDescent="0.25">
      <c r="A1609" s="16">
        <v>42935</v>
      </c>
      <c r="B1609" s="13" t="s">
        <v>1752</v>
      </c>
      <c r="C1609" s="13">
        <v>43</v>
      </c>
      <c r="D1609" s="13">
        <v>432.6</v>
      </c>
      <c r="E1609" s="13" t="s">
        <v>71</v>
      </c>
      <c r="F1609" s="13">
        <v>1604</v>
      </c>
    </row>
    <row r="1610" spans="1:6" x14ac:dyDescent="0.25">
      <c r="A1610" s="16">
        <v>42935</v>
      </c>
      <c r="B1610" s="13" t="s">
        <v>1753</v>
      </c>
      <c r="C1610" s="13">
        <v>37</v>
      </c>
      <c r="D1610" s="13">
        <v>614.33000000000004</v>
      </c>
      <c r="E1610" s="13" t="s">
        <v>71</v>
      </c>
      <c r="F1610" s="13">
        <v>1605</v>
      </c>
    </row>
    <row r="1611" spans="1:6" x14ac:dyDescent="0.25">
      <c r="A1611" s="16">
        <v>42935</v>
      </c>
      <c r="B1611" s="13" t="s">
        <v>1754</v>
      </c>
      <c r="C1611" s="13">
        <v>201</v>
      </c>
      <c r="D1611" s="13">
        <v>99.85</v>
      </c>
      <c r="E1611" s="13" t="s">
        <v>71</v>
      </c>
      <c r="F1611" s="13">
        <v>1606</v>
      </c>
    </row>
    <row r="1612" spans="1:6" x14ac:dyDescent="0.25">
      <c r="A1612" s="16">
        <v>42936</v>
      </c>
      <c r="B1612" s="13" t="s">
        <v>1755</v>
      </c>
      <c r="C1612" s="13">
        <v>41</v>
      </c>
      <c r="D1612" s="13">
        <v>1007.53</v>
      </c>
      <c r="E1612" s="13" t="s">
        <v>71</v>
      </c>
      <c r="F1612" s="13">
        <v>1607</v>
      </c>
    </row>
    <row r="1613" spans="1:6" x14ac:dyDescent="0.25">
      <c r="A1613" s="16">
        <v>42936</v>
      </c>
      <c r="B1613" s="13" t="s">
        <v>1756</v>
      </c>
      <c r="C1613" s="13">
        <v>103</v>
      </c>
      <c r="D1613" s="13">
        <v>1101</v>
      </c>
      <c r="E1613" s="13" t="s">
        <v>71</v>
      </c>
      <c r="F1613" s="13">
        <v>1608</v>
      </c>
    </row>
    <row r="1614" spans="1:6" x14ac:dyDescent="0.25">
      <c r="A1614" s="16">
        <v>42936</v>
      </c>
      <c r="B1614" s="13" t="s">
        <v>1757</v>
      </c>
      <c r="C1614" s="13">
        <v>44</v>
      </c>
      <c r="D1614" s="13">
        <v>572.63</v>
      </c>
      <c r="E1614" s="13" t="s">
        <v>71</v>
      </c>
      <c r="F1614" s="13">
        <v>1609</v>
      </c>
    </row>
    <row r="1615" spans="1:6" x14ac:dyDescent="0.25">
      <c r="A1615" s="16">
        <v>42936</v>
      </c>
      <c r="B1615" s="13" t="s">
        <v>1758</v>
      </c>
      <c r="C1615" s="13">
        <v>43</v>
      </c>
      <c r="D1615" s="13">
        <v>492.8</v>
      </c>
      <c r="E1615" s="13" t="s">
        <v>71</v>
      </c>
      <c r="F1615" s="13">
        <v>1610</v>
      </c>
    </row>
    <row r="1616" spans="1:6" x14ac:dyDescent="0.25">
      <c r="A1616" s="16">
        <v>42936</v>
      </c>
      <c r="B1616" s="13" t="s">
        <v>1759</v>
      </c>
      <c r="C1616" s="13">
        <v>35</v>
      </c>
      <c r="D1616" s="13">
        <v>851.43</v>
      </c>
      <c r="E1616" s="13" t="s">
        <v>71</v>
      </c>
      <c r="F1616" s="13">
        <v>1611</v>
      </c>
    </row>
    <row r="1617" spans="1:6" x14ac:dyDescent="0.25">
      <c r="A1617" s="16">
        <v>42936</v>
      </c>
      <c r="B1617" s="13" t="s">
        <v>1760</v>
      </c>
      <c r="C1617" s="13">
        <v>37</v>
      </c>
      <c r="D1617" s="13">
        <v>749.83</v>
      </c>
      <c r="E1617" s="13" t="s">
        <v>71</v>
      </c>
      <c r="F1617" s="13">
        <v>1612</v>
      </c>
    </row>
    <row r="1618" spans="1:6" x14ac:dyDescent="0.25">
      <c r="A1618" s="16">
        <v>42936</v>
      </c>
      <c r="B1618" s="13" t="s">
        <v>1761</v>
      </c>
      <c r="C1618" s="13">
        <v>201</v>
      </c>
      <c r="D1618" s="13">
        <v>592.54999999999995</v>
      </c>
      <c r="E1618" s="13" t="s">
        <v>71</v>
      </c>
      <c r="F1618" s="13">
        <v>1613</v>
      </c>
    </row>
    <row r="1619" spans="1:6" x14ac:dyDescent="0.25">
      <c r="A1619" s="16">
        <v>42939</v>
      </c>
      <c r="B1619" s="13" t="s">
        <v>1762</v>
      </c>
      <c r="C1619" s="13">
        <v>43</v>
      </c>
      <c r="D1619" s="13">
        <v>234.85</v>
      </c>
      <c r="E1619" s="13" t="s">
        <v>71</v>
      </c>
      <c r="F1619" s="13">
        <v>1614</v>
      </c>
    </row>
    <row r="1620" spans="1:6" x14ac:dyDescent="0.25">
      <c r="A1620" s="16">
        <v>42939</v>
      </c>
      <c r="B1620" s="13" t="s">
        <v>1763</v>
      </c>
      <c r="C1620" s="13">
        <v>41</v>
      </c>
      <c r="D1620" s="13">
        <v>262.8</v>
      </c>
      <c r="E1620" s="13" t="s">
        <v>71</v>
      </c>
      <c r="F1620" s="13">
        <v>1615</v>
      </c>
    </row>
    <row r="1621" spans="1:6" x14ac:dyDescent="0.25">
      <c r="A1621" s="16">
        <v>42939</v>
      </c>
      <c r="B1621" s="13" t="s">
        <v>1764</v>
      </c>
      <c r="C1621" s="13">
        <v>44</v>
      </c>
      <c r="D1621" s="13">
        <v>270</v>
      </c>
      <c r="E1621" s="13" t="s">
        <v>71</v>
      </c>
      <c r="F1621" s="13">
        <v>1616</v>
      </c>
    </row>
    <row r="1622" spans="1:6" x14ac:dyDescent="0.25">
      <c r="A1622" s="16">
        <v>42939</v>
      </c>
      <c r="B1622" s="13" t="s">
        <v>1765</v>
      </c>
      <c r="C1622" s="13">
        <v>103</v>
      </c>
      <c r="D1622" s="13">
        <v>240</v>
      </c>
      <c r="E1622" s="13" t="s">
        <v>71</v>
      </c>
      <c r="F1622" s="13">
        <v>1617</v>
      </c>
    </row>
    <row r="1623" spans="1:6" x14ac:dyDescent="0.25">
      <c r="A1623" s="16">
        <v>42939</v>
      </c>
      <c r="B1623" s="13" t="s">
        <v>1766</v>
      </c>
      <c r="C1623" s="13">
        <v>35</v>
      </c>
      <c r="D1623" s="13">
        <v>719.54</v>
      </c>
      <c r="E1623" s="13" t="s">
        <v>71</v>
      </c>
      <c r="F1623" s="13">
        <v>1618</v>
      </c>
    </row>
    <row r="1624" spans="1:6" x14ac:dyDescent="0.25">
      <c r="A1624" s="16">
        <v>42938</v>
      </c>
      <c r="B1624" s="13" t="s">
        <v>1767</v>
      </c>
      <c r="C1624" s="13">
        <v>41</v>
      </c>
      <c r="D1624" s="13">
        <v>500.9</v>
      </c>
      <c r="E1624" s="13" t="s">
        <v>71</v>
      </c>
      <c r="F1624" s="13">
        <v>1619</v>
      </c>
    </row>
    <row r="1625" spans="1:6" x14ac:dyDescent="0.25">
      <c r="A1625" s="16">
        <v>42938</v>
      </c>
      <c r="B1625" s="13" t="s">
        <v>1768</v>
      </c>
      <c r="C1625" s="13">
        <v>43</v>
      </c>
      <c r="D1625" s="13">
        <v>570.78</v>
      </c>
      <c r="E1625" s="13" t="s">
        <v>71</v>
      </c>
      <c r="F1625" s="13">
        <v>1620</v>
      </c>
    </row>
    <row r="1626" spans="1:6" x14ac:dyDescent="0.25">
      <c r="A1626" s="16">
        <v>42938</v>
      </c>
      <c r="B1626" s="13" t="s">
        <v>1769</v>
      </c>
      <c r="C1626" s="13">
        <v>35</v>
      </c>
      <c r="D1626" s="13">
        <v>1143.68</v>
      </c>
      <c r="E1626" s="13" t="s">
        <v>71</v>
      </c>
      <c r="F1626" s="13">
        <v>1621</v>
      </c>
    </row>
    <row r="1627" spans="1:6" x14ac:dyDescent="0.25">
      <c r="A1627" s="16">
        <v>42938</v>
      </c>
      <c r="B1627" s="13" t="s">
        <v>1770</v>
      </c>
      <c r="C1627" s="13">
        <v>103</v>
      </c>
      <c r="D1627" s="13">
        <v>760.6</v>
      </c>
      <c r="E1627" s="13" t="s">
        <v>71</v>
      </c>
      <c r="F1627" s="13">
        <v>1622</v>
      </c>
    </row>
    <row r="1628" spans="1:6" x14ac:dyDescent="0.25">
      <c r="A1628" s="16">
        <v>42938</v>
      </c>
      <c r="B1628" s="13" t="s">
        <v>1771</v>
      </c>
      <c r="C1628" s="13">
        <v>44</v>
      </c>
      <c r="D1628" s="13">
        <v>776.8</v>
      </c>
      <c r="E1628" s="13" t="s">
        <v>71</v>
      </c>
      <c r="F1628" s="13">
        <v>1623</v>
      </c>
    </row>
    <row r="1629" spans="1:6" x14ac:dyDescent="0.25">
      <c r="A1629" s="16">
        <v>42937</v>
      </c>
      <c r="B1629" s="13" t="s">
        <v>1772</v>
      </c>
      <c r="C1629" s="13">
        <v>41</v>
      </c>
      <c r="D1629" s="13">
        <v>582.95000000000005</v>
      </c>
      <c r="E1629" s="13" t="s">
        <v>71</v>
      </c>
      <c r="F1629" s="13">
        <v>1624</v>
      </c>
    </row>
    <row r="1630" spans="1:6" x14ac:dyDescent="0.25">
      <c r="A1630" s="16">
        <v>42937</v>
      </c>
      <c r="B1630" s="13" t="s">
        <v>1773</v>
      </c>
      <c r="C1630" s="13">
        <v>103</v>
      </c>
      <c r="D1630" s="13">
        <v>829.9</v>
      </c>
      <c r="E1630" s="13" t="s">
        <v>71</v>
      </c>
      <c r="F1630" s="13">
        <v>1625</v>
      </c>
    </row>
    <row r="1631" spans="1:6" x14ac:dyDescent="0.25">
      <c r="A1631" s="16">
        <v>42937</v>
      </c>
      <c r="B1631" s="13" t="s">
        <v>1774</v>
      </c>
      <c r="C1631" s="13">
        <v>43</v>
      </c>
      <c r="D1631" s="13">
        <v>898.78</v>
      </c>
      <c r="E1631" s="13" t="s">
        <v>71</v>
      </c>
      <c r="F1631" s="13">
        <v>1626</v>
      </c>
    </row>
    <row r="1632" spans="1:6" x14ac:dyDescent="0.25">
      <c r="A1632" s="16">
        <v>42937</v>
      </c>
      <c r="B1632" s="13" t="s">
        <v>1775</v>
      </c>
      <c r="C1632" s="13">
        <v>44</v>
      </c>
      <c r="D1632" s="13">
        <v>604.45000000000005</v>
      </c>
      <c r="E1632" s="13" t="s">
        <v>71</v>
      </c>
      <c r="F1632" s="13">
        <v>1627</v>
      </c>
    </row>
    <row r="1633" spans="1:6" x14ac:dyDescent="0.25">
      <c r="A1633" s="16">
        <v>42937</v>
      </c>
      <c r="B1633" s="13" t="s">
        <v>1776</v>
      </c>
      <c r="C1633" s="13">
        <v>35</v>
      </c>
      <c r="D1633" s="13">
        <v>979.72</v>
      </c>
      <c r="E1633" s="13" t="s">
        <v>71</v>
      </c>
      <c r="F1633" s="13">
        <v>1628</v>
      </c>
    </row>
    <row r="1634" spans="1:6" x14ac:dyDescent="0.25">
      <c r="A1634" s="16">
        <v>42939</v>
      </c>
      <c r="B1634" s="13" t="s">
        <v>1778</v>
      </c>
      <c r="C1634" s="13">
        <v>37</v>
      </c>
      <c r="D1634" s="13">
        <v>359.96</v>
      </c>
      <c r="E1634" s="13" t="s">
        <v>71</v>
      </c>
      <c r="F1634" s="13">
        <v>1629</v>
      </c>
    </row>
    <row r="1635" spans="1:6" x14ac:dyDescent="0.25">
      <c r="A1635" s="16">
        <v>42939</v>
      </c>
      <c r="B1635" s="13" t="s">
        <v>1779</v>
      </c>
      <c r="C1635" s="13">
        <v>201</v>
      </c>
      <c r="D1635" s="13">
        <v>290</v>
      </c>
      <c r="E1635" s="13" t="s">
        <v>71</v>
      </c>
      <c r="F1635" s="13">
        <v>1630</v>
      </c>
    </row>
    <row r="1636" spans="1:6" x14ac:dyDescent="0.25">
      <c r="A1636" s="16">
        <v>42938</v>
      </c>
      <c r="B1636" s="13" t="s">
        <v>1780</v>
      </c>
      <c r="C1636" s="13">
        <v>201</v>
      </c>
      <c r="D1636" s="13">
        <v>700</v>
      </c>
      <c r="E1636" s="13" t="s">
        <v>71</v>
      </c>
      <c r="F1636" s="13">
        <v>1631</v>
      </c>
    </row>
    <row r="1637" spans="1:6" x14ac:dyDescent="0.25">
      <c r="A1637" s="16">
        <v>42938</v>
      </c>
      <c r="B1637" s="13" t="s">
        <v>1781</v>
      </c>
      <c r="C1637" s="13">
        <v>37</v>
      </c>
      <c r="D1637" s="13">
        <v>1059.94</v>
      </c>
      <c r="E1637" s="13" t="s">
        <v>71</v>
      </c>
      <c r="F1637" s="13">
        <v>1632</v>
      </c>
    </row>
    <row r="1638" spans="1:6" x14ac:dyDescent="0.25">
      <c r="A1638" s="16">
        <v>42937</v>
      </c>
      <c r="B1638" s="13" t="s">
        <v>1782</v>
      </c>
      <c r="C1638" s="13">
        <v>37</v>
      </c>
      <c r="D1638" s="13">
        <v>734.8</v>
      </c>
      <c r="E1638" s="13" t="s">
        <v>71</v>
      </c>
      <c r="F1638" s="13">
        <v>1633</v>
      </c>
    </row>
    <row r="1639" spans="1:6" x14ac:dyDescent="0.25">
      <c r="A1639" s="16">
        <v>42937</v>
      </c>
      <c r="B1639" s="13" t="s">
        <v>1783</v>
      </c>
      <c r="C1639" s="13">
        <v>201</v>
      </c>
      <c r="D1639" s="13">
        <v>535.9</v>
      </c>
      <c r="E1639" s="13" t="s">
        <v>71</v>
      </c>
      <c r="F1639" s="13">
        <v>1634</v>
      </c>
    </row>
    <row r="1640" spans="1:6" x14ac:dyDescent="0.25">
      <c r="A1640" s="16">
        <v>42940</v>
      </c>
      <c r="B1640" s="13" t="s">
        <v>1784</v>
      </c>
      <c r="C1640" s="13">
        <v>41</v>
      </c>
      <c r="D1640" s="13">
        <v>234.95</v>
      </c>
      <c r="E1640" s="13" t="s">
        <v>71</v>
      </c>
      <c r="F1640" s="13">
        <v>1635</v>
      </c>
    </row>
    <row r="1641" spans="1:6" x14ac:dyDescent="0.25">
      <c r="A1641" s="16">
        <v>42940</v>
      </c>
      <c r="B1641" s="13" t="s">
        <v>1785</v>
      </c>
      <c r="C1641" s="13">
        <v>103</v>
      </c>
      <c r="D1641" s="13">
        <v>565</v>
      </c>
      <c r="E1641" s="13" t="s">
        <v>71</v>
      </c>
      <c r="F1641" s="13">
        <v>1636</v>
      </c>
    </row>
    <row r="1642" spans="1:6" x14ac:dyDescent="0.25">
      <c r="A1642" s="16">
        <v>42940</v>
      </c>
      <c r="B1642" s="13" t="s">
        <v>1786</v>
      </c>
      <c r="C1642" s="13">
        <v>35</v>
      </c>
      <c r="D1642" s="13">
        <v>691.8</v>
      </c>
      <c r="E1642" s="13" t="s">
        <v>71</v>
      </c>
      <c r="F1642" s="13">
        <v>1637</v>
      </c>
    </row>
    <row r="1643" spans="1:6" x14ac:dyDescent="0.25">
      <c r="A1643" s="16">
        <v>42940</v>
      </c>
      <c r="B1643" s="13" t="s">
        <v>1787</v>
      </c>
      <c r="C1643" s="13">
        <v>44</v>
      </c>
      <c r="D1643" s="13">
        <v>410</v>
      </c>
      <c r="E1643" s="13" t="s">
        <v>71</v>
      </c>
      <c r="F1643" s="13">
        <v>1638</v>
      </c>
    </row>
    <row r="1644" spans="1:6" x14ac:dyDescent="0.25">
      <c r="A1644" s="16">
        <v>42940</v>
      </c>
      <c r="B1644" s="13" t="s">
        <v>1788</v>
      </c>
      <c r="C1644" s="13">
        <v>43</v>
      </c>
      <c r="D1644" s="13">
        <v>214.9</v>
      </c>
      <c r="E1644" s="13" t="s">
        <v>71</v>
      </c>
      <c r="F1644" s="13">
        <v>1639</v>
      </c>
    </row>
    <row r="1645" spans="1:6" x14ac:dyDescent="0.25">
      <c r="A1645" s="16">
        <v>42940</v>
      </c>
      <c r="B1645" s="13" t="s">
        <v>1789</v>
      </c>
      <c r="C1645" s="13">
        <v>37</v>
      </c>
      <c r="D1645" s="13">
        <v>429.85</v>
      </c>
      <c r="E1645" s="13" t="s">
        <v>71</v>
      </c>
      <c r="F1645" s="13">
        <v>1640</v>
      </c>
    </row>
    <row r="1646" spans="1:6" x14ac:dyDescent="0.25">
      <c r="A1646" s="16">
        <v>42940</v>
      </c>
      <c r="B1646" s="13" t="s">
        <v>1790</v>
      </c>
      <c r="C1646" s="13">
        <v>201</v>
      </c>
      <c r="D1646" s="13">
        <v>140</v>
      </c>
      <c r="E1646" s="13" t="s">
        <v>71</v>
      </c>
      <c r="F1646" s="13">
        <v>1641</v>
      </c>
    </row>
    <row r="1647" spans="1:6" x14ac:dyDescent="0.25">
      <c r="A1647" s="16">
        <v>42941</v>
      </c>
      <c r="B1647" s="13" t="s">
        <v>1791</v>
      </c>
      <c r="C1647" s="13">
        <v>41</v>
      </c>
      <c r="D1647" s="13">
        <v>346.53</v>
      </c>
      <c r="E1647" s="13" t="s">
        <v>71</v>
      </c>
      <c r="F1647" s="13">
        <v>1642</v>
      </c>
    </row>
    <row r="1648" spans="1:6" x14ac:dyDescent="0.25">
      <c r="A1648" s="16">
        <v>42941</v>
      </c>
      <c r="B1648" s="13" t="s">
        <v>1792</v>
      </c>
      <c r="C1648" s="13">
        <v>43</v>
      </c>
      <c r="D1648" s="13">
        <v>549.92999999999995</v>
      </c>
      <c r="E1648" s="13" t="s">
        <v>71</v>
      </c>
      <c r="F1648" s="13">
        <v>1643</v>
      </c>
    </row>
    <row r="1649" spans="1:6" x14ac:dyDescent="0.25">
      <c r="A1649" s="16">
        <v>42941</v>
      </c>
      <c r="B1649" s="13" t="s">
        <v>1793</v>
      </c>
      <c r="C1649" s="13">
        <v>103</v>
      </c>
      <c r="D1649" s="13">
        <v>937.65</v>
      </c>
      <c r="E1649" s="13" t="s">
        <v>71</v>
      </c>
      <c r="F1649" s="13">
        <v>1644</v>
      </c>
    </row>
    <row r="1650" spans="1:6" x14ac:dyDescent="0.25">
      <c r="A1650" s="16">
        <v>42941</v>
      </c>
      <c r="B1650" s="13" t="s">
        <v>1794</v>
      </c>
      <c r="C1650" s="13">
        <v>44</v>
      </c>
      <c r="D1650" s="13">
        <v>230.85</v>
      </c>
      <c r="E1650" s="13" t="s">
        <v>71</v>
      </c>
      <c r="F1650" s="13">
        <v>1645</v>
      </c>
    </row>
    <row r="1651" spans="1:6" x14ac:dyDescent="0.25">
      <c r="A1651" s="16">
        <v>42941</v>
      </c>
      <c r="B1651" s="13" t="s">
        <v>1795</v>
      </c>
      <c r="C1651" s="13">
        <v>35</v>
      </c>
      <c r="D1651" s="13">
        <v>767.41</v>
      </c>
      <c r="E1651" s="13" t="s">
        <v>71</v>
      </c>
      <c r="F1651" s="13">
        <v>1646</v>
      </c>
    </row>
    <row r="1652" spans="1:6" x14ac:dyDescent="0.25">
      <c r="A1652" s="16">
        <v>42941</v>
      </c>
      <c r="B1652" s="13" t="s">
        <v>1796</v>
      </c>
      <c r="C1652" s="13">
        <v>201</v>
      </c>
      <c r="D1652" s="13">
        <v>594.79999999999995</v>
      </c>
      <c r="E1652" s="13" t="s">
        <v>71</v>
      </c>
      <c r="F1652" s="13">
        <v>1647</v>
      </c>
    </row>
    <row r="1653" spans="1:6" x14ac:dyDescent="0.25">
      <c r="A1653" s="16">
        <v>42941</v>
      </c>
      <c r="B1653" s="13" t="s">
        <v>1797</v>
      </c>
      <c r="C1653" s="13">
        <v>37</v>
      </c>
      <c r="D1653" s="13">
        <v>373.8</v>
      </c>
      <c r="E1653" s="13" t="s">
        <v>71</v>
      </c>
      <c r="F1653" s="13">
        <v>1648</v>
      </c>
    </row>
    <row r="1654" spans="1:6" x14ac:dyDescent="0.25">
      <c r="A1654" s="16">
        <v>42942</v>
      </c>
      <c r="B1654" s="13" t="s">
        <v>1798</v>
      </c>
      <c r="C1654" s="13">
        <v>35</v>
      </c>
      <c r="D1654" s="13">
        <v>439.7</v>
      </c>
      <c r="E1654" s="13" t="s">
        <v>71</v>
      </c>
      <c r="F1654" s="13">
        <v>1649</v>
      </c>
    </row>
    <row r="1655" spans="1:6" x14ac:dyDescent="0.25">
      <c r="A1655" s="16">
        <v>42942</v>
      </c>
      <c r="B1655" s="13" t="s">
        <v>1799</v>
      </c>
      <c r="C1655" s="13">
        <v>103</v>
      </c>
      <c r="D1655" s="13">
        <v>578.6</v>
      </c>
      <c r="E1655" s="13" t="s">
        <v>71</v>
      </c>
      <c r="F1655" s="13">
        <v>1650</v>
      </c>
    </row>
    <row r="1656" spans="1:6" x14ac:dyDescent="0.25">
      <c r="A1656" s="16">
        <v>42942</v>
      </c>
      <c r="B1656" s="13" t="s">
        <v>1800</v>
      </c>
      <c r="C1656" s="13">
        <v>41</v>
      </c>
      <c r="D1656" s="13">
        <v>422.63</v>
      </c>
      <c r="E1656" s="13" t="s">
        <v>71</v>
      </c>
      <c r="F1656" s="13">
        <v>1651</v>
      </c>
    </row>
    <row r="1657" spans="1:6" x14ac:dyDescent="0.25">
      <c r="A1657" s="16">
        <v>42942</v>
      </c>
      <c r="B1657" s="13" t="s">
        <v>1801</v>
      </c>
      <c r="C1657" s="13">
        <v>43</v>
      </c>
      <c r="D1657" s="13">
        <v>232.75</v>
      </c>
      <c r="E1657" s="13" t="s">
        <v>71</v>
      </c>
      <c r="F1657" s="13">
        <v>1652</v>
      </c>
    </row>
    <row r="1658" spans="1:6" x14ac:dyDescent="0.25">
      <c r="A1658" s="16">
        <v>42942</v>
      </c>
      <c r="B1658" s="13" t="s">
        <v>1802</v>
      </c>
      <c r="C1658" s="13">
        <v>44</v>
      </c>
      <c r="D1658" s="13">
        <v>192.8</v>
      </c>
      <c r="E1658" s="13" t="s">
        <v>71</v>
      </c>
      <c r="F1658" s="13">
        <v>1653</v>
      </c>
    </row>
    <row r="1659" spans="1:6" x14ac:dyDescent="0.25">
      <c r="A1659" s="16">
        <v>42942</v>
      </c>
      <c r="B1659" s="13" t="s">
        <v>1803</v>
      </c>
      <c r="C1659" s="13">
        <v>201</v>
      </c>
      <c r="D1659" s="13">
        <v>514.75</v>
      </c>
      <c r="E1659" s="13" t="s">
        <v>71</v>
      </c>
      <c r="F1659" s="13">
        <v>1654</v>
      </c>
    </row>
    <row r="1660" spans="1:6" x14ac:dyDescent="0.25">
      <c r="A1660" s="16">
        <v>42942</v>
      </c>
      <c r="B1660" s="13" t="s">
        <v>1804</v>
      </c>
      <c r="C1660" s="13">
        <v>37</v>
      </c>
      <c r="D1660" s="13">
        <v>564.67999999999995</v>
      </c>
      <c r="E1660" s="13" t="s">
        <v>71</v>
      </c>
      <c r="F1660" s="13">
        <v>1655</v>
      </c>
    </row>
    <row r="1661" spans="1:6" x14ac:dyDescent="0.25">
      <c r="A1661" s="16">
        <v>42943</v>
      </c>
      <c r="B1661" s="13" t="s">
        <v>1805</v>
      </c>
      <c r="C1661" s="13">
        <v>44</v>
      </c>
      <c r="D1661" s="13">
        <v>613.35</v>
      </c>
      <c r="E1661" s="13" t="s">
        <v>71</v>
      </c>
      <c r="F1661" s="13">
        <v>1656</v>
      </c>
    </row>
    <row r="1662" spans="1:6" x14ac:dyDescent="0.25">
      <c r="A1662" s="16">
        <v>42943</v>
      </c>
      <c r="B1662" s="13" t="s">
        <v>1806</v>
      </c>
      <c r="C1662" s="13">
        <v>103</v>
      </c>
      <c r="D1662" s="13">
        <v>1084.33</v>
      </c>
      <c r="E1662" s="13" t="s">
        <v>71</v>
      </c>
      <c r="F1662" s="13">
        <v>1657</v>
      </c>
    </row>
    <row r="1663" spans="1:6" x14ac:dyDescent="0.25">
      <c r="A1663" s="16">
        <v>42943</v>
      </c>
      <c r="B1663" s="13" t="s">
        <v>1807</v>
      </c>
      <c r="C1663" s="13">
        <v>35</v>
      </c>
      <c r="D1663" s="13">
        <v>799.03</v>
      </c>
      <c r="E1663" s="13" t="s">
        <v>71</v>
      </c>
      <c r="F1663" s="13">
        <v>1658</v>
      </c>
    </row>
    <row r="1664" spans="1:6" x14ac:dyDescent="0.25">
      <c r="A1664" s="16">
        <v>42943</v>
      </c>
      <c r="B1664" s="13" t="s">
        <v>1808</v>
      </c>
      <c r="C1664" s="13">
        <v>43</v>
      </c>
      <c r="D1664" s="13">
        <v>683.5</v>
      </c>
      <c r="E1664" s="13" t="s">
        <v>71</v>
      </c>
      <c r="F1664" s="13">
        <v>1659</v>
      </c>
    </row>
    <row r="1665" spans="1:6" x14ac:dyDescent="0.25">
      <c r="A1665" s="16">
        <v>42943</v>
      </c>
      <c r="B1665" s="13" t="s">
        <v>1809</v>
      </c>
      <c r="C1665" s="13">
        <v>41</v>
      </c>
      <c r="D1665" s="13">
        <v>891.3</v>
      </c>
      <c r="E1665" s="13" t="s">
        <v>71</v>
      </c>
      <c r="F1665" s="13">
        <v>1660</v>
      </c>
    </row>
    <row r="1666" spans="1:6" x14ac:dyDescent="0.25">
      <c r="A1666" s="16">
        <v>42943</v>
      </c>
      <c r="B1666" s="13" t="s">
        <v>1810</v>
      </c>
      <c r="C1666" s="13">
        <v>37</v>
      </c>
      <c r="D1666" s="13">
        <v>1094.03</v>
      </c>
      <c r="E1666" s="13" t="s">
        <v>71</v>
      </c>
      <c r="F1666" s="13">
        <v>1661</v>
      </c>
    </row>
    <row r="1667" spans="1:6" x14ac:dyDescent="0.25">
      <c r="A1667" s="16">
        <v>42943</v>
      </c>
      <c r="B1667" s="13" t="s">
        <v>1811</v>
      </c>
      <c r="C1667" s="13">
        <v>201</v>
      </c>
      <c r="D1667" s="13">
        <v>674.8</v>
      </c>
      <c r="E1667" s="13" t="s">
        <v>71</v>
      </c>
      <c r="F1667" s="13">
        <v>1662</v>
      </c>
    </row>
    <row r="1668" spans="1:6" x14ac:dyDescent="0.25">
      <c r="A1668" s="16">
        <v>42946</v>
      </c>
      <c r="B1668" s="13" t="s">
        <v>1812</v>
      </c>
      <c r="C1668" s="13">
        <v>35</v>
      </c>
      <c r="D1668" s="13">
        <v>574.79999999999995</v>
      </c>
      <c r="E1668" s="13" t="s">
        <v>71</v>
      </c>
      <c r="F1668" s="13">
        <v>1663</v>
      </c>
    </row>
    <row r="1669" spans="1:6" x14ac:dyDescent="0.25">
      <c r="A1669" s="16">
        <v>42946</v>
      </c>
      <c r="B1669" s="13" t="s">
        <v>1813</v>
      </c>
      <c r="C1669" s="13">
        <v>44</v>
      </c>
      <c r="D1669" s="13">
        <v>189.95</v>
      </c>
      <c r="E1669" s="13" t="s">
        <v>71</v>
      </c>
      <c r="F1669" s="13">
        <v>1664</v>
      </c>
    </row>
    <row r="1670" spans="1:6" x14ac:dyDescent="0.25">
      <c r="A1670" s="16">
        <v>42946</v>
      </c>
      <c r="B1670" s="13" t="s">
        <v>1814</v>
      </c>
      <c r="C1670" s="13">
        <v>41</v>
      </c>
      <c r="D1670" s="13">
        <v>214.9</v>
      </c>
      <c r="E1670" s="13" t="s">
        <v>71</v>
      </c>
      <c r="F1670" s="13">
        <v>1665</v>
      </c>
    </row>
    <row r="1671" spans="1:6" x14ac:dyDescent="0.25">
      <c r="A1671" s="16">
        <v>42946</v>
      </c>
      <c r="B1671" s="13" t="s">
        <v>1815</v>
      </c>
      <c r="C1671" s="13">
        <v>103</v>
      </c>
      <c r="D1671" s="13">
        <v>352.85</v>
      </c>
      <c r="E1671" s="13" t="s">
        <v>71</v>
      </c>
      <c r="F1671" s="13">
        <v>1666</v>
      </c>
    </row>
    <row r="1672" spans="1:6" x14ac:dyDescent="0.25">
      <c r="A1672" s="16">
        <v>42946</v>
      </c>
      <c r="B1672" s="13" t="s">
        <v>1816</v>
      </c>
      <c r="C1672" s="13">
        <v>43</v>
      </c>
      <c r="D1672" s="13">
        <v>199.93</v>
      </c>
      <c r="E1672" s="13" t="s">
        <v>71</v>
      </c>
      <c r="F1672" s="13">
        <v>1667</v>
      </c>
    </row>
    <row r="1673" spans="1:6" x14ac:dyDescent="0.25">
      <c r="A1673" s="16">
        <v>42945</v>
      </c>
      <c r="B1673" s="13" t="s">
        <v>1817</v>
      </c>
      <c r="C1673" s="13">
        <v>41</v>
      </c>
      <c r="D1673" s="13">
        <v>677.58</v>
      </c>
      <c r="E1673" s="13" t="s">
        <v>71</v>
      </c>
      <c r="F1673" s="13">
        <v>1668</v>
      </c>
    </row>
    <row r="1674" spans="1:6" x14ac:dyDescent="0.25">
      <c r="A1674" s="16">
        <v>42945</v>
      </c>
      <c r="B1674" s="13" t="s">
        <v>1818</v>
      </c>
      <c r="C1674" s="13">
        <v>44</v>
      </c>
      <c r="D1674" s="13">
        <v>444.5</v>
      </c>
      <c r="E1674" s="13" t="s">
        <v>71</v>
      </c>
      <c r="F1674" s="13">
        <v>1669</v>
      </c>
    </row>
    <row r="1675" spans="1:6" x14ac:dyDescent="0.25">
      <c r="A1675" s="16">
        <v>42945</v>
      </c>
      <c r="B1675" s="13" t="s">
        <v>1819</v>
      </c>
      <c r="C1675" s="13">
        <v>103</v>
      </c>
      <c r="D1675" s="13">
        <v>947.63</v>
      </c>
      <c r="E1675" s="13" t="s">
        <v>71</v>
      </c>
      <c r="F1675" s="13">
        <v>1670</v>
      </c>
    </row>
    <row r="1676" spans="1:6" x14ac:dyDescent="0.25">
      <c r="A1676" s="16">
        <v>42945</v>
      </c>
      <c r="B1676" s="13" t="s">
        <v>1820</v>
      </c>
      <c r="C1676" s="13">
        <v>43</v>
      </c>
      <c r="D1676" s="13">
        <v>610.45000000000005</v>
      </c>
      <c r="E1676" s="13" t="s">
        <v>71</v>
      </c>
      <c r="F1676" s="13">
        <v>1671</v>
      </c>
    </row>
    <row r="1677" spans="1:6" x14ac:dyDescent="0.25">
      <c r="A1677" s="16">
        <v>42945</v>
      </c>
      <c r="B1677" s="13" t="s">
        <v>1821</v>
      </c>
      <c r="C1677" s="13">
        <v>35</v>
      </c>
      <c r="D1677" s="13">
        <v>773.31</v>
      </c>
      <c r="E1677" s="13" t="s">
        <v>71</v>
      </c>
      <c r="F1677" s="13">
        <v>1672</v>
      </c>
    </row>
    <row r="1678" spans="1:6" x14ac:dyDescent="0.25">
      <c r="A1678" s="16">
        <v>42944</v>
      </c>
      <c r="B1678" s="13" t="s">
        <v>1822</v>
      </c>
      <c r="C1678" s="13">
        <v>41</v>
      </c>
      <c r="D1678" s="13">
        <v>837.23</v>
      </c>
      <c r="E1678" s="13" t="s">
        <v>71</v>
      </c>
      <c r="F1678" s="13">
        <v>1673</v>
      </c>
    </row>
    <row r="1679" spans="1:6" x14ac:dyDescent="0.25">
      <c r="A1679" s="16">
        <v>42944</v>
      </c>
      <c r="B1679" s="13" t="s">
        <v>1823</v>
      </c>
      <c r="C1679" s="13">
        <v>103</v>
      </c>
      <c r="D1679" s="13">
        <v>652.75</v>
      </c>
      <c r="E1679" s="13" t="s">
        <v>71</v>
      </c>
      <c r="F1679" s="13">
        <v>1674</v>
      </c>
    </row>
    <row r="1680" spans="1:6" x14ac:dyDescent="0.25">
      <c r="A1680" s="16">
        <v>42944</v>
      </c>
      <c r="B1680" s="13" t="s">
        <v>1824</v>
      </c>
      <c r="C1680" s="13">
        <v>44</v>
      </c>
      <c r="D1680" s="13">
        <v>279.73</v>
      </c>
      <c r="E1680" s="13" t="s">
        <v>71</v>
      </c>
      <c r="F1680" s="13">
        <v>1675</v>
      </c>
    </row>
    <row r="1681" spans="1:6" x14ac:dyDescent="0.25">
      <c r="A1681" s="16">
        <v>42944</v>
      </c>
      <c r="B1681" s="13" t="s">
        <v>1825</v>
      </c>
      <c r="C1681" s="13">
        <v>43</v>
      </c>
      <c r="D1681" s="13">
        <v>250.65</v>
      </c>
      <c r="E1681" s="13" t="s">
        <v>71</v>
      </c>
      <c r="F1681" s="13">
        <v>1676</v>
      </c>
    </row>
    <row r="1682" spans="1:6" x14ac:dyDescent="0.25">
      <c r="A1682" s="16">
        <v>42944</v>
      </c>
      <c r="B1682" s="13" t="s">
        <v>1826</v>
      </c>
      <c r="C1682" s="13">
        <v>35</v>
      </c>
      <c r="D1682" s="13">
        <v>770.13</v>
      </c>
      <c r="E1682" s="13" t="s">
        <v>71</v>
      </c>
      <c r="F1682" s="13">
        <v>1677</v>
      </c>
    </row>
    <row r="1683" spans="1:6" x14ac:dyDescent="0.25">
      <c r="A1683" s="16">
        <v>42946</v>
      </c>
      <c r="B1683" s="13" t="s">
        <v>1827</v>
      </c>
      <c r="C1683" s="13">
        <v>37</v>
      </c>
      <c r="D1683" s="13">
        <v>474.73</v>
      </c>
      <c r="E1683" s="13" t="s">
        <v>71</v>
      </c>
      <c r="F1683" s="13">
        <v>1678</v>
      </c>
    </row>
    <row r="1684" spans="1:6" x14ac:dyDescent="0.25">
      <c r="A1684" s="16">
        <v>42946</v>
      </c>
      <c r="B1684" s="13" t="s">
        <v>1828</v>
      </c>
      <c r="C1684" s="13">
        <v>201</v>
      </c>
      <c r="D1684" s="13">
        <v>245</v>
      </c>
      <c r="E1684" s="13" t="s">
        <v>71</v>
      </c>
      <c r="F1684" s="13">
        <v>1679</v>
      </c>
    </row>
    <row r="1685" spans="1:6" x14ac:dyDescent="0.25">
      <c r="A1685" s="16">
        <v>42945</v>
      </c>
      <c r="B1685" s="13" t="s">
        <v>1829</v>
      </c>
      <c r="C1685" s="13">
        <v>201</v>
      </c>
      <c r="D1685" s="13">
        <v>529.86</v>
      </c>
      <c r="E1685" s="13" t="s">
        <v>71</v>
      </c>
      <c r="F1685" s="13">
        <v>1680</v>
      </c>
    </row>
    <row r="1686" spans="1:6" x14ac:dyDescent="0.25">
      <c r="A1686" s="16">
        <v>42945</v>
      </c>
      <c r="B1686" s="13" t="s">
        <v>1830</v>
      </c>
      <c r="C1686" s="13">
        <v>37</v>
      </c>
      <c r="D1686" s="13">
        <v>969.18</v>
      </c>
      <c r="E1686" s="13" t="s">
        <v>71</v>
      </c>
      <c r="F1686" s="13">
        <v>1681</v>
      </c>
    </row>
    <row r="1687" spans="1:6" x14ac:dyDescent="0.25">
      <c r="A1687" s="16">
        <v>42944</v>
      </c>
      <c r="B1687" s="13" t="s">
        <v>1831</v>
      </c>
      <c r="C1687" s="13">
        <v>37</v>
      </c>
      <c r="D1687" s="13">
        <v>409.6</v>
      </c>
      <c r="E1687" s="13" t="s">
        <v>71</v>
      </c>
      <c r="F1687" s="13">
        <v>1682</v>
      </c>
    </row>
    <row r="1688" spans="1:6" x14ac:dyDescent="0.25">
      <c r="A1688" s="16">
        <v>42944</v>
      </c>
      <c r="B1688" s="13" t="s">
        <v>1832</v>
      </c>
      <c r="C1688" s="13">
        <v>201</v>
      </c>
      <c r="D1688" s="13">
        <v>614.4</v>
      </c>
      <c r="E1688" s="13" t="s">
        <v>71</v>
      </c>
      <c r="F1688" s="13">
        <v>1683</v>
      </c>
    </row>
    <row r="1689" spans="1:6" x14ac:dyDescent="0.25">
      <c r="A1689" s="16">
        <v>42947</v>
      </c>
      <c r="B1689" s="13" t="s">
        <v>1833</v>
      </c>
      <c r="C1689" s="13">
        <v>41</v>
      </c>
      <c r="D1689" s="13">
        <v>439.4</v>
      </c>
      <c r="E1689" s="13" t="s">
        <v>71</v>
      </c>
      <c r="F1689" s="13">
        <v>1684</v>
      </c>
    </row>
    <row r="1690" spans="1:6" x14ac:dyDescent="0.25">
      <c r="A1690" s="16">
        <v>42947</v>
      </c>
      <c r="B1690" s="13" t="s">
        <v>1835</v>
      </c>
      <c r="C1690" s="13">
        <v>44</v>
      </c>
      <c r="D1690" s="13">
        <v>294.89999999999998</v>
      </c>
      <c r="E1690" s="13" t="s">
        <v>71</v>
      </c>
      <c r="F1690" s="13">
        <v>1685</v>
      </c>
    </row>
    <row r="1691" spans="1:6" x14ac:dyDescent="0.25">
      <c r="A1691" s="16">
        <v>42947</v>
      </c>
      <c r="B1691" s="13" t="s">
        <v>1836</v>
      </c>
      <c r="C1691" s="13">
        <v>43</v>
      </c>
      <c r="D1691" s="13">
        <v>499.53</v>
      </c>
      <c r="E1691" s="13" t="s">
        <v>71</v>
      </c>
      <c r="F1691" s="13">
        <v>1686</v>
      </c>
    </row>
    <row r="1692" spans="1:6" x14ac:dyDescent="0.25">
      <c r="A1692" s="16">
        <v>42947</v>
      </c>
      <c r="B1692" s="13" t="s">
        <v>1837</v>
      </c>
      <c r="C1692" s="13">
        <v>35</v>
      </c>
      <c r="D1692" s="13">
        <v>567.61</v>
      </c>
      <c r="E1692" s="13" t="s">
        <v>71</v>
      </c>
      <c r="F1692" s="13">
        <v>1687</v>
      </c>
    </row>
    <row r="1693" spans="1:6" x14ac:dyDescent="0.25">
      <c r="A1693" s="16">
        <v>42947</v>
      </c>
      <c r="B1693" s="13" t="s">
        <v>1838</v>
      </c>
      <c r="C1693" s="13">
        <v>103</v>
      </c>
      <c r="D1693" s="13">
        <v>652.6</v>
      </c>
      <c r="E1693" s="13" t="s">
        <v>71</v>
      </c>
      <c r="F1693" s="13">
        <v>1688</v>
      </c>
    </row>
    <row r="1694" spans="1:6" x14ac:dyDescent="0.25">
      <c r="A1694" s="16">
        <v>42947</v>
      </c>
      <c r="B1694" s="13" t="s">
        <v>1841</v>
      </c>
      <c r="C1694" s="13">
        <v>37</v>
      </c>
      <c r="D1694" s="13">
        <v>446.75</v>
      </c>
      <c r="E1694" s="13" t="s">
        <v>71</v>
      </c>
      <c r="F1694" s="13">
        <v>1689</v>
      </c>
    </row>
    <row r="1695" spans="1:6" x14ac:dyDescent="0.25">
      <c r="A1695" s="16">
        <v>42947</v>
      </c>
      <c r="B1695" s="13" t="s">
        <v>1842</v>
      </c>
      <c r="C1695" s="13">
        <v>201</v>
      </c>
      <c r="D1695" s="13">
        <v>214.85</v>
      </c>
      <c r="E1695" s="13" t="s">
        <v>71</v>
      </c>
      <c r="F1695" s="13">
        <v>1690</v>
      </c>
    </row>
    <row r="1696" spans="1:6" x14ac:dyDescent="0.25">
      <c r="A1696" s="16">
        <v>42948</v>
      </c>
      <c r="B1696" s="13" t="s">
        <v>1844</v>
      </c>
      <c r="C1696" s="13">
        <v>43</v>
      </c>
      <c r="D1696" s="13">
        <v>219.6</v>
      </c>
      <c r="E1696" s="13" t="s">
        <v>71</v>
      </c>
      <c r="F1696" s="13">
        <v>1691</v>
      </c>
    </row>
    <row r="1697" spans="1:6" x14ac:dyDescent="0.25">
      <c r="A1697" s="16">
        <v>42948</v>
      </c>
      <c r="B1697" s="13" t="s">
        <v>1845</v>
      </c>
      <c r="C1697" s="13">
        <v>41</v>
      </c>
      <c r="D1697" s="13">
        <v>434.7</v>
      </c>
      <c r="E1697" s="13" t="s">
        <v>71</v>
      </c>
      <c r="F1697" s="13">
        <v>1692</v>
      </c>
    </row>
    <row r="1698" spans="1:6" x14ac:dyDescent="0.25">
      <c r="A1698" s="16">
        <v>42948</v>
      </c>
      <c r="B1698" s="13" t="s">
        <v>1846</v>
      </c>
      <c r="C1698" s="13">
        <v>103</v>
      </c>
      <c r="D1698" s="13">
        <v>525.6</v>
      </c>
      <c r="E1698" s="13" t="s">
        <v>71</v>
      </c>
      <c r="F1698" s="13">
        <v>1693</v>
      </c>
    </row>
    <row r="1699" spans="1:6" x14ac:dyDescent="0.25">
      <c r="A1699" s="16">
        <v>42948</v>
      </c>
      <c r="B1699" s="13" t="s">
        <v>1847</v>
      </c>
      <c r="C1699" s="13">
        <v>35</v>
      </c>
      <c r="D1699" s="13">
        <v>599.70000000000005</v>
      </c>
      <c r="E1699" s="13" t="s">
        <v>71</v>
      </c>
      <c r="F1699" s="13">
        <v>1694</v>
      </c>
    </row>
    <row r="1700" spans="1:6" x14ac:dyDescent="0.25">
      <c r="A1700" s="16">
        <v>42948</v>
      </c>
      <c r="B1700" s="13" t="s">
        <v>1848</v>
      </c>
      <c r="C1700" s="13">
        <v>44</v>
      </c>
      <c r="D1700" s="13">
        <v>299.7</v>
      </c>
      <c r="E1700" s="13" t="s">
        <v>71</v>
      </c>
      <c r="F1700" s="13">
        <v>1695</v>
      </c>
    </row>
    <row r="1701" spans="1:6" x14ac:dyDescent="0.25">
      <c r="A1701" s="16">
        <v>42948</v>
      </c>
      <c r="B1701" s="13" t="s">
        <v>1849</v>
      </c>
      <c r="C1701" s="13">
        <v>201</v>
      </c>
      <c r="D1701" s="13">
        <v>279.98</v>
      </c>
      <c r="E1701" s="13" t="s">
        <v>71</v>
      </c>
      <c r="F1701" s="13">
        <v>1696</v>
      </c>
    </row>
    <row r="1702" spans="1:6" x14ac:dyDescent="0.25">
      <c r="A1702" s="16">
        <v>42948</v>
      </c>
      <c r="B1702" s="13" t="s">
        <v>1850</v>
      </c>
      <c r="C1702" s="13">
        <v>37</v>
      </c>
      <c r="D1702" s="13">
        <v>344.75</v>
      </c>
      <c r="E1702" s="13" t="s">
        <v>71</v>
      </c>
      <c r="F1702" s="13">
        <v>1697</v>
      </c>
    </row>
    <row r="1703" spans="1:6" x14ac:dyDescent="0.25">
      <c r="A1703" s="16">
        <v>42949</v>
      </c>
      <c r="B1703" s="13" t="s">
        <v>1851</v>
      </c>
      <c r="C1703" s="13">
        <v>35</v>
      </c>
      <c r="D1703" s="13">
        <v>512.65</v>
      </c>
      <c r="E1703" s="13" t="s">
        <v>71</v>
      </c>
      <c r="F1703" s="13">
        <v>1698</v>
      </c>
    </row>
    <row r="1704" spans="1:6" x14ac:dyDescent="0.25">
      <c r="A1704" s="16">
        <v>42949</v>
      </c>
      <c r="B1704" s="13" t="s">
        <v>1852</v>
      </c>
      <c r="C1704" s="13">
        <v>44</v>
      </c>
      <c r="D1704" s="13">
        <v>709.33</v>
      </c>
      <c r="E1704" s="13" t="s">
        <v>71</v>
      </c>
      <c r="F1704" s="13">
        <v>1699</v>
      </c>
    </row>
    <row r="1705" spans="1:6" x14ac:dyDescent="0.25">
      <c r="A1705" s="16">
        <v>42949</v>
      </c>
      <c r="B1705" s="13" t="s">
        <v>1853</v>
      </c>
      <c r="C1705" s="13">
        <v>103</v>
      </c>
      <c r="D1705" s="13">
        <v>484.4</v>
      </c>
      <c r="E1705" s="13" t="s">
        <v>71</v>
      </c>
      <c r="F1705" s="13">
        <v>1700</v>
      </c>
    </row>
    <row r="1706" spans="1:6" x14ac:dyDescent="0.25">
      <c r="A1706" s="16">
        <v>42949</v>
      </c>
      <c r="B1706" s="13" t="s">
        <v>1854</v>
      </c>
      <c r="C1706" s="13">
        <v>41</v>
      </c>
      <c r="D1706" s="13">
        <v>514.45000000000005</v>
      </c>
      <c r="E1706" s="13" t="s">
        <v>71</v>
      </c>
      <c r="F1706" s="13">
        <v>1701</v>
      </c>
    </row>
    <row r="1707" spans="1:6" x14ac:dyDescent="0.25">
      <c r="A1707" s="16">
        <v>42949</v>
      </c>
      <c r="B1707" s="13" t="s">
        <v>1855</v>
      </c>
      <c r="C1707" s="13">
        <v>43</v>
      </c>
      <c r="D1707" s="13">
        <v>417.41</v>
      </c>
      <c r="E1707" s="13" t="s">
        <v>71</v>
      </c>
      <c r="F1707" s="13">
        <v>1702</v>
      </c>
    </row>
    <row r="1708" spans="1:6" x14ac:dyDescent="0.25">
      <c r="A1708" s="16">
        <v>42949</v>
      </c>
      <c r="B1708" s="13" t="s">
        <v>1856</v>
      </c>
      <c r="C1708" s="13">
        <v>201</v>
      </c>
      <c r="D1708" s="13">
        <v>519.45000000000005</v>
      </c>
      <c r="E1708" s="13" t="s">
        <v>71</v>
      </c>
      <c r="F1708" s="13">
        <v>1703</v>
      </c>
    </row>
    <row r="1709" spans="1:6" x14ac:dyDescent="0.25">
      <c r="A1709" s="16">
        <v>42949</v>
      </c>
      <c r="B1709" s="13" t="s">
        <v>1857</v>
      </c>
      <c r="C1709" s="13">
        <v>37</v>
      </c>
      <c r="D1709" s="13">
        <v>674.35</v>
      </c>
      <c r="E1709" s="13" t="s">
        <v>71</v>
      </c>
      <c r="F1709" s="13">
        <v>1704</v>
      </c>
    </row>
    <row r="1710" spans="1:6" x14ac:dyDescent="0.25">
      <c r="A1710" s="16">
        <v>42950</v>
      </c>
      <c r="B1710" s="13" t="s">
        <v>1859</v>
      </c>
      <c r="C1710" s="13">
        <v>41</v>
      </c>
      <c r="D1710" s="13">
        <v>1197.52</v>
      </c>
      <c r="E1710" s="13" t="s">
        <v>71</v>
      </c>
      <c r="F1710" s="13">
        <v>1705</v>
      </c>
    </row>
    <row r="1711" spans="1:6" x14ac:dyDescent="0.25">
      <c r="A1711" s="16">
        <v>42950</v>
      </c>
      <c r="B1711" s="13" t="s">
        <v>1860</v>
      </c>
      <c r="C1711" s="13">
        <v>35</v>
      </c>
      <c r="D1711" s="13">
        <v>1034.1400000000001</v>
      </c>
      <c r="E1711" s="13" t="s">
        <v>71</v>
      </c>
      <c r="F1711" s="13">
        <v>1706</v>
      </c>
    </row>
    <row r="1712" spans="1:6" x14ac:dyDescent="0.25">
      <c r="A1712" s="16">
        <v>42950</v>
      </c>
      <c r="B1712" s="13" t="s">
        <v>1861</v>
      </c>
      <c r="C1712" s="13">
        <v>103</v>
      </c>
      <c r="D1712" s="13">
        <v>1313.13</v>
      </c>
      <c r="E1712" s="13" t="s">
        <v>71</v>
      </c>
      <c r="F1712" s="13">
        <v>1707</v>
      </c>
    </row>
    <row r="1713" spans="1:6" x14ac:dyDescent="0.25">
      <c r="A1713" s="16">
        <v>42950</v>
      </c>
      <c r="B1713" s="13" t="s">
        <v>1862</v>
      </c>
      <c r="C1713" s="13">
        <v>44</v>
      </c>
      <c r="D1713" s="13">
        <v>494.61</v>
      </c>
      <c r="E1713" s="13" t="s">
        <v>71</v>
      </c>
      <c r="F1713" s="13">
        <v>1708</v>
      </c>
    </row>
    <row r="1714" spans="1:6" x14ac:dyDescent="0.25">
      <c r="A1714" s="16">
        <v>42950</v>
      </c>
      <c r="B1714" s="13" t="s">
        <v>1863</v>
      </c>
      <c r="C1714" s="13">
        <v>43</v>
      </c>
      <c r="D1714" s="13">
        <v>807.48</v>
      </c>
      <c r="E1714" s="13" t="s">
        <v>71</v>
      </c>
      <c r="F1714" s="13">
        <v>1709</v>
      </c>
    </row>
    <row r="1715" spans="1:6" x14ac:dyDescent="0.25">
      <c r="A1715" s="16">
        <v>42950</v>
      </c>
      <c r="B1715" s="13" t="s">
        <v>1864</v>
      </c>
      <c r="C1715" s="13">
        <v>37</v>
      </c>
      <c r="D1715" s="13">
        <v>709.33</v>
      </c>
      <c r="E1715" s="13" t="s">
        <v>71</v>
      </c>
      <c r="F1715" s="13">
        <v>1710</v>
      </c>
    </row>
    <row r="1716" spans="1:6" x14ac:dyDescent="0.25">
      <c r="A1716" s="16">
        <v>42950</v>
      </c>
      <c r="B1716" s="13" t="s">
        <v>1865</v>
      </c>
      <c r="C1716" s="13">
        <v>201</v>
      </c>
      <c r="D1716" s="13">
        <v>549.80999999999995</v>
      </c>
      <c r="E1716" s="13" t="s">
        <v>71</v>
      </c>
      <c r="F1716" s="13">
        <v>1711</v>
      </c>
    </row>
    <row r="1717" spans="1:6" x14ac:dyDescent="0.25">
      <c r="A1717" s="16">
        <v>42953</v>
      </c>
      <c r="B1717" s="13" t="s">
        <v>1866</v>
      </c>
      <c r="C1717" s="13">
        <v>43</v>
      </c>
      <c r="D1717" s="13">
        <v>279.89</v>
      </c>
      <c r="E1717" s="13" t="s">
        <v>71</v>
      </c>
      <c r="F1717" s="13">
        <v>1712</v>
      </c>
    </row>
    <row r="1718" spans="1:6" x14ac:dyDescent="0.25">
      <c r="A1718" s="16">
        <v>42953</v>
      </c>
      <c r="B1718" s="13" t="s">
        <v>1867</v>
      </c>
      <c r="C1718" s="13">
        <v>41</v>
      </c>
      <c r="D1718" s="13">
        <v>627.78</v>
      </c>
      <c r="E1718" s="13" t="s">
        <v>71</v>
      </c>
      <c r="F1718" s="13">
        <v>1713</v>
      </c>
    </row>
    <row r="1719" spans="1:6" x14ac:dyDescent="0.25">
      <c r="A1719" s="16">
        <v>42953</v>
      </c>
      <c r="B1719" s="13" t="s">
        <v>1868</v>
      </c>
      <c r="C1719" s="13">
        <v>103</v>
      </c>
      <c r="D1719" s="13">
        <v>597.67999999999995</v>
      </c>
      <c r="E1719" s="13" t="s">
        <v>71</v>
      </c>
      <c r="F1719" s="13">
        <v>1714</v>
      </c>
    </row>
    <row r="1720" spans="1:6" x14ac:dyDescent="0.25">
      <c r="A1720" s="16">
        <v>42953</v>
      </c>
      <c r="B1720" s="13" t="s">
        <v>1869</v>
      </c>
      <c r="C1720" s="13">
        <v>44</v>
      </c>
      <c r="D1720" s="13">
        <v>494.98</v>
      </c>
      <c r="E1720" s="13" t="s">
        <v>71</v>
      </c>
      <c r="F1720" s="13">
        <v>1715</v>
      </c>
    </row>
    <row r="1721" spans="1:6" x14ac:dyDescent="0.25">
      <c r="A1721" s="16">
        <v>42953</v>
      </c>
      <c r="B1721" s="13" t="s">
        <v>1870</v>
      </c>
      <c r="C1721" s="13">
        <v>35</v>
      </c>
      <c r="D1721" s="13">
        <v>549.75</v>
      </c>
      <c r="E1721" s="13" t="s">
        <v>71</v>
      </c>
      <c r="F1721" s="13">
        <v>1716</v>
      </c>
    </row>
    <row r="1722" spans="1:6" x14ac:dyDescent="0.25">
      <c r="A1722" s="16">
        <v>42952</v>
      </c>
      <c r="B1722" s="13" t="s">
        <v>1871</v>
      </c>
      <c r="C1722" s="13">
        <v>41</v>
      </c>
      <c r="D1722" s="13">
        <v>675.69</v>
      </c>
      <c r="E1722" s="13" t="s">
        <v>71</v>
      </c>
      <c r="F1722" s="13">
        <v>1717</v>
      </c>
    </row>
    <row r="1723" spans="1:6" x14ac:dyDescent="0.25">
      <c r="A1723" s="16">
        <v>42952</v>
      </c>
      <c r="B1723" s="13" t="s">
        <v>1872</v>
      </c>
      <c r="C1723" s="13">
        <v>35</v>
      </c>
      <c r="D1723" s="13">
        <v>1039.3</v>
      </c>
      <c r="E1723" s="13" t="s">
        <v>71</v>
      </c>
      <c r="F1723" s="13">
        <v>1718</v>
      </c>
    </row>
    <row r="1724" spans="1:6" x14ac:dyDescent="0.25">
      <c r="A1724" s="16">
        <v>42952</v>
      </c>
      <c r="B1724" s="13" t="s">
        <v>1873</v>
      </c>
      <c r="C1724" s="13">
        <v>103</v>
      </c>
      <c r="D1724" s="13">
        <v>1168.3900000000001</v>
      </c>
      <c r="E1724" s="13" t="s">
        <v>71</v>
      </c>
      <c r="F1724" s="13">
        <v>1719</v>
      </c>
    </row>
    <row r="1725" spans="1:6" x14ac:dyDescent="0.25">
      <c r="A1725" s="16">
        <v>42952</v>
      </c>
      <c r="B1725" s="13" t="s">
        <v>1874</v>
      </c>
      <c r="C1725" s="13">
        <v>44</v>
      </c>
      <c r="D1725" s="13">
        <v>1112.5999999999999</v>
      </c>
      <c r="E1725" s="13" t="s">
        <v>71</v>
      </c>
      <c r="F1725" s="13">
        <v>1720</v>
      </c>
    </row>
    <row r="1726" spans="1:6" x14ac:dyDescent="0.25">
      <c r="A1726" s="16">
        <v>42952</v>
      </c>
      <c r="B1726" s="13" t="s">
        <v>1875</v>
      </c>
      <c r="C1726" s="13">
        <v>43</v>
      </c>
      <c r="D1726" s="13">
        <v>444.91</v>
      </c>
      <c r="E1726" s="13" t="s">
        <v>71</v>
      </c>
      <c r="F1726" s="13">
        <v>1721</v>
      </c>
    </row>
    <row r="1727" spans="1:6" x14ac:dyDescent="0.25">
      <c r="A1727" s="16">
        <v>42951</v>
      </c>
      <c r="B1727" s="13" t="s">
        <v>1876</v>
      </c>
      <c r="C1727" s="13">
        <v>35</v>
      </c>
      <c r="D1727" s="13">
        <v>1045.5899999999999</v>
      </c>
      <c r="E1727" s="13" t="s">
        <v>71</v>
      </c>
      <c r="F1727" s="13">
        <v>1722</v>
      </c>
    </row>
    <row r="1728" spans="1:6" x14ac:dyDescent="0.25">
      <c r="A1728" s="16">
        <v>42951</v>
      </c>
      <c r="B1728" s="13" t="s">
        <v>1877</v>
      </c>
      <c r="C1728" s="13">
        <v>44</v>
      </c>
      <c r="D1728" s="13">
        <v>773.51</v>
      </c>
      <c r="E1728" s="13" t="s">
        <v>71</v>
      </c>
      <c r="F1728" s="13">
        <v>1723</v>
      </c>
    </row>
    <row r="1729" spans="1:6" x14ac:dyDescent="0.25">
      <c r="A1729" s="16">
        <v>42951</v>
      </c>
      <c r="B1729" s="13" t="s">
        <v>1878</v>
      </c>
      <c r="C1729" s="13">
        <v>103</v>
      </c>
      <c r="D1729" s="13">
        <v>1015.75</v>
      </c>
      <c r="E1729" s="13" t="s">
        <v>71</v>
      </c>
      <c r="F1729" s="13">
        <v>1724</v>
      </c>
    </row>
    <row r="1730" spans="1:6" x14ac:dyDescent="0.25">
      <c r="A1730" s="16">
        <v>42951</v>
      </c>
      <c r="B1730" s="13" t="s">
        <v>1879</v>
      </c>
      <c r="C1730" s="13">
        <v>41</v>
      </c>
      <c r="D1730" s="13">
        <v>467.86</v>
      </c>
      <c r="E1730" s="13" t="s">
        <v>71</v>
      </c>
      <c r="F1730" s="13">
        <v>1725</v>
      </c>
    </row>
    <row r="1731" spans="1:6" x14ac:dyDescent="0.25">
      <c r="A1731" s="16">
        <v>42951</v>
      </c>
      <c r="B1731" s="13" t="s">
        <v>1880</v>
      </c>
      <c r="C1731" s="13">
        <v>43</v>
      </c>
      <c r="D1731" s="13">
        <v>315.88</v>
      </c>
      <c r="E1731" s="13" t="s">
        <v>71</v>
      </c>
      <c r="F1731" s="13">
        <v>1726</v>
      </c>
    </row>
    <row r="1732" spans="1:6" x14ac:dyDescent="0.25">
      <c r="A1732" s="16">
        <v>42953</v>
      </c>
      <c r="B1732" s="13" t="s">
        <v>1881</v>
      </c>
      <c r="C1732" s="13">
        <v>201</v>
      </c>
      <c r="D1732" s="13">
        <v>455</v>
      </c>
      <c r="E1732" s="13" t="s">
        <v>71</v>
      </c>
      <c r="F1732" s="13">
        <v>1727</v>
      </c>
    </row>
    <row r="1733" spans="1:6" x14ac:dyDescent="0.25">
      <c r="A1733" s="16">
        <v>42953</v>
      </c>
      <c r="B1733" s="13" t="s">
        <v>1882</v>
      </c>
      <c r="C1733" s="13">
        <v>37</v>
      </c>
      <c r="D1733" s="13">
        <v>879.63</v>
      </c>
      <c r="E1733" s="13" t="s">
        <v>71</v>
      </c>
      <c r="F1733" s="13">
        <v>1728</v>
      </c>
    </row>
    <row r="1734" spans="1:6" x14ac:dyDescent="0.25">
      <c r="A1734" s="16">
        <v>42952</v>
      </c>
      <c r="B1734" s="13" t="s">
        <v>1883</v>
      </c>
      <c r="C1734" s="13">
        <v>37</v>
      </c>
      <c r="D1734" s="13">
        <v>1049.67</v>
      </c>
      <c r="E1734" s="13" t="s">
        <v>71</v>
      </c>
      <c r="F1734" s="13">
        <v>1729</v>
      </c>
    </row>
    <row r="1735" spans="1:6" x14ac:dyDescent="0.25">
      <c r="A1735" s="16">
        <v>42952</v>
      </c>
      <c r="B1735" s="13" t="s">
        <v>1884</v>
      </c>
      <c r="C1735" s="13">
        <v>201</v>
      </c>
      <c r="D1735" s="13">
        <v>984.96</v>
      </c>
      <c r="E1735" s="13" t="s">
        <v>71</v>
      </c>
      <c r="F1735" s="13">
        <v>1730</v>
      </c>
    </row>
    <row r="1736" spans="1:6" x14ac:dyDescent="0.25">
      <c r="A1736" s="16">
        <v>42951</v>
      </c>
      <c r="B1736" s="13" t="s">
        <v>1885</v>
      </c>
      <c r="C1736" s="13">
        <v>37</v>
      </c>
      <c r="D1736" s="13">
        <v>1174.8599999999999</v>
      </c>
      <c r="E1736" s="13" t="s">
        <v>71</v>
      </c>
      <c r="F1736" s="13">
        <v>1731</v>
      </c>
    </row>
    <row r="1737" spans="1:6" x14ac:dyDescent="0.25">
      <c r="A1737" s="16">
        <v>42951</v>
      </c>
      <c r="B1737" s="13" t="s">
        <v>1886</v>
      </c>
      <c r="C1737" s="13">
        <v>201</v>
      </c>
      <c r="D1737" s="13">
        <v>992.93</v>
      </c>
      <c r="E1737" s="13" t="s">
        <v>71</v>
      </c>
      <c r="F1737" s="13">
        <v>1732</v>
      </c>
    </row>
    <row r="1738" spans="1:6" x14ac:dyDescent="0.25">
      <c r="A1738" s="16">
        <v>42956</v>
      </c>
      <c r="B1738" s="13" t="s">
        <v>1887</v>
      </c>
      <c r="C1738" s="13">
        <v>41</v>
      </c>
      <c r="D1738" s="13">
        <v>251.66</v>
      </c>
      <c r="E1738" s="13" t="s">
        <v>71</v>
      </c>
      <c r="F1738" s="13">
        <v>1733</v>
      </c>
    </row>
    <row r="1739" spans="1:6" x14ac:dyDescent="0.25">
      <c r="A1739" s="16">
        <v>42956</v>
      </c>
      <c r="B1739" s="13" t="s">
        <v>1888</v>
      </c>
      <c r="C1739" s="13">
        <v>44</v>
      </c>
      <c r="D1739" s="13">
        <v>503.47</v>
      </c>
      <c r="E1739" s="13" t="s">
        <v>71</v>
      </c>
      <c r="F1739" s="13">
        <v>1734</v>
      </c>
    </row>
    <row r="1740" spans="1:6" x14ac:dyDescent="0.25">
      <c r="A1740" s="16">
        <v>42956</v>
      </c>
      <c r="B1740" s="13" t="s">
        <v>1889</v>
      </c>
      <c r="C1740" s="13">
        <v>103</v>
      </c>
      <c r="D1740" s="13">
        <v>719.86</v>
      </c>
      <c r="E1740" s="13" t="s">
        <v>71</v>
      </c>
      <c r="F1740" s="13">
        <v>1735</v>
      </c>
    </row>
    <row r="1741" spans="1:6" x14ac:dyDescent="0.25">
      <c r="A1741" s="16">
        <v>42956</v>
      </c>
      <c r="B1741" s="13" t="s">
        <v>1890</v>
      </c>
      <c r="C1741" s="13">
        <v>43</v>
      </c>
      <c r="D1741" s="13">
        <v>267.89999999999998</v>
      </c>
      <c r="E1741" s="13" t="s">
        <v>71</v>
      </c>
      <c r="F1741" s="13">
        <v>1736</v>
      </c>
    </row>
    <row r="1742" spans="1:6" x14ac:dyDescent="0.25">
      <c r="A1742" s="16">
        <v>42956</v>
      </c>
      <c r="B1742" s="13" t="s">
        <v>1891</v>
      </c>
      <c r="C1742" s="13">
        <v>35</v>
      </c>
      <c r="D1742" s="13">
        <v>517.79</v>
      </c>
      <c r="E1742" s="13" t="s">
        <v>71</v>
      </c>
      <c r="F1742" s="13">
        <v>1737</v>
      </c>
    </row>
    <row r="1743" spans="1:6" x14ac:dyDescent="0.25">
      <c r="A1743" s="16">
        <v>42955</v>
      </c>
      <c r="B1743" s="13" t="s">
        <v>1892</v>
      </c>
      <c r="C1743" s="13">
        <v>44</v>
      </c>
      <c r="D1743" s="13">
        <v>361.8</v>
      </c>
      <c r="E1743" s="13" t="s">
        <v>71</v>
      </c>
      <c r="F1743" s="13">
        <v>1738</v>
      </c>
    </row>
    <row r="1744" spans="1:6" x14ac:dyDescent="0.25">
      <c r="A1744" s="16">
        <v>42955</v>
      </c>
      <c r="B1744" s="13" t="s">
        <v>1893</v>
      </c>
      <c r="C1744" s="13">
        <v>43</v>
      </c>
      <c r="D1744" s="13">
        <v>433.83</v>
      </c>
      <c r="E1744" s="13" t="s">
        <v>71</v>
      </c>
      <c r="F1744" s="13">
        <v>1739</v>
      </c>
    </row>
    <row r="1745" spans="1:6" x14ac:dyDescent="0.25">
      <c r="A1745" s="16">
        <v>42955</v>
      </c>
      <c r="B1745" s="13" t="s">
        <v>1894</v>
      </c>
      <c r="C1745" s="13">
        <v>35</v>
      </c>
      <c r="D1745" s="13">
        <v>687.57</v>
      </c>
      <c r="E1745" s="13" t="s">
        <v>71</v>
      </c>
      <c r="F1745" s="13">
        <v>1740</v>
      </c>
    </row>
    <row r="1746" spans="1:6" x14ac:dyDescent="0.25">
      <c r="A1746" s="16">
        <v>42955</v>
      </c>
      <c r="B1746" s="13" t="s">
        <v>1895</v>
      </c>
      <c r="C1746" s="13">
        <v>103</v>
      </c>
      <c r="D1746" s="13">
        <v>634.5</v>
      </c>
      <c r="E1746" s="13" t="s">
        <v>71</v>
      </c>
      <c r="F1746" s="13">
        <v>1741</v>
      </c>
    </row>
    <row r="1747" spans="1:6" x14ac:dyDescent="0.25">
      <c r="A1747" s="16">
        <v>42955</v>
      </c>
      <c r="B1747" s="13" t="s">
        <v>1896</v>
      </c>
      <c r="C1747" s="13">
        <v>41</v>
      </c>
      <c r="D1747" s="13">
        <v>498.51</v>
      </c>
      <c r="E1747" s="13" t="s">
        <v>71</v>
      </c>
      <c r="F1747" s="13">
        <v>1742</v>
      </c>
    </row>
    <row r="1748" spans="1:6" x14ac:dyDescent="0.25">
      <c r="A1748" s="16">
        <v>42956</v>
      </c>
      <c r="B1748" s="13" t="s">
        <v>1897</v>
      </c>
      <c r="C1748" s="13">
        <v>201</v>
      </c>
      <c r="D1748" s="13">
        <v>417.84</v>
      </c>
      <c r="E1748" s="13" t="s">
        <v>71</v>
      </c>
      <c r="F1748" s="13">
        <v>1743</v>
      </c>
    </row>
    <row r="1749" spans="1:6" x14ac:dyDescent="0.25">
      <c r="A1749" s="16">
        <v>42956</v>
      </c>
      <c r="B1749" s="13" t="s">
        <v>1898</v>
      </c>
      <c r="C1749" s="13">
        <v>37</v>
      </c>
      <c r="D1749" s="13">
        <v>494.95</v>
      </c>
      <c r="E1749" s="13" t="s">
        <v>71</v>
      </c>
      <c r="F1749" s="13">
        <v>1744</v>
      </c>
    </row>
    <row r="1750" spans="1:6" x14ac:dyDescent="0.25">
      <c r="A1750" s="16">
        <v>42955</v>
      </c>
      <c r="B1750" s="13" t="s">
        <v>1899</v>
      </c>
      <c r="C1750" s="13">
        <v>37</v>
      </c>
      <c r="D1750" s="13">
        <v>465</v>
      </c>
      <c r="E1750" s="13" t="s">
        <v>71</v>
      </c>
      <c r="F1750" s="13">
        <v>1745</v>
      </c>
    </row>
    <row r="1751" spans="1:6" x14ac:dyDescent="0.25">
      <c r="A1751" s="16">
        <v>42955</v>
      </c>
      <c r="B1751" s="13" t="s">
        <v>1900</v>
      </c>
      <c r="C1751" s="13">
        <v>201</v>
      </c>
      <c r="D1751" s="13">
        <v>368</v>
      </c>
      <c r="E1751" s="13" t="s">
        <v>71</v>
      </c>
      <c r="F1751" s="13">
        <v>1746</v>
      </c>
    </row>
    <row r="1752" spans="1:6" x14ac:dyDescent="0.25">
      <c r="A1752" s="16">
        <v>42954</v>
      </c>
      <c r="B1752" s="13" t="s">
        <v>1901</v>
      </c>
      <c r="C1752" s="13">
        <v>35</v>
      </c>
      <c r="D1752" s="13">
        <v>395.86</v>
      </c>
      <c r="E1752" s="13" t="s">
        <v>71</v>
      </c>
      <c r="F1752" s="13">
        <v>1747</v>
      </c>
    </row>
    <row r="1753" spans="1:6" x14ac:dyDescent="0.25">
      <c r="A1753" s="16">
        <v>42954</v>
      </c>
      <c r="B1753" s="13" t="s">
        <v>1902</v>
      </c>
      <c r="C1753" s="13">
        <v>103</v>
      </c>
      <c r="D1753" s="13">
        <v>790.65</v>
      </c>
      <c r="E1753" s="13" t="s">
        <v>71</v>
      </c>
      <c r="F1753" s="13">
        <v>1748</v>
      </c>
    </row>
    <row r="1754" spans="1:6" x14ac:dyDescent="0.25">
      <c r="A1754" s="16">
        <v>42954</v>
      </c>
      <c r="B1754" s="13" t="s">
        <v>1903</v>
      </c>
      <c r="C1754" s="13">
        <v>41</v>
      </c>
      <c r="D1754" s="13">
        <v>681.64</v>
      </c>
      <c r="E1754" s="13" t="s">
        <v>71</v>
      </c>
      <c r="F1754" s="13">
        <v>1749</v>
      </c>
    </row>
    <row r="1755" spans="1:6" x14ac:dyDescent="0.25">
      <c r="A1755" s="16">
        <v>42954</v>
      </c>
      <c r="B1755" s="13" t="s">
        <v>1904</v>
      </c>
      <c r="C1755" s="13">
        <v>43</v>
      </c>
      <c r="D1755" s="13">
        <v>309.95999999999998</v>
      </c>
      <c r="E1755" s="13" t="s">
        <v>71</v>
      </c>
      <c r="F1755" s="13">
        <v>1750</v>
      </c>
    </row>
    <row r="1756" spans="1:6" x14ac:dyDescent="0.25">
      <c r="A1756" s="16">
        <v>42954</v>
      </c>
      <c r="B1756" s="13" t="s">
        <v>1905</v>
      </c>
      <c r="C1756" s="13">
        <v>44</v>
      </c>
      <c r="D1756" s="13">
        <v>274.98</v>
      </c>
      <c r="E1756" s="13" t="s">
        <v>71</v>
      </c>
      <c r="F1756" s="13">
        <v>1751</v>
      </c>
    </row>
    <row r="1757" spans="1:6" x14ac:dyDescent="0.25">
      <c r="A1757" s="16">
        <v>42954</v>
      </c>
      <c r="B1757" s="13" t="s">
        <v>1907</v>
      </c>
      <c r="C1757" s="13">
        <v>37</v>
      </c>
      <c r="D1757" s="13">
        <v>410.85</v>
      </c>
      <c r="E1757" s="13" t="s">
        <v>71</v>
      </c>
      <c r="F1757" s="13">
        <v>1752</v>
      </c>
    </row>
    <row r="1758" spans="1:6" x14ac:dyDescent="0.25">
      <c r="A1758" s="16">
        <v>42954</v>
      </c>
      <c r="B1758" s="13" t="s">
        <v>1908</v>
      </c>
      <c r="C1758" s="13">
        <v>201</v>
      </c>
      <c r="D1758" s="13">
        <v>264</v>
      </c>
      <c r="E1758" s="13" t="s">
        <v>71</v>
      </c>
      <c r="F1758" s="13">
        <v>1753</v>
      </c>
    </row>
    <row r="1759" spans="1:6" x14ac:dyDescent="0.25">
      <c r="A1759" s="16">
        <v>42957</v>
      </c>
      <c r="B1759" s="13" t="s">
        <v>1909</v>
      </c>
      <c r="C1759" s="13">
        <v>35</v>
      </c>
      <c r="D1759" s="13">
        <v>559.85</v>
      </c>
      <c r="E1759" s="13" t="s">
        <v>71</v>
      </c>
      <c r="F1759" s="13">
        <v>1754</v>
      </c>
    </row>
    <row r="1760" spans="1:6" x14ac:dyDescent="0.25">
      <c r="A1760" s="16">
        <v>42957</v>
      </c>
      <c r="B1760" s="13" t="s">
        <v>1910</v>
      </c>
      <c r="C1760" s="13">
        <v>103</v>
      </c>
      <c r="D1760" s="13">
        <v>863.45</v>
      </c>
      <c r="E1760" s="13" t="s">
        <v>71</v>
      </c>
      <c r="F1760" s="13">
        <v>1755</v>
      </c>
    </row>
    <row r="1761" spans="1:6" x14ac:dyDescent="0.25">
      <c r="A1761" s="16">
        <v>42957</v>
      </c>
      <c r="B1761" s="13" t="s">
        <v>1911</v>
      </c>
      <c r="C1761" s="13">
        <v>43</v>
      </c>
      <c r="D1761" s="13">
        <v>335.73</v>
      </c>
      <c r="E1761" s="13" t="s">
        <v>71</v>
      </c>
      <c r="F1761" s="13">
        <v>1756</v>
      </c>
    </row>
    <row r="1762" spans="1:6" x14ac:dyDescent="0.25">
      <c r="A1762" s="16">
        <v>42957</v>
      </c>
      <c r="B1762" s="13" t="s">
        <v>1912</v>
      </c>
      <c r="C1762" s="13">
        <v>41</v>
      </c>
      <c r="D1762" s="13">
        <v>735.43</v>
      </c>
      <c r="E1762" s="13" t="s">
        <v>71</v>
      </c>
      <c r="F1762" s="13">
        <v>1757</v>
      </c>
    </row>
    <row r="1763" spans="1:6" x14ac:dyDescent="0.25">
      <c r="A1763" s="16">
        <v>42957</v>
      </c>
      <c r="B1763" s="13" t="s">
        <v>1913</v>
      </c>
      <c r="C1763" s="13">
        <v>44</v>
      </c>
      <c r="D1763" s="13">
        <v>443.85</v>
      </c>
      <c r="E1763" s="13" t="s">
        <v>71</v>
      </c>
      <c r="F1763" s="13">
        <v>1758</v>
      </c>
    </row>
    <row r="1764" spans="1:6" x14ac:dyDescent="0.25">
      <c r="A1764" s="16">
        <v>42957</v>
      </c>
      <c r="B1764" s="13" t="s">
        <v>1914</v>
      </c>
      <c r="C1764" s="13">
        <v>37</v>
      </c>
      <c r="D1764" s="13">
        <v>1015.9</v>
      </c>
      <c r="E1764" s="13" t="s">
        <v>71</v>
      </c>
      <c r="F1764" s="13">
        <v>1759</v>
      </c>
    </row>
    <row r="1765" spans="1:6" x14ac:dyDescent="0.25">
      <c r="A1765" s="16">
        <v>42957</v>
      </c>
      <c r="B1765" s="13" t="s">
        <v>1915</v>
      </c>
      <c r="C1765" s="13">
        <v>201</v>
      </c>
      <c r="D1765" s="13">
        <v>419.96</v>
      </c>
      <c r="E1765" s="13" t="s">
        <v>71</v>
      </c>
      <c r="F1765" s="13">
        <v>1760</v>
      </c>
    </row>
    <row r="1766" spans="1:6" x14ac:dyDescent="0.25">
      <c r="A1766" s="16">
        <v>42960</v>
      </c>
      <c r="B1766" s="13" t="s">
        <v>1916</v>
      </c>
      <c r="C1766" s="13">
        <v>103</v>
      </c>
      <c r="D1766" s="13">
        <v>394.65</v>
      </c>
      <c r="E1766" s="13" t="s">
        <v>71</v>
      </c>
      <c r="F1766" s="13">
        <v>1761</v>
      </c>
    </row>
    <row r="1767" spans="1:6" x14ac:dyDescent="0.25">
      <c r="A1767" s="16">
        <v>42960</v>
      </c>
      <c r="B1767" s="13" t="s">
        <v>1917</v>
      </c>
      <c r="C1767" s="13">
        <v>35</v>
      </c>
      <c r="D1767" s="13">
        <v>379.9</v>
      </c>
      <c r="E1767" s="13" t="s">
        <v>71</v>
      </c>
      <c r="F1767" s="13">
        <v>1762</v>
      </c>
    </row>
    <row r="1768" spans="1:6" x14ac:dyDescent="0.25">
      <c r="A1768" s="16">
        <v>42960</v>
      </c>
      <c r="B1768" s="13" t="s">
        <v>1918</v>
      </c>
      <c r="C1768" s="13">
        <v>41</v>
      </c>
      <c r="D1768" s="13">
        <v>80</v>
      </c>
      <c r="E1768" s="13" t="s">
        <v>71</v>
      </c>
      <c r="F1768" s="13">
        <v>1763</v>
      </c>
    </row>
    <row r="1769" spans="1:6" x14ac:dyDescent="0.25">
      <c r="A1769" s="16">
        <v>42960</v>
      </c>
      <c r="B1769" s="13" t="s">
        <v>1919</v>
      </c>
      <c r="C1769" s="13">
        <v>44</v>
      </c>
      <c r="D1769" s="13">
        <v>617.95000000000005</v>
      </c>
      <c r="E1769" s="13" t="s">
        <v>71</v>
      </c>
      <c r="F1769" s="13">
        <v>1764</v>
      </c>
    </row>
    <row r="1770" spans="1:6" x14ac:dyDescent="0.25">
      <c r="A1770" s="16">
        <v>42960</v>
      </c>
      <c r="B1770" s="13" t="s">
        <v>1920</v>
      </c>
      <c r="C1770" s="13">
        <v>43</v>
      </c>
      <c r="D1770" s="13">
        <v>170</v>
      </c>
      <c r="E1770" s="13" t="s">
        <v>71</v>
      </c>
      <c r="F1770" s="13">
        <v>1765</v>
      </c>
    </row>
    <row r="1771" spans="1:6" x14ac:dyDescent="0.25">
      <c r="A1771" s="16">
        <v>42959</v>
      </c>
      <c r="B1771" s="13" t="s">
        <v>1921</v>
      </c>
      <c r="C1771" s="13">
        <v>35</v>
      </c>
      <c r="D1771" s="13">
        <v>851.35</v>
      </c>
      <c r="E1771" s="13" t="s">
        <v>71</v>
      </c>
      <c r="F1771" s="13">
        <v>1766</v>
      </c>
    </row>
    <row r="1772" spans="1:6" x14ac:dyDescent="0.25">
      <c r="A1772" s="16">
        <v>42959</v>
      </c>
      <c r="B1772" s="13" t="s">
        <v>1922</v>
      </c>
      <c r="C1772" s="13">
        <v>41</v>
      </c>
      <c r="D1772" s="13">
        <v>603.79999999999995</v>
      </c>
      <c r="E1772" s="13" t="s">
        <v>71</v>
      </c>
      <c r="F1772" s="13">
        <v>1767</v>
      </c>
    </row>
    <row r="1773" spans="1:6" x14ac:dyDescent="0.25">
      <c r="A1773" s="16">
        <v>42959</v>
      </c>
      <c r="B1773" s="13" t="s">
        <v>1923</v>
      </c>
      <c r="C1773" s="13">
        <v>44</v>
      </c>
      <c r="D1773" s="13">
        <v>425.9</v>
      </c>
      <c r="E1773" s="13" t="s">
        <v>71</v>
      </c>
      <c r="F1773" s="13">
        <v>1768</v>
      </c>
    </row>
    <row r="1774" spans="1:6" x14ac:dyDescent="0.25">
      <c r="A1774" s="16">
        <v>42959</v>
      </c>
      <c r="B1774" s="13" t="s">
        <v>1924</v>
      </c>
      <c r="C1774" s="13">
        <v>103</v>
      </c>
      <c r="D1774" s="13">
        <v>636.20000000000005</v>
      </c>
      <c r="E1774" s="13" t="s">
        <v>71</v>
      </c>
      <c r="F1774" s="13">
        <v>1769</v>
      </c>
    </row>
    <row r="1775" spans="1:6" x14ac:dyDescent="0.25">
      <c r="A1775" s="16">
        <v>42959</v>
      </c>
      <c r="B1775" s="13" t="s">
        <v>1925</v>
      </c>
      <c r="C1775" s="13">
        <v>43</v>
      </c>
      <c r="D1775" s="13">
        <v>267.95</v>
      </c>
      <c r="E1775" s="13" t="s">
        <v>71</v>
      </c>
      <c r="F1775" s="13">
        <v>1770</v>
      </c>
    </row>
    <row r="1776" spans="1:6" x14ac:dyDescent="0.25">
      <c r="A1776" s="16">
        <v>42958</v>
      </c>
      <c r="B1776" s="13" t="s">
        <v>1926</v>
      </c>
      <c r="C1776" s="13">
        <v>44</v>
      </c>
      <c r="D1776" s="13">
        <v>534.92999999999995</v>
      </c>
      <c r="E1776" s="13" t="s">
        <v>71</v>
      </c>
      <c r="F1776" s="13">
        <v>1771</v>
      </c>
    </row>
    <row r="1777" spans="1:6" x14ac:dyDescent="0.25">
      <c r="A1777" s="16">
        <v>42958</v>
      </c>
      <c r="B1777" s="13" t="s">
        <v>1927</v>
      </c>
      <c r="C1777" s="13">
        <v>35</v>
      </c>
      <c r="D1777" s="13">
        <v>572.9</v>
      </c>
      <c r="E1777" s="13" t="s">
        <v>71</v>
      </c>
      <c r="F1777" s="13">
        <v>1772</v>
      </c>
    </row>
    <row r="1778" spans="1:6" x14ac:dyDescent="0.25">
      <c r="A1778" s="16">
        <v>42958</v>
      </c>
      <c r="B1778" s="13" t="s">
        <v>1928</v>
      </c>
      <c r="C1778" s="13">
        <v>103</v>
      </c>
      <c r="D1778" s="13">
        <v>589.9</v>
      </c>
      <c r="E1778" s="13" t="s">
        <v>71</v>
      </c>
      <c r="F1778" s="13">
        <v>1773</v>
      </c>
    </row>
    <row r="1779" spans="1:6" x14ac:dyDescent="0.25">
      <c r="A1779" s="16">
        <v>42958</v>
      </c>
      <c r="B1779" s="13" t="s">
        <v>1929</v>
      </c>
      <c r="C1779" s="13">
        <v>41</v>
      </c>
      <c r="D1779" s="13">
        <v>434.65</v>
      </c>
      <c r="E1779" s="13" t="s">
        <v>71</v>
      </c>
      <c r="F1779" s="13">
        <v>1774</v>
      </c>
    </row>
    <row r="1780" spans="1:6" x14ac:dyDescent="0.25">
      <c r="A1780" s="16">
        <v>42958</v>
      </c>
      <c r="B1780" s="13" t="s">
        <v>1930</v>
      </c>
      <c r="C1780" s="13">
        <v>43</v>
      </c>
      <c r="D1780" s="13">
        <v>547.70000000000005</v>
      </c>
      <c r="E1780" s="13" t="s">
        <v>71</v>
      </c>
      <c r="F1780" s="13">
        <v>1775</v>
      </c>
    </row>
    <row r="1781" spans="1:6" x14ac:dyDescent="0.25">
      <c r="A1781" s="16">
        <v>42960</v>
      </c>
      <c r="B1781" s="13" t="s">
        <v>1931</v>
      </c>
      <c r="C1781" s="13">
        <v>201</v>
      </c>
      <c r="D1781" s="13">
        <v>190</v>
      </c>
      <c r="E1781" s="13" t="s">
        <v>71</v>
      </c>
      <c r="F1781" s="13">
        <v>1776</v>
      </c>
    </row>
    <row r="1782" spans="1:6" x14ac:dyDescent="0.25">
      <c r="A1782" s="16">
        <v>42960</v>
      </c>
      <c r="B1782" s="13" t="s">
        <v>1932</v>
      </c>
      <c r="C1782" s="13">
        <v>37</v>
      </c>
      <c r="D1782" s="13">
        <v>495.8</v>
      </c>
      <c r="E1782" s="13" t="s">
        <v>71</v>
      </c>
      <c r="F1782" s="13">
        <v>1777</v>
      </c>
    </row>
    <row r="1783" spans="1:6" x14ac:dyDescent="0.25">
      <c r="A1783" s="16">
        <v>42959</v>
      </c>
      <c r="B1783" s="13" t="s">
        <v>1933</v>
      </c>
      <c r="C1783" s="13">
        <v>201</v>
      </c>
      <c r="D1783" s="13">
        <v>251.8</v>
      </c>
      <c r="E1783" s="13" t="s">
        <v>71</v>
      </c>
      <c r="F1783" s="13">
        <v>1778</v>
      </c>
    </row>
    <row r="1784" spans="1:6" x14ac:dyDescent="0.25">
      <c r="A1784" s="16">
        <v>42959</v>
      </c>
      <c r="B1784" s="13" t="s">
        <v>1934</v>
      </c>
      <c r="C1784" s="13">
        <v>37</v>
      </c>
      <c r="D1784" s="13">
        <v>926.75</v>
      </c>
      <c r="E1784" s="13" t="s">
        <v>71</v>
      </c>
      <c r="F1784" s="13">
        <v>1779</v>
      </c>
    </row>
    <row r="1785" spans="1:6" x14ac:dyDescent="0.25">
      <c r="A1785" s="16">
        <v>42958</v>
      </c>
      <c r="B1785" s="13" t="s">
        <v>1935</v>
      </c>
      <c r="C1785" s="13">
        <v>201</v>
      </c>
      <c r="D1785" s="13">
        <v>389.96</v>
      </c>
      <c r="E1785" s="13" t="s">
        <v>71</v>
      </c>
      <c r="F1785" s="13">
        <v>1780</v>
      </c>
    </row>
    <row r="1786" spans="1:6" x14ac:dyDescent="0.25">
      <c r="A1786" s="16">
        <v>42958</v>
      </c>
      <c r="B1786" s="13" t="s">
        <v>1936</v>
      </c>
      <c r="C1786" s="13">
        <v>37</v>
      </c>
      <c r="D1786" s="13">
        <v>490.9</v>
      </c>
      <c r="E1786" s="13" t="s">
        <v>71</v>
      </c>
      <c r="F1786" s="13">
        <v>1781</v>
      </c>
    </row>
    <row r="1787" spans="1:6" x14ac:dyDescent="0.25">
      <c r="A1787" s="16">
        <v>42961</v>
      </c>
      <c r="B1787" s="13" t="s">
        <v>1944</v>
      </c>
      <c r="C1787" s="13">
        <v>35</v>
      </c>
      <c r="D1787" s="13">
        <v>579.75</v>
      </c>
      <c r="E1787" s="13" t="s">
        <v>71</v>
      </c>
      <c r="F1787" s="13">
        <v>1782</v>
      </c>
    </row>
    <row r="1788" spans="1:6" x14ac:dyDescent="0.25">
      <c r="A1788" s="16">
        <v>42961</v>
      </c>
      <c r="B1788" s="13" t="s">
        <v>1945</v>
      </c>
      <c r="C1788" s="13">
        <v>43</v>
      </c>
      <c r="D1788" s="13">
        <v>215.9</v>
      </c>
      <c r="E1788" s="13" t="s">
        <v>71</v>
      </c>
      <c r="F1788" s="13">
        <v>1783</v>
      </c>
    </row>
    <row r="1789" spans="1:6" x14ac:dyDescent="0.25">
      <c r="A1789" s="16">
        <v>42961</v>
      </c>
      <c r="B1789" s="13" t="s">
        <v>1946</v>
      </c>
      <c r="C1789" s="13">
        <v>41</v>
      </c>
      <c r="D1789" s="13">
        <v>337.6</v>
      </c>
      <c r="E1789" s="13" t="s">
        <v>71</v>
      </c>
      <c r="F1789" s="13">
        <v>1784</v>
      </c>
    </row>
    <row r="1790" spans="1:6" x14ac:dyDescent="0.25">
      <c r="A1790" s="1">
        <v>42961</v>
      </c>
      <c r="B1790" t="s">
        <v>1947</v>
      </c>
      <c r="C1790">
        <v>103</v>
      </c>
      <c r="D1790">
        <v>545.85</v>
      </c>
      <c r="F1790">
        <v>1785</v>
      </c>
    </row>
    <row r="1791" spans="1:6" x14ac:dyDescent="0.25">
      <c r="A1791" s="16">
        <v>42961</v>
      </c>
      <c r="B1791" s="13" t="s">
        <v>1948</v>
      </c>
      <c r="C1791" s="13">
        <v>44</v>
      </c>
      <c r="D1791" s="13">
        <v>280</v>
      </c>
      <c r="E1791" s="13" t="s">
        <v>71</v>
      </c>
      <c r="F1791" s="13">
        <v>1786</v>
      </c>
    </row>
    <row r="1792" spans="1:6" x14ac:dyDescent="0.25">
      <c r="A1792" s="16">
        <v>42961</v>
      </c>
      <c r="B1792" s="13" t="s">
        <v>1952</v>
      </c>
      <c r="C1792" s="13">
        <v>201</v>
      </c>
      <c r="D1792" s="13">
        <v>392.9</v>
      </c>
      <c r="E1792" s="13" t="s">
        <v>71</v>
      </c>
      <c r="F1792" s="13">
        <v>1787</v>
      </c>
    </row>
    <row r="1793" spans="1:6" x14ac:dyDescent="0.25">
      <c r="A1793" s="16">
        <v>42961</v>
      </c>
      <c r="B1793" s="13" t="s">
        <v>1953</v>
      </c>
      <c r="C1793" s="13">
        <v>37</v>
      </c>
      <c r="D1793" s="13">
        <v>565.85</v>
      </c>
      <c r="E1793" s="13" t="s">
        <v>71</v>
      </c>
      <c r="F1793" s="13">
        <v>1788</v>
      </c>
    </row>
  </sheetData>
  <autoFilter ref="A1:F697">
    <filterColumn colId="2">
      <filters>
        <filter val="103"/>
      </filters>
    </filterColumn>
  </autoFilter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F97"/>
  <sheetViews>
    <sheetView topLeftCell="A61" workbookViewId="0">
      <selection activeCell="D95" sqref="D95"/>
    </sheetView>
  </sheetViews>
  <sheetFormatPr defaultRowHeight="15" x14ac:dyDescent="0.25"/>
  <cols>
    <col min="1" max="1" width="13.7109375" style="1" customWidth="1"/>
    <col min="2" max="2" width="46.5703125" customWidth="1"/>
    <col min="3" max="3" width="8.85546875" customWidth="1"/>
  </cols>
  <sheetData>
    <row r="1" spans="1:6" x14ac:dyDescent="0.25">
      <c r="A1" s="1" t="s">
        <v>32</v>
      </c>
      <c r="B1" t="s">
        <v>33</v>
      </c>
      <c r="C1" t="s">
        <v>16</v>
      </c>
      <c r="D1" t="s">
        <v>34</v>
      </c>
      <c r="E1" t="s">
        <v>43</v>
      </c>
      <c r="F1" t="s">
        <v>19</v>
      </c>
    </row>
    <row r="2" spans="1:6" x14ac:dyDescent="0.25">
      <c r="A2" s="16">
        <v>42740</v>
      </c>
      <c r="B2" s="13" t="s">
        <v>83</v>
      </c>
      <c r="C2" s="13"/>
      <c r="D2" s="13">
        <v>29.85</v>
      </c>
      <c r="E2" s="13" t="s">
        <v>71</v>
      </c>
      <c r="F2" s="13">
        <v>1</v>
      </c>
    </row>
    <row r="3" spans="1:6" x14ac:dyDescent="0.25">
      <c r="A3" s="16">
        <v>42740</v>
      </c>
      <c r="B3" s="13" t="s">
        <v>84</v>
      </c>
      <c r="C3" s="13"/>
      <c r="D3" s="13">
        <v>25</v>
      </c>
      <c r="E3" s="13"/>
      <c r="F3" s="13">
        <v>2</v>
      </c>
    </row>
    <row r="4" spans="1:6" x14ac:dyDescent="0.25">
      <c r="A4" s="16">
        <v>42744</v>
      </c>
      <c r="B4" s="13" t="s">
        <v>147</v>
      </c>
      <c r="C4" s="13"/>
      <c r="D4" s="13">
        <v>14.95</v>
      </c>
      <c r="E4" s="13" t="s">
        <v>71</v>
      </c>
      <c r="F4" s="13">
        <v>3</v>
      </c>
    </row>
    <row r="5" spans="1:6" x14ac:dyDescent="0.25">
      <c r="A5" s="16">
        <v>42748</v>
      </c>
      <c r="B5" s="13" t="s">
        <v>213</v>
      </c>
      <c r="C5" s="13"/>
      <c r="D5" s="13">
        <v>9.9499999999999993</v>
      </c>
      <c r="E5" s="13" t="s">
        <v>71</v>
      </c>
      <c r="F5" s="13">
        <v>4</v>
      </c>
    </row>
    <row r="6" spans="1:6" x14ac:dyDescent="0.25">
      <c r="A6" s="16">
        <v>42759</v>
      </c>
      <c r="B6" s="13" t="s">
        <v>316</v>
      </c>
      <c r="C6" s="13"/>
      <c r="D6" s="13">
        <v>44.95</v>
      </c>
      <c r="E6" s="13" t="s">
        <v>71</v>
      </c>
      <c r="F6" s="13">
        <v>5</v>
      </c>
    </row>
    <row r="7" spans="1:6" x14ac:dyDescent="0.25">
      <c r="A7" s="16">
        <v>42760</v>
      </c>
      <c r="B7" s="13" t="s">
        <v>328</v>
      </c>
      <c r="C7" s="13"/>
      <c r="D7" s="13">
        <v>14.95</v>
      </c>
      <c r="E7" s="13" t="s">
        <v>71</v>
      </c>
      <c r="F7" s="13">
        <v>6</v>
      </c>
    </row>
    <row r="8" spans="1:6" x14ac:dyDescent="0.25">
      <c r="A8" s="16">
        <v>42765</v>
      </c>
      <c r="B8" s="13" t="s">
        <v>371</v>
      </c>
      <c r="C8" s="13"/>
      <c r="D8" s="13">
        <v>70</v>
      </c>
      <c r="E8" s="13" t="s">
        <v>71</v>
      </c>
      <c r="F8" s="13">
        <v>7</v>
      </c>
    </row>
    <row r="9" spans="1:6" x14ac:dyDescent="0.25">
      <c r="A9" s="16">
        <v>42765</v>
      </c>
      <c r="B9" s="13" t="s">
        <v>372</v>
      </c>
      <c r="C9" s="13"/>
      <c r="D9" s="13">
        <v>20</v>
      </c>
      <c r="E9" s="13" t="s">
        <v>71</v>
      </c>
      <c r="F9" s="13">
        <v>8</v>
      </c>
    </row>
    <row r="10" spans="1:6" x14ac:dyDescent="0.25">
      <c r="A10" s="16">
        <v>42765</v>
      </c>
      <c r="B10" s="13" t="s">
        <v>84</v>
      </c>
      <c r="C10" s="13"/>
      <c r="D10" s="13">
        <v>25</v>
      </c>
      <c r="E10" s="13" t="s">
        <v>71</v>
      </c>
      <c r="F10" s="13">
        <v>9</v>
      </c>
    </row>
    <row r="11" spans="1:6" x14ac:dyDescent="0.25">
      <c r="A11" s="16">
        <v>42767</v>
      </c>
      <c r="B11" s="13" t="s">
        <v>397</v>
      </c>
      <c r="C11" s="13"/>
      <c r="D11" s="13">
        <v>19.95</v>
      </c>
      <c r="E11" s="13" t="s">
        <v>71</v>
      </c>
      <c r="F11" s="13">
        <v>10</v>
      </c>
    </row>
    <row r="12" spans="1:6" x14ac:dyDescent="0.25">
      <c r="A12" s="16">
        <v>42772</v>
      </c>
      <c r="B12" s="13" t="s">
        <v>448</v>
      </c>
      <c r="C12" s="13"/>
      <c r="D12" s="13">
        <v>35</v>
      </c>
      <c r="E12" s="13" t="s">
        <v>71</v>
      </c>
      <c r="F12" s="13">
        <v>11</v>
      </c>
    </row>
    <row r="13" spans="1:6" x14ac:dyDescent="0.25">
      <c r="A13" s="16">
        <v>42779</v>
      </c>
      <c r="B13" s="13" t="s">
        <v>525</v>
      </c>
      <c r="C13" s="13"/>
      <c r="D13" s="13">
        <v>44.98</v>
      </c>
      <c r="E13" s="13" t="s">
        <v>71</v>
      </c>
      <c r="F13" s="13">
        <v>12</v>
      </c>
    </row>
    <row r="14" spans="1:6" x14ac:dyDescent="0.25">
      <c r="A14" s="16">
        <v>42779</v>
      </c>
      <c r="B14" s="13" t="s">
        <v>526</v>
      </c>
      <c r="C14" s="13"/>
      <c r="D14" s="13">
        <v>247.35</v>
      </c>
      <c r="E14" s="13" t="s">
        <v>71</v>
      </c>
      <c r="F14" s="13">
        <v>13</v>
      </c>
    </row>
    <row r="15" spans="1:6" x14ac:dyDescent="0.25">
      <c r="A15" s="16">
        <v>42786</v>
      </c>
      <c r="B15" s="13" t="s">
        <v>597</v>
      </c>
      <c r="C15" s="13"/>
      <c r="D15" s="13">
        <v>40</v>
      </c>
      <c r="E15" s="13" t="s">
        <v>71</v>
      </c>
      <c r="F15" s="13">
        <v>14</v>
      </c>
    </row>
    <row r="16" spans="1:6" x14ac:dyDescent="0.25">
      <c r="A16" s="16">
        <v>42786</v>
      </c>
      <c r="B16" s="13" t="s">
        <v>598</v>
      </c>
      <c r="C16" s="13"/>
      <c r="D16" s="13">
        <v>40</v>
      </c>
      <c r="E16" s="13" t="s">
        <v>71</v>
      </c>
      <c r="F16" s="13">
        <v>15</v>
      </c>
    </row>
    <row r="17" spans="1:6" x14ac:dyDescent="0.25">
      <c r="A17" s="16">
        <v>42788</v>
      </c>
      <c r="B17" s="13" t="s">
        <v>622</v>
      </c>
      <c r="C17" s="13"/>
      <c r="D17" s="13">
        <v>20</v>
      </c>
      <c r="E17" s="13" t="s">
        <v>71</v>
      </c>
      <c r="F17" s="13">
        <v>16</v>
      </c>
    </row>
    <row r="18" spans="1:6" x14ac:dyDescent="0.25">
      <c r="A18" s="16">
        <v>42790</v>
      </c>
      <c r="B18" s="13" t="s">
        <v>372</v>
      </c>
      <c r="C18" s="13"/>
      <c r="D18" s="13">
        <v>20</v>
      </c>
      <c r="E18" s="13" t="s">
        <v>71</v>
      </c>
      <c r="F18" s="13">
        <v>17</v>
      </c>
    </row>
    <row r="19" spans="1:6" x14ac:dyDescent="0.25">
      <c r="A19" s="16">
        <v>42793</v>
      </c>
      <c r="B19" s="13" t="s">
        <v>682</v>
      </c>
      <c r="C19" s="13"/>
      <c r="D19" s="13">
        <v>10</v>
      </c>
      <c r="E19" s="13" t="s">
        <v>71</v>
      </c>
      <c r="F19" s="13">
        <v>18</v>
      </c>
    </row>
    <row r="20" spans="1:6" x14ac:dyDescent="0.25">
      <c r="A20" s="16">
        <v>42794</v>
      </c>
      <c r="B20" s="13" t="s">
        <v>687</v>
      </c>
      <c r="C20" s="13"/>
      <c r="D20" s="13">
        <v>10</v>
      </c>
      <c r="E20" s="13" t="s">
        <v>71</v>
      </c>
      <c r="F20" s="13">
        <v>19</v>
      </c>
    </row>
    <row r="21" spans="1:6" x14ac:dyDescent="0.25">
      <c r="A21" s="16">
        <v>42793</v>
      </c>
      <c r="B21" s="13" t="s">
        <v>690</v>
      </c>
      <c r="C21" s="13"/>
      <c r="D21" s="13">
        <v>50</v>
      </c>
      <c r="E21" s="13" t="s">
        <v>71</v>
      </c>
      <c r="F21" s="13">
        <v>20</v>
      </c>
    </row>
    <row r="22" spans="1:6" x14ac:dyDescent="0.25">
      <c r="A22" s="16">
        <v>42796</v>
      </c>
      <c r="B22" s="13" t="s">
        <v>700</v>
      </c>
      <c r="C22" s="13"/>
      <c r="D22" s="13">
        <v>50</v>
      </c>
      <c r="E22" s="13" t="s">
        <v>71</v>
      </c>
      <c r="F22" s="13">
        <v>21</v>
      </c>
    </row>
    <row r="23" spans="1:6" x14ac:dyDescent="0.25">
      <c r="A23" s="16">
        <v>42797</v>
      </c>
      <c r="B23" s="13" t="s">
        <v>727</v>
      </c>
      <c r="C23" s="13"/>
      <c r="D23" s="13">
        <v>10</v>
      </c>
      <c r="E23" s="13" t="s">
        <v>71</v>
      </c>
      <c r="F23" s="13">
        <v>22</v>
      </c>
    </row>
    <row r="24" spans="1:6" x14ac:dyDescent="0.25">
      <c r="A24" s="16">
        <v>42800</v>
      </c>
      <c r="B24" s="13" t="s">
        <v>735</v>
      </c>
      <c r="C24" s="13"/>
      <c r="D24" s="13">
        <v>15</v>
      </c>
      <c r="E24" s="13" t="s">
        <v>71</v>
      </c>
      <c r="F24" s="13">
        <v>23</v>
      </c>
    </row>
    <row r="25" spans="1:6" x14ac:dyDescent="0.25">
      <c r="A25" s="16">
        <v>42804</v>
      </c>
      <c r="B25" s="13" t="s">
        <v>786</v>
      </c>
      <c r="C25" s="13"/>
      <c r="D25" s="13">
        <v>15</v>
      </c>
      <c r="E25" s="13" t="s">
        <v>71</v>
      </c>
      <c r="F25" s="13">
        <v>24</v>
      </c>
    </row>
    <row r="26" spans="1:6" x14ac:dyDescent="0.25">
      <c r="A26" s="16">
        <v>42807</v>
      </c>
      <c r="B26" s="13" t="s">
        <v>801</v>
      </c>
      <c r="C26" s="13"/>
      <c r="D26" s="13">
        <v>29.95</v>
      </c>
      <c r="E26" s="13" t="s">
        <v>71</v>
      </c>
      <c r="F26" s="13">
        <v>25</v>
      </c>
    </row>
    <row r="27" spans="1:6" x14ac:dyDescent="0.25">
      <c r="A27" s="16">
        <v>42809</v>
      </c>
      <c r="B27" s="13" t="s">
        <v>820</v>
      </c>
      <c r="C27" s="13"/>
      <c r="D27" s="13">
        <v>19.95</v>
      </c>
      <c r="E27" s="13" t="s">
        <v>71</v>
      </c>
      <c r="F27" s="13">
        <v>26</v>
      </c>
    </row>
    <row r="28" spans="1:6" x14ac:dyDescent="0.25">
      <c r="A28" s="16">
        <v>42810</v>
      </c>
      <c r="B28" s="13" t="s">
        <v>832</v>
      </c>
      <c r="C28" s="13"/>
      <c r="D28" s="13">
        <v>5</v>
      </c>
      <c r="E28" s="13" t="s">
        <v>71</v>
      </c>
      <c r="F28" s="13">
        <v>27</v>
      </c>
    </row>
    <row r="29" spans="1:6" x14ac:dyDescent="0.25">
      <c r="A29" s="16">
        <v>42814</v>
      </c>
      <c r="B29" s="13" t="s">
        <v>871</v>
      </c>
      <c r="C29" s="13"/>
      <c r="D29" s="13">
        <v>20</v>
      </c>
      <c r="E29" s="13" t="s">
        <v>71</v>
      </c>
      <c r="F29" s="13">
        <v>28</v>
      </c>
    </row>
    <row r="30" spans="1:6" x14ac:dyDescent="0.25">
      <c r="A30" s="16">
        <v>42817</v>
      </c>
      <c r="B30" s="13" t="s">
        <v>918</v>
      </c>
      <c r="C30" s="13"/>
      <c r="D30" s="13">
        <v>30</v>
      </c>
      <c r="E30" s="13" t="s">
        <v>71</v>
      </c>
      <c r="F30" s="13">
        <v>29</v>
      </c>
    </row>
    <row r="31" spans="1:6" x14ac:dyDescent="0.25">
      <c r="A31" s="16">
        <v>42821</v>
      </c>
      <c r="B31" s="13" t="s">
        <v>929</v>
      </c>
      <c r="C31" s="13"/>
      <c r="D31" s="13">
        <v>15</v>
      </c>
      <c r="E31" s="13" t="s">
        <v>71</v>
      </c>
      <c r="F31" s="13">
        <v>30</v>
      </c>
    </row>
    <row r="32" spans="1:6" x14ac:dyDescent="0.25">
      <c r="A32" s="16">
        <v>42832</v>
      </c>
      <c r="B32" s="13" t="s">
        <v>1027</v>
      </c>
      <c r="C32" s="13"/>
      <c r="D32" s="13">
        <v>77.95</v>
      </c>
      <c r="E32" s="13" t="s">
        <v>71</v>
      </c>
      <c r="F32" s="13">
        <v>31</v>
      </c>
    </row>
    <row r="33" spans="1:6" x14ac:dyDescent="0.25">
      <c r="A33" s="16">
        <v>42837</v>
      </c>
      <c r="B33" s="13" t="s">
        <v>372</v>
      </c>
      <c r="C33" s="13"/>
      <c r="D33" s="13">
        <v>20</v>
      </c>
      <c r="E33" s="13" t="s">
        <v>71</v>
      </c>
      <c r="F33" s="13">
        <v>32</v>
      </c>
    </row>
    <row r="34" spans="1:6" x14ac:dyDescent="0.25">
      <c r="A34" s="16">
        <v>42844</v>
      </c>
      <c r="B34" s="13" t="s">
        <v>1092</v>
      </c>
      <c r="C34" s="13"/>
      <c r="D34" s="13">
        <v>125.3</v>
      </c>
      <c r="E34" s="13" t="s">
        <v>71</v>
      </c>
      <c r="F34" s="13">
        <v>33</v>
      </c>
    </row>
    <row r="35" spans="1:6" x14ac:dyDescent="0.25">
      <c r="A35" s="16">
        <v>42844</v>
      </c>
      <c r="B35" s="13" t="s">
        <v>1093</v>
      </c>
      <c r="C35" s="13"/>
      <c r="D35" s="13">
        <v>20</v>
      </c>
      <c r="E35" s="13" t="s">
        <v>71</v>
      </c>
      <c r="F35" s="13">
        <v>34</v>
      </c>
    </row>
    <row r="36" spans="1:6" x14ac:dyDescent="0.25">
      <c r="A36" s="16">
        <v>42849</v>
      </c>
      <c r="B36" s="13" t="s">
        <v>1112</v>
      </c>
      <c r="C36" s="13"/>
      <c r="D36" s="13">
        <v>30</v>
      </c>
      <c r="E36" s="13" t="s">
        <v>71</v>
      </c>
      <c r="F36" s="13">
        <v>35</v>
      </c>
    </row>
    <row r="37" spans="1:6" x14ac:dyDescent="0.25">
      <c r="A37" s="1">
        <v>42851</v>
      </c>
      <c r="B37" t="s">
        <v>448</v>
      </c>
      <c r="D37">
        <v>35</v>
      </c>
      <c r="F37">
        <v>36</v>
      </c>
    </row>
    <row r="38" spans="1:6" x14ac:dyDescent="0.25">
      <c r="A38" s="16">
        <v>42856</v>
      </c>
      <c r="B38" s="13" t="s">
        <v>1158</v>
      </c>
      <c r="C38" s="13"/>
      <c r="D38" s="13">
        <v>49.95</v>
      </c>
      <c r="E38" s="13" t="s">
        <v>71</v>
      </c>
      <c r="F38" s="13">
        <v>37</v>
      </c>
    </row>
    <row r="39" spans="1:6" x14ac:dyDescent="0.25">
      <c r="A39" s="16">
        <v>42856</v>
      </c>
      <c r="B39" s="13" t="s">
        <v>1158</v>
      </c>
      <c r="C39" s="13"/>
      <c r="D39" s="13">
        <v>49.95</v>
      </c>
      <c r="E39" s="13" t="s">
        <v>71</v>
      </c>
      <c r="F39" s="13">
        <v>38</v>
      </c>
    </row>
    <row r="40" spans="1:6" x14ac:dyDescent="0.25">
      <c r="A40" s="16">
        <v>42856</v>
      </c>
      <c r="B40" s="13" t="s">
        <v>727</v>
      </c>
      <c r="C40" s="13"/>
      <c r="D40" s="13">
        <v>10</v>
      </c>
      <c r="E40" s="13" t="s">
        <v>71</v>
      </c>
      <c r="F40" s="13">
        <v>39</v>
      </c>
    </row>
    <row r="41" spans="1:6" x14ac:dyDescent="0.25">
      <c r="A41" s="16">
        <v>42863</v>
      </c>
      <c r="B41" s="13" t="s">
        <v>372</v>
      </c>
      <c r="C41" s="13"/>
      <c r="D41" s="13">
        <v>20</v>
      </c>
      <c r="E41" s="13" t="s">
        <v>71</v>
      </c>
      <c r="F41" s="13">
        <v>40</v>
      </c>
    </row>
    <row r="42" spans="1:6" x14ac:dyDescent="0.25">
      <c r="A42" s="16">
        <v>42863</v>
      </c>
      <c r="B42" s="13" t="s">
        <v>1234</v>
      </c>
      <c r="C42" s="13"/>
      <c r="D42" s="13">
        <v>40</v>
      </c>
      <c r="E42" s="13" t="s">
        <v>71</v>
      </c>
      <c r="F42" s="13">
        <v>41</v>
      </c>
    </row>
    <row r="43" spans="1:6" x14ac:dyDescent="0.25">
      <c r="A43" s="16">
        <v>42864</v>
      </c>
      <c r="B43" s="13" t="s">
        <v>1242</v>
      </c>
      <c r="C43" s="13"/>
      <c r="D43" s="13">
        <v>40</v>
      </c>
      <c r="E43" s="13" t="s">
        <v>71</v>
      </c>
      <c r="F43" s="13">
        <v>42</v>
      </c>
    </row>
    <row r="44" spans="1:6" x14ac:dyDescent="0.25">
      <c r="A44" s="16">
        <v>42871</v>
      </c>
      <c r="B44" s="13" t="s">
        <v>1293</v>
      </c>
      <c r="C44" s="13"/>
      <c r="D44" s="13">
        <v>30</v>
      </c>
      <c r="E44" s="13" t="s">
        <v>71</v>
      </c>
      <c r="F44" s="13">
        <v>43</v>
      </c>
    </row>
    <row r="45" spans="1:6" x14ac:dyDescent="0.25">
      <c r="A45" s="16">
        <v>42877</v>
      </c>
      <c r="B45" s="13" t="s">
        <v>1334</v>
      </c>
      <c r="C45" s="13"/>
      <c r="D45" s="13">
        <v>39.950000000000003</v>
      </c>
      <c r="E45" s="13" t="s">
        <v>71</v>
      </c>
      <c r="F45" s="13">
        <v>44</v>
      </c>
    </row>
    <row r="46" spans="1:6" x14ac:dyDescent="0.25">
      <c r="A46" s="16">
        <v>42877</v>
      </c>
      <c r="B46" s="13" t="s">
        <v>1335</v>
      </c>
      <c r="C46" s="13"/>
      <c r="D46" s="13">
        <v>35</v>
      </c>
      <c r="E46" s="13" t="s">
        <v>71</v>
      </c>
      <c r="F46" s="13">
        <v>45</v>
      </c>
    </row>
    <row r="47" spans="1:6" x14ac:dyDescent="0.25">
      <c r="A47" s="16">
        <v>42878</v>
      </c>
      <c r="B47" s="13" t="s">
        <v>1352</v>
      </c>
      <c r="C47" s="13"/>
      <c r="D47" s="13">
        <v>29.98</v>
      </c>
      <c r="E47" s="13" t="s">
        <v>71</v>
      </c>
      <c r="F47" s="13">
        <v>46</v>
      </c>
    </row>
    <row r="48" spans="1:6" x14ac:dyDescent="0.25">
      <c r="A48" s="16">
        <v>42880</v>
      </c>
      <c r="B48" s="13" t="s">
        <v>597</v>
      </c>
      <c r="C48" s="13"/>
      <c r="D48" s="13">
        <v>40</v>
      </c>
      <c r="E48" s="13" t="s">
        <v>71</v>
      </c>
      <c r="F48" s="13">
        <v>47</v>
      </c>
    </row>
    <row r="49" spans="1:6" x14ac:dyDescent="0.25">
      <c r="A49" s="16">
        <v>42884</v>
      </c>
      <c r="B49" s="13" t="s">
        <v>1390</v>
      </c>
      <c r="C49" s="13"/>
      <c r="D49" s="13">
        <v>83.65</v>
      </c>
      <c r="E49" s="13" t="s">
        <v>71</v>
      </c>
      <c r="F49" s="13">
        <v>48</v>
      </c>
    </row>
    <row r="50" spans="1:6" x14ac:dyDescent="0.25">
      <c r="A50" s="16">
        <v>42884</v>
      </c>
      <c r="B50" s="13" t="s">
        <v>1391</v>
      </c>
      <c r="C50" s="13"/>
      <c r="D50" s="13">
        <v>29.9</v>
      </c>
      <c r="E50" s="13" t="s">
        <v>71</v>
      </c>
      <c r="F50" s="13">
        <v>49</v>
      </c>
    </row>
    <row r="51" spans="1:6" x14ac:dyDescent="0.25">
      <c r="A51" s="16">
        <v>42884</v>
      </c>
      <c r="B51" s="13" t="s">
        <v>682</v>
      </c>
      <c r="C51" s="13"/>
      <c r="D51" s="13">
        <v>10</v>
      </c>
      <c r="E51" s="13" t="s">
        <v>71</v>
      </c>
      <c r="F51" s="13">
        <v>50</v>
      </c>
    </row>
    <row r="52" spans="1:6" x14ac:dyDescent="0.25">
      <c r="A52" s="16">
        <v>42885</v>
      </c>
      <c r="B52" s="13" t="s">
        <v>1394</v>
      </c>
      <c r="C52" s="13"/>
      <c r="D52" s="13">
        <v>34.950000000000003</v>
      </c>
      <c r="E52" s="13" t="s">
        <v>71</v>
      </c>
      <c r="F52" s="13">
        <v>51</v>
      </c>
    </row>
    <row r="53" spans="1:6" x14ac:dyDescent="0.25">
      <c r="A53" s="16">
        <v>42884</v>
      </c>
      <c r="B53" s="13" t="s">
        <v>700</v>
      </c>
      <c r="C53" s="13"/>
      <c r="D53" s="13">
        <v>50</v>
      </c>
      <c r="E53" s="13" t="s">
        <v>71</v>
      </c>
      <c r="F53" s="13">
        <v>52</v>
      </c>
    </row>
    <row r="54" spans="1:6" x14ac:dyDescent="0.25">
      <c r="A54" s="16">
        <v>42884</v>
      </c>
      <c r="B54" s="13" t="s">
        <v>622</v>
      </c>
      <c r="C54" s="13"/>
      <c r="D54" s="13">
        <v>20</v>
      </c>
      <c r="E54" s="13" t="s">
        <v>71</v>
      </c>
      <c r="F54" s="13">
        <v>53</v>
      </c>
    </row>
    <row r="55" spans="1:6" x14ac:dyDescent="0.25">
      <c r="A55" s="16">
        <v>42884</v>
      </c>
      <c r="B55" s="13" t="s">
        <v>622</v>
      </c>
      <c r="C55" s="13"/>
      <c r="D55" s="13">
        <v>70</v>
      </c>
      <c r="E55" s="13" t="s">
        <v>71</v>
      </c>
      <c r="F55" s="13">
        <v>55</v>
      </c>
    </row>
    <row r="56" spans="1:6" x14ac:dyDescent="0.25">
      <c r="A56" s="16">
        <v>42884</v>
      </c>
      <c r="B56" s="13" t="s">
        <v>871</v>
      </c>
      <c r="C56" s="13"/>
      <c r="D56" s="13">
        <v>20</v>
      </c>
      <c r="E56" s="13" t="s">
        <v>71</v>
      </c>
      <c r="F56" s="13">
        <v>54</v>
      </c>
    </row>
    <row r="57" spans="1:6" x14ac:dyDescent="0.25">
      <c r="A57" s="16">
        <v>42887</v>
      </c>
      <c r="B57" s="13" t="s">
        <v>682</v>
      </c>
      <c r="C57" s="13"/>
      <c r="D57" s="13">
        <v>10</v>
      </c>
      <c r="E57" s="13" t="s">
        <v>71</v>
      </c>
      <c r="F57" s="13">
        <v>56</v>
      </c>
    </row>
    <row r="58" spans="1:6" x14ac:dyDescent="0.25">
      <c r="A58" s="16">
        <v>42892</v>
      </c>
      <c r="B58" s="13" t="s">
        <v>1415</v>
      </c>
      <c r="C58" s="13"/>
      <c r="D58" s="13">
        <v>39.9</v>
      </c>
      <c r="E58" s="13" t="s">
        <v>71</v>
      </c>
      <c r="F58" s="13">
        <v>57</v>
      </c>
    </row>
    <row r="59" spans="1:6" x14ac:dyDescent="0.25">
      <c r="A59" s="16">
        <v>42891</v>
      </c>
      <c r="B59" s="13" t="s">
        <v>1421</v>
      </c>
      <c r="C59" s="13"/>
      <c r="D59" s="13">
        <v>7.95</v>
      </c>
      <c r="E59" s="13" t="s">
        <v>71</v>
      </c>
      <c r="F59" s="13">
        <v>58</v>
      </c>
    </row>
    <row r="60" spans="1:6" x14ac:dyDescent="0.25">
      <c r="A60" s="16">
        <v>42891</v>
      </c>
      <c r="B60" s="13" t="s">
        <v>1422</v>
      </c>
      <c r="C60" s="13"/>
      <c r="D60" s="13">
        <v>199.7</v>
      </c>
      <c r="E60" s="13" t="s">
        <v>71</v>
      </c>
      <c r="F60" s="13">
        <v>59</v>
      </c>
    </row>
    <row r="61" spans="1:6" x14ac:dyDescent="0.25">
      <c r="A61" s="16">
        <v>42891</v>
      </c>
      <c r="B61" s="13" t="s">
        <v>1423</v>
      </c>
      <c r="C61" s="13"/>
      <c r="D61" s="13">
        <v>34.950000000000003</v>
      </c>
      <c r="E61" s="13" t="s">
        <v>71</v>
      </c>
      <c r="F61" s="13">
        <v>60</v>
      </c>
    </row>
    <row r="62" spans="1:6" x14ac:dyDescent="0.25">
      <c r="A62" s="16">
        <v>42894</v>
      </c>
      <c r="B62" s="13" t="s">
        <v>1415</v>
      </c>
      <c r="C62" s="13"/>
      <c r="D62" s="13">
        <v>39.9</v>
      </c>
      <c r="E62" s="13" t="s">
        <v>71</v>
      </c>
      <c r="F62" s="13">
        <v>61</v>
      </c>
    </row>
    <row r="63" spans="1:6" x14ac:dyDescent="0.25">
      <c r="A63" s="16">
        <v>42898</v>
      </c>
      <c r="B63" s="13" t="s">
        <v>1464</v>
      </c>
      <c r="C63" s="13"/>
      <c r="D63" s="13">
        <v>24.95</v>
      </c>
      <c r="E63" s="13" t="s">
        <v>71</v>
      </c>
      <c r="F63" s="13">
        <v>62</v>
      </c>
    </row>
    <row r="64" spans="1:6" x14ac:dyDescent="0.25">
      <c r="A64" s="16">
        <v>42901</v>
      </c>
      <c r="B64" s="13" t="s">
        <v>371</v>
      </c>
      <c r="C64" s="13"/>
      <c r="D64" s="13">
        <v>70</v>
      </c>
      <c r="E64" s="13" t="s">
        <v>71</v>
      </c>
      <c r="F64" s="13">
        <v>63</v>
      </c>
    </row>
    <row r="65" spans="1:6" x14ac:dyDescent="0.25">
      <c r="A65" s="16">
        <v>42905</v>
      </c>
      <c r="B65" s="13" t="s">
        <v>1531</v>
      </c>
      <c r="C65" s="13"/>
      <c r="D65" s="13">
        <v>67.95</v>
      </c>
      <c r="E65" s="13" t="s">
        <v>71</v>
      </c>
      <c r="F65" s="13">
        <v>64</v>
      </c>
    </row>
    <row r="66" spans="1:6" x14ac:dyDescent="0.25">
      <c r="A66" s="16">
        <v>42905</v>
      </c>
      <c r="B66" s="13" t="s">
        <v>1532</v>
      </c>
      <c r="C66" s="13"/>
      <c r="D66" s="13">
        <v>64.95</v>
      </c>
      <c r="E66" s="13" t="s">
        <v>71</v>
      </c>
      <c r="F66" s="13">
        <v>65</v>
      </c>
    </row>
    <row r="67" spans="1:6" x14ac:dyDescent="0.25">
      <c r="A67" s="16">
        <v>42905</v>
      </c>
      <c r="B67" s="13" t="s">
        <v>1535</v>
      </c>
      <c r="C67" s="13"/>
      <c r="D67" s="13">
        <v>35</v>
      </c>
      <c r="E67" s="13" t="s">
        <v>71</v>
      </c>
      <c r="F67" s="13">
        <v>66</v>
      </c>
    </row>
    <row r="68" spans="1:6" x14ac:dyDescent="0.25">
      <c r="A68" s="16">
        <v>42905</v>
      </c>
      <c r="B68" s="13" t="s">
        <v>1536</v>
      </c>
      <c r="C68" s="13"/>
      <c r="D68" s="13">
        <v>14.95</v>
      </c>
      <c r="E68" s="13" t="s">
        <v>71</v>
      </c>
      <c r="F68" s="13">
        <v>67</v>
      </c>
    </row>
    <row r="69" spans="1:6" x14ac:dyDescent="0.25">
      <c r="A69" s="16">
        <v>42907</v>
      </c>
      <c r="B69" s="13" t="s">
        <v>727</v>
      </c>
      <c r="C69" s="13"/>
      <c r="D69" s="13">
        <v>10</v>
      </c>
      <c r="E69" s="13" t="s">
        <v>71</v>
      </c>
      <c r="F69" s="13">
        <v>68</v>
      </c>
    </row>
    <row r="70" spans="1:6" x14ac:dyDescent="0.25">
      <c r="A70" s="16">
        <v>42909</v>
      </c>
      <c r="B70" s="13" t="s">
        <v>328</v>
      </c>
      <c r="C70" s="13"/>
      <c r="D70" s="13">
        <v>14.95</v>
      </c>
      <c r="E70" s="13" t="s">
        <v>71</v>
      </c>
      <c r="F70" s="13">
        <v>69</v>
      </c>
    </row>
    <row r="71" spans="1:6" x14ac:dyDescent="0.25">
      <c r="A71" s="16">
        <v>42912</v>
      </c>
      <c r="B71" s="13" t="s">
        <v>1583</v>
      </c>
      <c r="C71" s="13"/>
      <c r="D71" s="13">
        <v>91.7</v>
      </c>
      <c r="E71" s="13" t="s">
        <v>71</v>
      </c>
      <c r="F71" s="13">
        <v>70</v>
      </c>
    </row>
    <row r="72" spans="1:6" x14ac:dyDescent="0.25">
      <c r="A72" s="16">
        <v>42912</v>
      </c>
      <c r="B72" s="13" t="s">
        <v>1584</v>
      </c>
      <c r="C72" s="13"/>
      <c r="D72" s="13">
        <v>47.95</v>
      </c>
      <c r="E72" s="13" t="s">
        <v>71</v>
      </c>
      <c r="F72" s="13">
        <v>71</v>
      </c>
    </row>
    <row r="73" spans="1:6" x14ac:dyDescent="0.25">
      <c r="A73" s="16">
        <v>42912</v>
      </c>
      <c r="B73" s="13" t="s">
        <v>1585</v>
      </c>
      <c r="C73" s="13"/>
      <c r="D73" s="13">
        <v>40</v>
      </c>
      <c r="E73" s="13" t="s">
        <v>71</v>
      </c>
      <c r="F73" s="13">
        <v>72</v>
      </c>
    </row>
    <row r="74" spans="1:6" x14ac:dyDescent="0.25">
      <c r="A74" s="16">
        <v>42912</v>
      </c>
      <c r="B74" s="13" t="s">
        <v>1586</v>
      </c>
      <c r="C74" s="13"/>
      <c r="D74" s="13">
        <v>10</v>
      </c>
      <c r="E74" s="13" t="s">
        <v>71</v>
      </c>
      <c r="F74" s="13">
        <v>73</v>
      </c>
    </row>
    <row r="75" spans="1:6" x14ac:dyDescent="0.25">
      <c r="A75" s="16">
        <v>42913</v>
      </c>
      <c r="B75" s="13" t="s">
        <v>147</v>
      </c>
      <c r="C75" s="13"/>
      <c r="D75" s="13">
        <v>14.95</v>
      </c>
      <c r="E75" s="13" t="s">
        <v>71</v>
      </c>
      <c r="F75" s="13">
        <v>74</v>
      </c>
    </row>
    <row r="76" spans="1:6" x14ac:dyDescent="0.25">
      <c r="A76" s="16">
        <v>42915</v>
      </c>
      <c r="B76" s="13" t="s">
        <v>1607</v>
      </c>
      <c r="C76" s="13"/>
      <c r="D76" s="13">
        <v>34.950000000000003</v>
      </c>
      <c r="E76" s="13" t="s">
        <v>71</v>
      </c>
      <c r="F76" s="13">
        <v>75</v>
      </c>
    </row>
    <row r="77" spans="1:6" x14ac:dyDescent="0.25">
      <c r="A77" s="16">
        <v>42919</v>
      </c>
      <c r="B77" s="13" t="s">
        <v>1636</v>
      </c>
      <c r="C77" s="13"/>
      <c r="D77" s="13">
        <v>209.55</v>
      </c>
      <c r="E77" s="13" t="s">
        <v>71</v>
      </c>
      <c r="F77" s="13">
        <v>76</v>
      </c>
    </row>
    <row r="78" spans="1:6" x14ac:dyDescent="0.25">
      <c r="A78" s="16">
        <v>42919</v>
      </c>
      <c r="B78" s="13" t="s">
        <v>1391</v>
      </c>
      <c r="C78" s="13"/>
      <c r="D78" s="13">
        <v>29.9</v>
      </c>
      <c r="E78" s="13" t="s">
        <v>71</v>
      </c>
      <c r="F78" s="13">
        <v>77</v>
      </c>
    </row>
    <row r="79" spans="1:6" x14ac:dyDescent="0.25">
      <c r="A79" s="16">
        <v>42921</v>
      </c>
      <c r="B79" s="13" t="s">
        <v>328</v>
      </c>
      <c r="C79" s="13"/>
      <c r="D79" s="13">
        <v>14.95</v>
      </c>
      <c r="E79" s="13" t="s">
        <v>71</v>
      </c>
      <c r="F79" s="13">
        <v>78</v>
      </c>
    </row>
    <row r="80" spans="1:6" x14ac:dyDescent="0.25">
      <c r="A80" s="16">
        <v>42922</v>
      </c>
      <c r="B80" s="13" t="s">
        <v>1464</v>
      </c>
      <c r="C80" s="13"/>
      <c r="D80" s="13">
        <v>24.95</v>
      </c>
      <c r="E80" s="13" t="s">
        <v>71</v>
      </c>
      <c r="F80" s="13">
        <v>79</v>
      </c>
    </row>
    <row r="81" spans="1:6" x14ac:dyDescent="0.25">
      <c r="A81" s="16">
        <v>42926</v>
      </c>
      <c r="B81" s="13" t="s">
        <v>1687</v>
      </c>
      <c r="C81" s="13"/>
      <c r="D81" s="13">
        <v>25.9</v>
      </c>
      <c r="E81" s="13" t="s">
        <v>71</v>
      </c>
      <c r="F81" s="13">
        <v>80</v>
      </c>
    </row>
    <row r="82" spans="1:6" x14ac:dyDescent="0.25">
      <c r="A82" s="16">
        <v>42927</v>
      </c>
      <c r="B82" s="13" t="s">
        <v>1695</v>
      </c>
      <c r="C82" s="13"/>
      <c r="D82" s="13">
        <v>39.979999999999997</v>
      </c>
      <c r="E82" s="13" t="s">
        <v>71</v>
      </c>
      <c r="F82" s="13">
        <v>81</v>
      </c>
    </row>
    <row r="83" spans="1:6" x14ac:dyDescent="0.25">
      <c r="A83" s="16">
        <v>42928</v>
      </c>
      <c r="B83" s="13" t="s">
        <v>328</v>
      </c>
      <c r="C83" s="13"/>
      <c r="D83" s="13">
        <v>14.95</v>
      </c>
      <c r="E83" s="13" t="s">
        <v>71</v>
      </c>
      <c r="F83" s="13">
        <v>82</v>
      </c>
    </row>
    <row r="84" spans="1:6" x14ac:dyDescent="0.25">
      <c r="A84" s="16">
        <v>42930</v>
      </c>
      <c r="B84" s="13" t="s">
        <v>871</v>
      </c>
      <c r="C84" s="13"/>
      <c r="D84" s="13">
        <v>20</v>
      </c>
      <c r="E84" s="13" t="s">
        <v>71</v>
      </c>
      <c r="F84" s="13">
        <v>83</v>
      </c>
    </row>
    <row r="85" spans="1:6" x14ac:dyDescent="0.25">
      <c r="A85" s="16">
        <v>42936</v>
      </c>
      <c r="B85" s="13" t="s">
        <v>1421</v>
      </c>
      <c r="C85" s="13"/>
      <c r="D85" s="13">
        <v>7.95</v>
      </c>
      <c r="E85" s="13" t="s">
        <v>71</v>
      </c>
      <c r="F85" s="13">
        <v>84</v>
      </c>
    </row>
    <row r="86" spans="1:6" x14ac:dyDescent="0.25">
      <c r="A86" s="16">
        <v>42937</v>
      </c>
      <c r="B86" s="13" t="s">
        <v>1777</v>
      </c>
      <c r="C86" s="13"/>
      <c r="D86" s="13">
        <v>87.95</v>
      </c>
      <c r="E86" s="13" t="s">
        <v>71</v>
      </c>
      <c r="F86" s="13">
        <v>85</v>
      </c>
    </row>
    <row r="87" spans="1:6" x14ac:dyDescent="0.25">
      <c r="A87" s="16">
        <v>42940</v>
      </c>
      <c r="B87" s="13" t="s">
        <v>1584</v>
      </c>
      <c r="C87" s="13"/>
      <c r="D87" s="13">
        <v>47.95</v>
      </c>
      <c r="E87" s="13" t="s">
        <v>71</v>
      </c>
      <c r="F87" s="13">
        <v>86</v>
      </c>
    </row>
    <row r="88" spans="1:6" x14ac:dyDescent="0.25">
      <c r="A88" s="16">
        <v>42940</v>
      </c>
      <c r="B88" s="13" t="s">
        <v>372</v>
      </c>
      <c r="C88" s="13"/>
      <c r="D88" s="13">
        <v>20</v>
      </c>
      <c r="E88" s="13" t="s">
        <v>71</v>
      </c>
      <c r="F88" s="13">
        <v>87</v>
      </c>
    </row>
    <row r="89" spans="1:6" x14ac:dyDescent="0.25">
      <c r="A89" s="16">
        <v>42942</v>
      </c>
      <c r="B89" s="13" t="s">
        <v>597</v>
      </c>
      <c r="C89" s="13"/>
      <c r="D89" s="13">
        <v>40</v>
      </c>
      <c r="E89" s="13" t="s">
        <v>71</v>
      </c>
      <c r="F89" s="13">
        <v>88</v>
      </c>
    </row>
    <row r="90" spans="1:6" x14ac:dyDescent="0.25">
      <c r="A90" s="16">
        <v>42947</v>
      </c>
      <c r="B90" s="13" t="s">
        <v>1840</v>
      </c>
      <c r="C90" s="13"/>
      <c r="D90" s="13">
        <v>65.75</v>
      </c>
      <c r="E90" s="13" t="s">
        <v>71</v>
      </c>
      <c r="F90" s="13">
        <v>89</v>
      </c>
    </row>
    <row r="91" spans="1:6" x14ac:dyDescent="0.25">
      <c r="A91" s="1">
        <v>42947</v>
      </c>
      <c r="B91" t="s">
        <v>597</v>
      </c>
      <c r="D91">
        <v>40</v>
      </c>
      <c r="F91">
        <v>90</v>
      </c>
    </row>
    <row r="92" spans="1:6" x14ac:dyDescent="0.25">
      <c r="A92" s="16">
        <v>42947</v>
      </c>
      <c r="B92" s="13" t="s">
        <v>1843</v>
      </c>
      <c r="C92" s="13"/>
      <c r="D92" s="13">
        <v>22.95</v>
      </c>
      <c r="E92" s="13" t="s">
        <v>71</v>
      </c>
      <c r="F92" s="13">
        <v>91</v>
      </c>
    </row>
    <row r="93" spans="1:6" x14ac:dyDescent="0.25">
      <c r="A93" s="16">
        <v>42948</v>
      </c>
      <c r="B93" s="13" t="s">
        <v>929</v>
      </c>
      <c r="C93" s="13"/>
      <c r="D93" s="13">
        <v>15</v>
      </c>
      <c r="E93" s="13" t="s">
        <v>71</v>
      </c>
      <c r="F93" s="13">
        <v>92</v>
      </c>
    </row>
    <row r="94" spans="1:6" x14ac:dyDescent="0.25">
      <c r="A94" s="16">
        <v>42949</v>
      </c>
      <c r="B94" s="13" t="s">
        <v>1858</v>
      </c>
      <c r="C94" s="13"/>
      <c r="D94" s="13">
        <v>29.95</v>
      </c>
      <c r="E94" s="13" t="s">
        <v>71</v>
      </c>
      <c r="F94" s="13">
        <v>93</v>
      </c>
    </row>
    <row r="95" spans="1:6" x14ac:dyDescent="0.25">
      <c r="A95" s="16">
        <v>42954</v>
      </c>
      <c r="B95" s="13" t="s">
        <v>1906</v>
      </c>
      <c r="C95" s="13"/>
      <c r="D95" s="13">
        <v>154.97999999999999</v>
      </c>
      <c r="E95" s="13" t="s">
        <v>71</v>
      </c>
      <c r="F95" s="13">
        <v>94</v>
      </c>
    </row>
    <row r="96" spans="1:6" x14ac:dyDescent="0.25">
      <c r="A96" s="1">
        <v>42957</v>
      </c>
      <c r="B96" t="s">
        <v>727</v>
      </c>
      <c r="D96">
        <v>9.83</v>
      </c>
      <c r="F96">
        <v>95</v>
      </c>
    </row>
    <row r="97" spans="1:6" x14ac:dyDescent="0.25">
      <c r="A97" s="16">
        <v>42961</v>
      </c>
      <c r="B97" s="13" t="s">
        <v>1956</v>
      </c>
      <c r="C97" s="13"/>
      <c r="D97" s="13">
        <v>80</v>
      </c>
      <c r="E97" s="13" t="s">
        <v>71</v>
      </c>
      <c r="F97" s="13">
        <v>96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7" tint="0.39997558519241921"/>
  </sheetPr>
  <dimension ref="A1:E13"/>
  <sheetViews>
    <sheetView topLeftCell="B1" workbookViewId="0">
      <selection activeCell="D15" sqref="D15:D16"/>
    </sheetView>
  </sheetViews>
  <sheetFormatPr defaultRowHeight="15" x14ac:dyDescent="0.25"/>
  <cols>
    <col min="1" max="1" width="0" hidden="1" customWidth="1"/>
    <col min="2" max="5" width="21.42578125" customWidth="1"/>
  </cols>
  <sheetData>
    <row r="1" spans="1:5" x14ac:dyDescent="0.25">
      <c r="A1" t="s">
        <v>92</v>
      </c>
    </row>
    <row r="3" spans="1:5" x14ac:dyDescent="0.25">
      <c r="A3">
        <v>1</v>
      </c>
      <c r="B3" t="s">
        <v>93</v>
      </c>
      <c r="C3" t="s">
        <v>87</v>
      </c>
      <c r="D3" t="s">
        <v>88</v>
      </c>
      <c r="E3" t="s">
        <v>34</v>
      </c>
    </row>
    <row r="5" spans="1:5" x14ac:dyDescent="0.25">
      <c r="A5">
        <v>2</v>
      </c>
      <c r="B5" s="1">
        <v>42727</v>
      </c>
      <c r="C5">
        <v>37</v>
      </c>
      <c r="D5" s="1">
        <v>42726</v>
      </c>
      <c r="E5">
        <v>1000</v>
      </c>
    </row>
    <row r="6" spans="1:5" x14ac:dyDescent="0.25">
      <c r="A6">
        <v>3</v>
      </c>
      <c r="B6" s="17">
        <v>42727.627199074072</v>
      </c>
      <c r="C6">
        <v>101</v>
      </c>
      <c r="D6" s="1">
        <v>42726</v>
      </c>
      <c r="E6">
        <v>500</v>
      </c>
    </row>
    <row r="7" spans="1:5" x14ac:dyDescent="0.25">
      <c r="A7">
        <v>4</v>
      </c>
      <c r="B7" s="17">
        <v>42727.62809027778</v>
      </c>
      <c r="C7">
        <v>44</v>
      </c>
      <c r="D7" s="1">
        <v>42726</v>
      </c>
      <c r="E7">
        <v>2000</v>
      </c>
    </row>
    <row r="8" spans="1:5" x14ac:dyDescent="0.25">
      <c r="A8">
        <v>5</v>
      </c>
      <c r="B8" s="17">
        <v>42727.628506944442</v>
      </c>
      <c r="C8">
        <v>201</v>
      </c>
      <c r="D8" s="1">
        <v>42726</v>
      </c>
      <c r="E8">
        <v>500</v>
      </c>
    </row>
    <row r="9" spans="1:5" x14ac:dyDescent="0.25">
      <c r="A9">
        <v>6</v>
      </c>
      <c r="B9" s="17">
        <v>42727.628657407404</v>
      </c>
      <c r="C9">
        <v>41</v>
      </c>
      <c r="D9" s="1">
        <v>42727</v>
      </c>
      <c r="E9">
        <v>500</v>
      </c>
    </row>
    <row r="10" spans="1:5" x14ac:dyDescent="0.25">
      <c r="A10">
        <v>7</v>
      </c>
      <c r="B10" s="17">
        <v>42741.678391203706</v>
      </c>
      <c r="C10">
        <v>35</v>
      </c>
      <c r="D10" s="1">
        <v>42739</v>
      </c>
      <c r="E10">
        <v>1.4</v>
      </c>
    </row>
    <row r="11" spans="1:5" x14ac:dyDescent="0.25">
      <c r="A11">
        <v>8</v>
      </c>
      <c r="B11" s="17">
        <v>42741.686041666668</v>
      </c>
      <c r="C11">
        <v>103</v>
      </c>
      <c r="D11" s="1">
        <v>42740</v>
      </c>
      <c r="E11">
        <v>5.5</v>
      </c>
    </row>
    <row r="12" spans="1:5" x14ac:dyDescent="0.25">
      <c r="A12">
        <v>9</v>
      </c>
      <c r="B12" s="17">
        <v>42744.436793981484</v>
      </c>
      <c r="C12">
        <v>45</v>
      </c>
      <c r="D12" s="1">
        <v>42739</v>
      </c>
      <c r="E12">
        <v>1.4</v>
      </c>
    </row>
    <row r="13" spans="1:5" x14ac:dyDescent="0.25">
      <c r="A13" t="s">
        <v>94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K16" sqref="K16"/>
    </sheetView>
  </sheetViews>
  <sheetFormatPr defaultRowHeight="15" x14ac:dyDescent="0.25"/>
  <sheetData>
    <row r="1" spans="1:1" x14ac:dyDescent="0.25">
      <c r="A1" t="s">
        <v>1937</v>
      </c>
    </row>
    <row r="2" spans="1:1" x14ac:dyDescent="0.25">
      <c r="A2" t="s">
        <v>1938</v>
      </c>
    </row>
    <row r="3" spans="1:1" x14ac:dyDescent="0.25">
      <c r="A3" t="s">
        <v>1939</v>
      </c>
    </row>
    <row r="4" spans="1:1" x14ac:dyDescent="0.25">
      <c r="A4" t="s">
        <v>1940</v>
      </c>
    </row>
    <row r="5" spans="1:1" x14ac:dyDescent="0.25">
      <c r="A5" t="s">
        <v>1941</v>
      </c>
    </row>
    <row r="6" spans="1:1" x14ac:dyDescent="0.25">
      <c r="A6" t="s">
        <v>1942</v>
      </c>
    </row>
    <row r="7" spans="1:1" x14ac:dyDescent="0.25">
      <c r="A7" t="s">
        <v>1943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33"/>
  <sheetViews>
    <sheetView topLeftCell="A2" workbookViewId="0">
      <selection activeCell="H28" sqref="H28"/>
    </sheetView>
  </sheetViews>
  <sheetFormatPr defaultRowHeight="15" x14ac:dyDescent="0.25"/>
  <cols>
    <col min="1" max="1" width="10.7109375" bestFit="1" customWidth="1"/>
    <col min="2" max="2" width="67.7109375" bestFit="1" customWidth="1"/>
  </cols>
  <sheetData>
    <row r="1" spans="1:10" x14ac:dyDescent="0.25">
      <c r="A1" t="s">
        <v>32</v>
      </c>
      <c r="B1" t="s">
        <v>33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8</v>
      </c>
    </row>
    <row r="2" spans="1:10" x14ac:dyDescent="0.25">
      <c r="A2" s="30">
        <f>DATE(2017,8,14)</f>
        <v>42961</v>
      </c>
      <c r="B2" t="s">
        <v>1944</v>
      </c>
      <c r="C2" t="s">
        <v>1834</v>
      </c>
      <c r="E2">
        <v>579.75</v>
      </c>
      <c r="F2">
        <v>1961.64</v>
      </c>
      <c r="G2" t="s">
        <v>6</v>
      </c>
      <c r="H2">
        <v>35</v>
      </c>
      <c r="J2">
        <v>579.75</v>
      </c>
    </row>
    <row r="3" spans="1:10" x14ac:dyDescent="0.25">
      <c r="A3" s="30">
        <f>DATE(2017,8,14)</f>
        <v>42961</v>
      </c>
      <c r="B3" t="s">
        <v>1945</v>
      </c>
      <c r="C3" t="s">
        <v>1834</v>
      </c>
      <c r="E3">
        <v>215.9</v>
      </c>
      <c r="F3">
        <v>1381.89</v>
      </c>
      <c r="G3" t="s">
        <v>6</v>
      </c>
      <c r="H3">
        <v>43</v>
      </c>
      <c r="J3">
        <v>215.9</v>
      </c>
    </row>
    <row r="4" spans="1:10" x14ac:dyDescent="0.25">
      <c r="A4" s="30">
        <f>DATE(2017,8,14)</f>
        <v>42961</v>
      </c>
      <c r="B4" t="s">
        <v>1946</v>
      </c>
      <c r="C4" t="s">
        <v>1834</v>
      </c>
      <c r="E4">
        <v>337.6</v>
      </c>
      <c r="F4">
        <v>1165.99</v>
      </c>
      <c r="G4" t="s">
        <v>6</v>
      </c>
      <c r="H4">
        <v>41</v>
      </c>
      <c r="J4">
        <v>337.6</v>
      </c>
    </row>
    <row r="5" spans="1:10" x14ac:dyDescent="0.25">
      <c r="A5" s="30">
        <f>DATE(2017,8,14)</f>
        <v>42961</v>
      </c>
      <c r="B5" t="s">
        <v>1947</v>
      </c>
      <c r="C5" t="s">
        <v>1834</v>
      </c>
      <c r="E5">
        <v>545.85</v>
      </c>
      <c r="F5">
        <v>828.39</v>
      </c>
      <c r="G5" t="s">
        <v>6</v>
      </c>
      <c r="H5">
        <v>103</v>
      </c>
      <c r="J5">
        <v>545.85</v>
      </c>
    </row>
    <row r="6" spans="1:10" x14ac:dyDescent="0.25">
      <c r="A6" s="30">
        <f>DATE(2017,8,14)</f>
        <v>42961</v>
      </c>
      <c r="B6" t="s">
        <v>1948</v>
      </c>
      <c r="C6" t="s">
        <v>1834</v>
      </c>
      <c r="E6">
        <v>280</v>
      </c>
      <c r="F6">
        <v>282.54000000000002</v>
      </c>
      <c r="G6" t="s">
        <v>6</v>
      </c>
      <c r="H6">
        <v>44</v>
      </c>
      <c r="J6">
        <v>280</v>
      </c>
    </row>
    <row r="7" spans="1:10" x14ac:dyDescent="0.25">
      <c r="A7" s="30">
        <f>DATE(2017,8,14)</f>
        <v>42961</v>
      </c>
      <c r="B7" t="s">
        <v>1949</v>
      </c>
      <c r="C7" t="s">
        <v>1834</v>
      </c>
      <c r="D7">
        <v>17200</v>
      </c>
      <c r="F7">
        <v>2.54</v>
      </c>
    </row>
    <row r="8" spans="1:10" x14ac:dyDescent="0.25">
      <c r="A8" s="30">
        <f>DATE(2017,8,14)</f>
        <v>42961</v>
      </c>
      <c r="B8" t="s">
        <v>29</v>
      </c>
      <c r="C8" t="s">
        <v>1834</v>
      </c>
      <c r="E8">
        <v>370</v>
      </c>
      <c r="F8">
        <v>17202.54</v>
      </c>
      <c r="G8" t="s">
        <v>4</v>
      </c>
      <c r="H8">
        <v>35</v>
      </c>
      <c r="J8">
        <v>370</v>
      </c>
    </row>
    <row r="9" spans="1:10" x14ac:dyDescent="0.25">
      <c r="A9" s="30">
        <f>DATE(2017,8,14)</f>
        <v>42961</v>
      </c>
      <c r="B9" t="s">
        <v>25</v>
      </c>
      <c r="C9" t="s">
        <v>1834</v>
      </c>
      <c r="E9">
        <v>335</v>
      </c>
      <c r="F9">
        <v>16832.54</v>
      </c>
      <c r="G9" t="s">
        <v>4</v>
      </c>
      <c r="H9">
        <v>44</v>
      </c>
      <c r="J9">
        <v>335</v>
      </c>
    </row>
    <row r="10" spans="1:10" x14ac:dyDescent="0.25">
      <c r="A10" s="30">
        <f>DATE(2017,8,14)</f>
        <v>42961</v>
      </c>
      <c r="B10" t="s">
        <v>25</v>
      </c>
      <c r="C10" t="s">
        <v>1834</v>
      </c>
      <c r="E10">
        <v>636.75</v>
      </c>
      <c r="F10">
        <v>16497.54</v>
      </c>
      <c r="G10" t="s">
        <v>4</v>
      </c>
      <c r="H10">
        <v>44</v>
      </c>
      <c r="J10">
        <v>636.75</v>
      </c>
    </row>
    <row r="11" spans="1:10" x14ac:dyDescent="0.25">
      <c r="A11" s="30">
        <f>DATE(2017,8,14)</f>
        <v>42961</v>
      </c>
      <c r="B11" t="s">
        <v>25</v>
      </c>
      <c r="C11" t="s">
        <v>1834</v>
      </c>
      <c r="E11">
        <v>325</v>
      </c>
      <c r="F11">
        <v>15860.79</v>
      </c>
      <c r="G11" t="s">
        <v>4</v>
      </c>
      <c r="H11">
        <v>44</v>
      </c>
      <c r="J11">
        <v>325</v>
      </c>
    </row>
    <row r="12" spans="1:10" x14ac:dyDescent="0.25">
      <c r="A12" s="30">
        <f>DATE(2017,8,14)</f>
        <v>42961</v>
      </c>
      <c r="B12" t="s">
        <v>1950</v>
      </c>
      <c r="C12" t="s">
        <v>1834</v>
      </c>
      <c r="D12">
        <v>1500</v>
      </c>
      <c r="F12">
        <v>15535.79</v>
      </c>
    </row>
    <row r="13" spans="1:10" x14ac:dyDescent="0.25">
      <c r="A13" s="30">
        <f>DATE(2017,8,14)</f>
        <v>42961</v>
      </c>
      <c r="B13" t="s">
        <v>82</v>
      </c>
      <c r="C13" t="s">
        <v>1834</v>
      </c>
      <c r="E13">
        <v>3.8</v>
      </c>
      <c r="F13">
        <v>17035.79</v>
      </c>
      <c r="G13" t="s">
        <v>4</v>
      </c>
      <c r="H13">
        <v>35</v>
      </c>
      <c r="J13">
        <v>3.8</v>
      </c>
    </row>
    <row r="14" spans="1:10" x14ac:dyDescent="0.25">
      <c r="A14" s="30">
        <f>DATE(2017,8,14)</f>
        <v>42961</v>
      </c>
      <c r="B14" t="s">
        <v>82</v>
      </c>
      <c r="C14" t="s">
        <v>1834</v>
      </c>
      <c r="E14">
        <v>1013.7</v>
      </c>
      <c r="F14">
        <v>17031.990000000002</v>
      </c>
      <c r="G14" t="s">
        <v>4</v>
      </c>
      <c r="H14">
        <v>35</v>
      </c>
      <c r="J14">
        <v>1013.7</v>
      </c>
    </row>
    <row r="15" spans="1:10" x14ac:dyDescent="0.25">
      <c r="A15" s="30">
        <f>DATE(2017,8,14)</f>
        <v>42961</v>
      </c>
      <c r="B15" t="s">
        <v>1644</v>
      </c>
      <c r="C15" t="s">
        <v>1834</v>
      </c>
      <c r="E15">
        <v>401.75</v>
      </c>
      <c r="F15">
        <v>16018.29</v>
      </c>
      <c r="G15" t="s">
        <v>4</v>
      </c>
      <c r="H15">
        <v>41</v>
      </c>
      <c r="J15">
        <v>401.75</v>
      </c>
    </row>
    <row r="16" spans="1:10" x14ac:dyDescent="0.25">
      <c r="A16" s="30">
        <f>DATE(2017,8,14)</f>
        <v>42961</v>
      </c>
      <c r="B16" t="s">
        <v>1644</v>
      </c>
      <c r="C16" t="s">
        <v>1834</v>
      </c>
      <c r="E16">
        <v>439.5</v>
      </c>
      <c r="F16">
        <v>15616.54</v>
      </c>
      <c r="G16" t="s">
        <v>4</v>
      </c>
      <c r="H16">
        <v>41</v>
      </c>
      <c r="J16">
        <v>439.5</v>
      </c>
    </row>
    <row r="17" spans="1:10" x14ac:dyDescent="0.25">
      <c r="A17" s="30">
        <f>DATE(2017,8,14)</f>
        <v>42961</v>
      </c>
      <c r="B17" t="s">
        <v>146</v>
      </c>
      <c r="C17" t="s">
        <v>1834</v>
      </c>
      <c r="E17">
        <v>307.95</v>
      </c>
      <c r="F17">
        <v>15177.04</v>
      </c>
      <c r="G17" t="s">
        <v>4</v>
      </c>
      <c r="H17">
        <v>37</v>
      </c>
      <c r="J17">
        <v>307.95</v>
      </c>
    </row>
    <row r="18" spans="1:10" x14ac:dyDescent="0.25">
      <c r="A18" s="30">
        <f>DATE(2017,8,14)</f>
        <v>42961</v>
      </c>
      <c r="B18" t="s">
        <v>146</v>
      </c>
      <c r="C18" t="s">
        <v>1834</v>
      </c>
      <c r="E18">
        <v>385.9</v>
      </c>
      <c r="F18">
        <v>14869.09</v>
      </c>
      <c r="G18" t="s">
        <v>4</v>
      </c>
      <c r="H18">
        <v>37</v>
      </c>
      <c r="J18">
        <v>385.9</v>
      </c>
    </row>
    <row r="19" spans="1:10" x14ac:dyDescent="0.25">
      <c r="A19" s="30">
        <f>DATE(2017,8,14)</f>
        <v>42961</v>
      </c>
      <c r="B19" t="s">
        <v>146</v>
      </c>
      <c r="C19" t="s">
        <v>1834</v>
      </c>
      <c r="E19">
        <v>435.9</v>
      </c>
      <c r="F19">
        <v>14483.19</v>
      </c>
      <c r="G19" t="s">
        <v>4</v>
      </c>
      <c r="H19">
        <v>37</v>
      </c>
      <c r="J19">
        <v>435.9</v>
      </c>
    </row>
    <row r="20" spans="1:10" x14ac:dyDescent="0.25">
      <c r="A20" s="30">
        <f>DATE(2017,8,14)</f>
        <v>42961</v>
      </c>
      <c r="B20" t="s">
        <v>24</v>
      </c>
      <c r="C20" t="s">
        <v>1834</v>
      </c>
      <c r="E20">
        <v>1311.7</v>
      </c>
      <c r="F20">
        <v>14047.29</v>
      </c>
      <c r="G20" t="s">
        <v>4</v>
      </c>
      <c r="H20">
        <v>43</v>
      </c>
      <c r="J20">
        <v>1311.7</v>
      </c>
    </row>
    <row r="21" spans="1:10" x14ac:dyDescent="0.25">
      <c r="A21" s="30">
        <f>DATE(2017,8,14)</f>
        <v>42961</v>
      </c>
      <c r="B21" t="s">
        <v>24</v>
      </c>
      <c r="C21" t="s">
        <v>1834</v>
      </c>
      <c r="E21">
        <v>427.9</v>
      </c>
      <c r="F21">
        <v>12735.59</v>
      </c>
      <c r="G21" t="s">
        <v>4</v>
      </c>
      <c r="H21">
        <v>43</v>
      </c>
      <c r="J21">
        <v>427.9</v>
      </c>
    </row>
    <row r="22" spans="1:10" x14ac:dyDescent="0.25">
      <c r="A22" s="30">
        <f>DATE(2017,8,14)</f>
        <v>42961</v>
      </c>
      <c r="B22" t="s">
        <v>1951</v>
      </c>
      <c r="C22" t="s">
        <v>1834</v>
      </c>
      <c r="E22">
        <v>359.75</v>
      </c>
      <c r="F22">
        <v>12307.69</v>
      </c>
      <c r="G22" t="s">
        <v>4</v>
      </c>
      <c r="H22" s="31">
        <v>42960</v>
      </c>
      <c r="J22">
        <v>359.75</v>
      </c>
    </row>
    <row r="23" spans="1:10" x14ac:dyDescent="0.25">
      <c r="A23" s="30">
        <f>DATE(2017,8,14)</f>
        <v>42961</v>
      </c>
      <c r="B23" t="s">
        <v>124</v>
      </c>
      <c r="C23" t="s">
        <v>1834</v>
      </c>
      <c r="E23">
        <v>758.7</v>
      </c>
      <c r="F23">
        <v>11947.94</v>
      </c>
      <c r="G23" t="s">
        <v>4</v>
      </c>
      <c r="H23" t="s">
        <v>1959</v>
      </c>
      <c r="J23">
        <v>758.7</v>
      </c>
    </row>
    <row r="24" spans="1:10" x14ac:dyDescent="0.25">
      <c r="A24" s="30">
        <f>DATE(2017,8,14)</f>
        <v>42961</v>
      </c>
      <c r="B24" t="s">
        <v>1952</v>
      </c>
      <c r="C24" t="s">
        <v>1834</v>
      </c>
      <c r="E24">
        <v>392.9</v>
      </c>
      <c r="F24">
        <v>1081.93</v>
      </c>
      <c r="G24" t="s">
        <v>6</v>
      </c>
      <c r="H24">
        <v>304</v>
      </c>
      <c r="J24">
        <v>392.9</v>
      </c>
    </row>
    <row r="25" spans="1:10" x14ac:dyDescent="0.25">
      <c r="A25" s="30">
        <f>DATE(2017,8,14)</f>
        <v>42961</v>
      </c>
      <c r="B25" t="s">
        <v>1953</v>
      </c>
      <c r="C25" t="s">
        <v>1834</v>
      </c>
      <c r="E25">
        <v>565.85</v>
      </c>
      <c r="F25">
        <v>689.03</v>
      </c>
      <c r="G25" t="s">
        <v>6</v>
      </c>
      <c r="H25">
        <v>37</v>
      </c>
      <c r="J25">
        <v>565.85</v>
      </c>
    </row>
    <row r="26" spans="1:10" x14ac:dyDescent="0.25">
      <c r="A26" s="30">
        <f>DATE(2017,8,14)</f>
        <v>42961</v>
      </c>
      <c r="B26" t="s">
        <v>1954</v>
      </c>
      <c r="C26" t="s">
        <v>1834</v>
      </c>
      <c r="D26">
        <v>4.92</v>
      </c>
      <c r="F26">
        <v>123.18</v>
      </c>
    </row>
    <row r="27" spans="1:10" x14ac:dyDescent="0.25">
      <c r="A27" s="30">
        <f>DATE(2017,8,14)</f>
        <v>42961</v>
      </c>
      <c r="B27" t="s">
        <v>1955</v>
      </c>
      <c r="C27" t="s">
        <v>1834</v>
      </c>
      <c r="E27">
        <v>43.81</v>
      </c>
      <c r="F27">
        <v>128.1</v>
      </c>
    </row>
    <row r="28" spans="1:10" x14ac:dyDescent="0.25">
      <c r="A28" s="30">
        <f>DATE(2017,8,14)</f>
        <v>42961</v>
      </c>
      <c r="B28" t="s">
        <v>1956</v>
      </c>
      <c r="C28" t="s">
        <v>1834</v>
      </c>
      <c r="E28">
        <v>80</v>
      </c>
      <c r="F28">
        <v>84.29</v>
      </c>
      <c r="G28" t="s">
        <v>1960</v>
      </c>
      <c r="J28">
        <v>80</v>
      </c>
    </row>
    <row r="29" spans="1:10" x14ac:dyDescent="0.25">
      <c r="A29" s="30">
        <f>DATE(2017,8,14)</f>
        <v>42961</v>
      </c>
      <c r="B29" t="s">
        <v>1957</v>
      </c>
      <c r="C29" t="s">
        <v>1834</v>
      </c>
      <c r="D29">
        <v>4180</v>
      </c>
      <c r="F29">
        <v>4.29</v>
      </c>
    </row>
    <row r="30" spans="1:10" x14ac:dyDescent="0.25">
      <c r="A30" s="30">
        <f>DATE(2017,8,14)</f>
        <v>42961</v>
      </c>
      <c r="B30" t="s">
        <v>1958</v>
      </c>
      <c r="D30">
        <v>3400</v>
      </c>
    </row>
    <row r="31" spans="1:10" x14ac:dyDescent="0.25">
      <c r="A31" s="30">
        <f>DATE(2017,8,14)</f>
        <v>42961</v>
      </c>
      <c r="B31" t="s">
        <v>611</v>
      </c>
      <c r="E31">
        <v>816.8</v>
      </c>
      <c r="G31" t="s">
        <v>4</v>
      </c>
      <c r="H31">
        <v>201</v>
      </c>
      <c r="J31">
        <v>816.8</v>
      </c>
    </row>
    <row r="32" spans="1:10" x14ac:dyDescent="0.25">
      <c r="A32" s="30">
        <f>DATE(2017,8,14)</f>
        <v>42961</v>
      </c>
      <c r="B32" t="s">
        <v>611</v>
      </c>
      <c r="E32">
        <v>479.9</v>
      </c>
      <c r="G32" t="s">
        <v>4</v>
      </c>
      <c r="H32">
        <v>201</v>
      </c>
      <c r="J32">
        <v>479.9</v>
      </c>
    </row>
    <row r="33" spans="1:10" x14ac:dyDescent="0.25">
      <c r="A33" s="30">
        <f>DATE(2017,8,14)</f>
        <v>42961</v>
      </c>
      <c r="B33" t="s">
        <v>611</v>
      </c>
      <c r="E33">
        <v>298.75</v>
      </c>
      <c r="G33" t="s">
        <v>4</v>
      </c>
      <c r="H33">
        <v>201</v>
      </c>
      <c r="J33">
        <v>298.75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9"/>
  <sheetViews>
    <sheetView workbookViewId="0">
      <selection activeCell="I27" sqref="I27"/>
    </sheetView>
  </sheetViews>
  <sheetFormatPr defaultRowHeight="15" x14ac:dyDescent="0.25"/>
  <sheetData>
    <row r="1" spans="1:4" x14ac:dyDescent="0.25">
      <c r="B1" t="s">
        <v>0</v>
      </c>
      <c r="C1" t="s">
        <v>1</v>
      </c>
    </row>
    <row r="2" spans="1:4" x14ac:dyDescent="0.25">
      <c r="A2" t="s">
        <v>2</v>
      </c>
      <c r="B2">
        <v>1</v>
      </c>
      <c r="C2">
        <v>3</v>
      </c>
      <c r="D2" t="s">
        <v>131</v>
      </c>
    </row>
    <row r="3" spans="1:4" x14ac:dyDescent="0.25">
      <c r="A3" t="s">
        <v>3</v>
      </c>
      <c r="B3">
        <v>5</v>
      </c>
      <c r="C3">
        <v>5</v>
      </c>
      <c r="D3" t="s">
        <v>132</v>
      </c>
    </row>
    <row r="4" spans="1:4" x14ac:dyDescent="0.25">
      <c r="A4" t="s">
        <v>4</v>
      </c>
      <c r="B4">
        <v>133</v>
      </c>
      <c r="C4">
        <v>9</v>
      </c>
      <c r="D4" t="s">
        <v>5</v>
      </c>
    </row>
    <row r="5" spans="1:4" x14ac:dyDescent="0.25">
      <c r="A5" t="s">
        <v>6</v>
      </c>
      <c r="B5">
        <v>143</v>
      </c>
      <c r="C5">
        <v>8</v>
      </c>
      <c r="D5" t="s">
        <v>7</v>
      </c>
    </row>
    <row r="6" spans="1:4" x14ac:dyDescent="0.25">
      <c r="A6" t="s">
        <v>8</v>
      </c>
      <c r="B6">
        <v>152</v>
      </c>
      <c r="C6">
        <v>8</v>
      </c>
      <c r="D6" t="s">
        <v>9</v>
      </c>
    </row>
    <row r="7" spans="1:4" x14ac:dyDescent="0.25">
      <c r="A7" t="s">
        <v>10</v>
      </c>
      <c r="B7">
        <v>161</v>
      </c>
      <c r="C7">
        <v>8</v>
      </c>
      <c r="D7" t="s">
        <v>11</v>
      </c>
    </row>
    <row r="8" spans="1:4" x14ac:dyDescent="0.25">
      <c r="A8" t="s">
        <v>12</v>
      </c>
      <c r="B8">
        <v>170</v>
      </c>
      <c r="C8">
        <v>8</v>
      </c>
      <c r="D8" t="s">
        <v>13</v>
      </c>
    </row>
    <row r="9" spans="1:4" x14ac:dyDescent="0.25">
      <c r="A9" t="s">
        <v>14</v>
      </c>
      <c r="B9">
        <v>88</v>
      </c>
      <c r="C9">
        <v>7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main</vt:lpstr>
      <vt:lpstr>Magic</vt:lpstr>
      <vt:lpstr>cash</vt:lpstr>
      <vt:lpstr>eftpos</vt:lpstr>
      <vt:lpstr>Amex</vt:lpstr>
      <vt:lpstr>Coin</vt:lpstr>
      <vt:lpstr>pm005</vt:lpstr>
      <vt:lpstr>Bankcsv</vt:lpstr>
      <vt:lpstr>index</vt:lpstr>
      <vt:lpstr>Coin!pubhtml?gid_652224666_single_true_1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Wang</dc:creator>
  <cp:lastModifiedBy>Stephen Wang</cp:lastModifiedBy>
  <dcterms:created xsi:type="dcterms:W3CDTF">2016-12-22T05:32:08Z</dcterms:created>
  <dcterms:modified xsi:type="dcterms:W3CDTF">2017-08-15T00:17:00Z</dcterms:modified>
</cp:coreProperties>
</file>